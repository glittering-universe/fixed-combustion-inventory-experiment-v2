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b5098a752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火力、热力生产与供应（不包括生物质能发电）" sheetId="8" r:id="R7c649c51a0f04003"/>
    <x:sheet xmlns:r="http://schemas.openxmlformats.org/officeDocument/2006/relationships" name="标准煤转换系数" sheetId="14" r:id="R157b1345c722423c"/>
  </x:sheets>
</x:workbook>
</file>

<file path=xl/sharedStrings.xml><?xml version="1.0" encoding="utf-8"?>
<x:sst xmlns:x="http://schemas.openxmlformats.org/spreadsheetml/2006/main">
  <x:si>
    <x:t xml:space="preserve">统计年份</x:t>
  </x:si>
  <x:si>
    <x:t xml:space="preserve">组织机构代码</x:t>
  </x:si>
  <x:si>
    <x:t xml:space="preserve">统一社会信用代码</x:t>
  </x:si>
  <x:si>
    <x:t xml:space="preserve">填报单位详细名称</x:t>
  </x:si>
  <x:si>
    <x:t xml:space="preserve">行政区代码</x:t>
  </x:si>
  <x:si>
    <x:t xml:space="preserve">行政区名称</x:t>
  </x:si>
  <x:si>
    <x:t xml:space="preserve">城市</x:t>
  </x:si>
  <x:si>
    <x:t xml:space="preserve">行业类别代码</x:t>
  </x:si>
  <x:si>
    <x:t xml:space="preserve">行业类别名称</x:t>
  </x:si>
  <x:si>
    <x:t xml:space="preserve">曾用名</x:t>
  </x:si>
  <x:si>
    <x:t xml:space="preserve">电站锅炉/燃气轮机类型</x:t>
  </x:si>
  <x:si>
    <x:t xml:space="preserve">对应机组装机容量（万千瓦）（1万千瓦=10MV）</x:t>
  </x:si>
  <x:si>
    <x:t xml:space="preserve">电站锅炉燃烧方式</x:t>
  </x:si>
  <x:si>
    <x:t xml:space="preserve">电站锅炉/燃气轮机额定出力（蒸吨/小时）</x:t>
  </x:si>
  <x:si>
    <x:t xml:space="preserve">是否采用低氮燃烧技术</x:t>
  </x:si>
  <x:si>
    <x:t xml:space="preserve">燃料一类型代码</x:t>
  </x:si>
  <x:si>
    <x:t xml:space="preserve">燃料一类型</x:t>
  </x:si>
  <x:si>
    <x:t xml:space="preserve">燃料一消耗量</x:t>
  </x:si>
  <x:si>
    <x:t xml:space="preserve">燃料一消耗量单位</x:t>
  </x:si>
  <x:si>
    <x:t xml:space="preserve">燃料消耗量（t或万立方米）</x:t>
  </x:si>
  <x:si>
    <x:t xml:space="preserve">燃料一平均收到基含硫量</x:t>
  </x:si>
  <x:si>
    <x:t xml:space="preserve">燃料一平均收到基含硫量单位</x:t>
  </x:si>
  <x:si>
    <x:t xml:space="preserve">燃料一平均收到基灰分（%）</x:t>
  </x:si>
  <x:si>
    <x:t xml:space="preserve">SO2（t）</x:t>
  </x:si>
  <x:si>
    <x:t xml:space="preserve">NOx（t）</x:t>
  </x:si>
  <x:si>
    <x:t xml:space="preserve">CO（t）</x:t>
  </x:si>
  <x:si>
    <x:t xml:space="preserve">PM10（t）</x:t>
  </x:si>
  <x:si>
    <x:t xml:space="preserve">PM2.5（t）</x:t>
  </x:si>
  <x:si>
    <x:t xml:space="preserve">BC（t）</x:t>
  </x:si>
  <x:si>
    <x:t xml:space="preserve">OC（t）</x:t>
  </x:si>
  <x:si>
    <x:t xml:space="preserve">VOC（t）</x:t>
  </x:si>
  <x:si>
    <x:t xml:space="preserve">NH3（t）</x:t>
  </x:si>
  <x:si>
    <x:t xml:space="preserve">燃料二类型</x:t>
  </x:si>
  <x:si>
    <x:t xml:space="preserve">燃料二消耗量</x:t>
  </x:si>
  <x:si>
    <x:t xml:space="preserve">燃料二消耗量单位</x:t>
  </x:si>
  <x:si>
    <x:t xml:space="preserve">燃料二平均收到基含硫量</x:t>
  </x:si>
  <x:si>
    <x:t xml:space="preserve">燃料二平均收到基含硫量单位</x:t>
  </x:si>
  <x:si>
    <x:t xml:space="preserve">燃料二平均收到基灰分（%）</x:t>
  </x:si>
  <x:si>
    <x:t xml:space="preserve">其他燃料消耗总量（吨标准煤）</x:t>
  </x:si>
  <x:si>
    <x:t xml:space="preserve">排放口编号</x:t>
  </x:si>
  <x:si>
    <x:t xml:space="preserve">排放口地理坐标经度_度</x:t>
  </x:si>
  <x:si>
    <x:t xml:space="preserve">排放口地理坐标经度_分</x:t>
  </x:si>
  <x:si>
    <x:t xml:space="preserve">排放口地理坐标经度_秒</x:t>
  </x:si>
  <x:si>
    <x:t xml:space="preserve">排放口地理坐标纬度_度</x:t>
  </x:si>
  <x:si>
    <x:t xml:space="preserve">排放口地理坐标纬度_分</x:t>
  </x:si>
  <x:si>
    <x:t xml:space="preserve">排放口地理坐标纬度_秒</x:t>
  </x:si>
  <x:si>
    <x:t xml:space="preserve">排放口地理坐标经度（度）</x:t>
  </x:si>
  <x:si>
    <x:t xml:space="preserve">排放口地理坐标纬度（度）</x:t>
  </x:si>
  <x:si>
    <x:t xml:space="preserve">排放口高度（米）</x:t>
  </x:si>
  <x:si>
    <x:t xml:space="preserve">工业废气排放量（万立方米）</x:t>
  </x:si>
  <x:si>
    <x:t xml:space="preserve">二氧化硫产生量（吨）</x:t>
  </x:si>
  <x:si>
    <x:t xml:space="preserve">二氧化硫排放量（吨）</x:t>
  </x:si>
  <x:si>
    <x:t xml:space="preserve">氮氧化物产生量（吨）</x:t>
  </x:si>
  <x:si>
    <x:t xml:space="preserve">氮氧化物排放量（吨）</x:t>
  </x:si>
  <x:si>
    <x:t xml:space="preserve">颗粒物产生量（吨）</x:t>
  </x:si>
  <x:si>
    <x:t xml:space="preserve">颗粒物排放量（吨）</x:t>
  </x:si>
  <x:si>
    <x:t xml:space="preserve">挥发性有机物产生量（千克）</x:t>
  </x:si>
  <x:si>
    <x:t xml:space="preserve">挥发性有机物排放量（千克）</x:t>
  </x:si>
  <x:si>
    <x:t xml:space="preserve">脱硫处理工艺名称</x:t>
  </x:si>
  <x:si>
    <x:t xml:space="preserve">脱硫去除效率（%）</x:t>
  </x:si>
  <x:si>
    <x:t xml:space="preserve">脱硝处理工艺名称</x:t>
  </x:si>
  <x:si>
    <x:t xml:space="preserve">脱硝去除效率（%）</x:t>
  </x:si>
  <x:si>
    <x:t xml:space="preserve">除尘处理工艺名称</x:t>
  </x:si>
  <x:si>
    <x:t xml:space="preserve">PM10去除效率（%）</x:t>
  </x:si>
  <x:si>
    <x:t xml:space="preserve">PM2.5去除效率（%）</x:t>
  </x:si>
  <x:si>
    <x:t xml:space="preserve">09409027-X()</x:t>
  </x:si>
  <x:si>
    <x:t xml:space="preserve">9144010109409027X0()</x:t>
  </x:si>
  <x:si>
    <x:t xml:space="preserve">广州侨绿固废循环利用科技有限公司</x:t>
  </x:si>
  <x:si>
    <x:t xml:space="preserve">白云区</x:t>
  </x:si>
  <x:si>
    <x:t xml:space="preserve">广州</x:t>
  </x:si>
  <x:si>
    <x:t xml:space="preserve">生物质能发电</x:t>
  </x:si>
  <x:si>
    <x:t xml:space="preserve">李坑综合处理厂</x:t>
  </x:si>
  <x:si>
    <x:t xml:space="preserve">燃气锅炉</x:t>
  </x:si>
  <x:si>
    <x:t xml:space="preserve">室燃炉</x:t>
  </x:si>
  <x:si>
    <x:t xml:space="preserve">否</x:t>
  </x:si>
  <x:si>
    <x:t xml:space="preserve">焦炉煤气</x:t>
  </x:si>
  <x:si>
    <x:t xml:space="preserve">万立方米</x:t>
  </x:si>
  <x:si>
    <x:t xml:space="preserve">毫克/立方米</x:t>
  </x:si>
  <x:si>
    <x:t xml:space="preserve">75</x:t>
  </x:si>
  <x:si>
    <x:t xml:space="preserve">DA002</x:t>
  </x:si>
  <x:si>
    <x:t xml:space="preserve">燃气轮机</x:t>
  </x:si>
  <x:si>
    <x:t xml:space="preserve">DA001</x:t>
  </x:si>
  <x:si>
    <x:t xml:space="preserve">DA003</x:t>
  </x:si>
  <x:si>
    <x:t xml:space="preserve">DA004</x:t>
  </x:si>
  <x:si>
    <x:t xml:space="preserve">66812713-2()</x:t>
  </x:si>
  <x:si>
    <x:t xml:space="preserve">914401016681271328()</x:t>
  </x:si>
  <x:si>
    <x:t xml:space="preserve">广州威立雅资源利用有限公司</x:t>
  </x:si>
  <x:si>
    <x:t xml:space="preserve">广州兴丰威立雅沼气发电厂</x:t>
  </x:si>
  <x:si>
    <x:t xml:space="preserve">是</x:t>
  </x:si>
  <x:si>
    <x:t xml:space="preserve">DA005</x:t>
  </x:si>
  <x:si>
    <x:t xml:space="preserve">DA006</x:t>
  </x:si>
  <x:si>
    <x:t xml:space="preserve">DA007</x:t>
  </x:si>
  <x:si>
    <x:t xml:space="preserve">DA008</x:t>
  </x:si>
  <x:si>
    <x:t xml:space="preserve">MA5CQ036-7()</x:t>
  </x:si>
  <x:si>
    <x:t xml:space="preserve">91440101MA5CQ0367A()</x:t>
  </x:si>
  <x:si>
    <x:t xml:space="preserve">广州兴丰能源科技有限公司</x:t>
  </x:si>
  <x:si>
    <x:t xml:space="preserve">天然气</x:t>
  </x:si>
  <x:si>
    <x:t xml:space="preserve">选择性催化还原法（SCR）</x:t>
  </x:si>
  <x:si>
    <x:t xml:space="preserve">19032084-8(  )</x:t>
  </x:si>
  <x:si>
    <x:t xml:space="preserve">91440000190320848E(  )</x:t>
  </x:si>
  <x:si>
    <x:t xml:space="preserve">广东粤华发电有限责任公司</x:t>
  </x:si>
  <x:si>
    <x:t xml:space="preserve">黄埔区</x:t>
  </x:si>
  <x:si>
    <x:t xml:space="preserve">火力发电</x:t>
  </x:si>
  <x:si>
    <x:t xml:space="preserve">黄埔发电厂</x:t>
  </x:si>
  <x:si>
    <x:t xml:space="preserve">高效选择性催化还原法（SCR）③</x:t>
  </x:si>
  <x:si>
    <x:t xml:space="preserve">23121541-2(  )</x:t>
  </x:si>
  <x:si>
    <x:t xml:space="preserve">91440101231215412L(  )</x:t>
  </x:si>
  <x:si>
    <x:t xml:space="preserve">广州恒运企业集团股份有限公司</x:t>
  </x:si>
  <x:si>
    <x:t xml:space="preserve">热电联产</x:t>
  </x:si>
  <x:si>
    <x:t xml:space="preserve">燃煤锅炉</x:t>
  </x:si>
  <x:si>
    <x:t xml:space="preserve">煤粉炉</x:t>
  </x:si>
  <x:si>
    <x:t xml:space="preserve">一般烟煤</x:t>
  </x:si>
  <x:si>
    <x:t xml:space="preserve">吨</x:t>
  </x:si>
  <x:si>
    <x:t xml:space="preserve">%</x:t>
  </x:si>
  <x:si>
    <x:t xml:space="preserve">高效石灰石/石膏法②</x:t>
  </x:si>
  <x:si>
    <x:t xml:space="preserve">高效静电除尘①</x:t>
  </x:si>
  <x:si>
    <x:t xml:space="preserve">72192832-7(  )</x:t>
  </x:si>
  <x:si>
    <x:t xml:space="preserve">91440101721928327M(  )</x:t>
  </x:si>
  <x:si>
    <x:t xml:space="preserve">中国石油化工股份有限公司广州分公司</x:t>
  </x:si>
  <x:si>
    <x:t xml:space="preserve">原油加工及石油制品制造</x:t>
  </x:si>
  <x:si>
    <x:t xml:space="preserve">中国石油化工集团广州石油化工总厂</x:t>
  </x:si>
  <x:si>
    <x:t xml:space="preserve">原煤</x:t>
  </x:si>
  <x:si>
    <x:t xml:space="preserve">S09|烟气循环流化床法</x:t>
  </x:si>
  <x:si>
    <x:t xml:space="preserve">N05|选择性催化还原法（SCR）</x:t>
  </x:si>
  <x:si>
    <x:t xml:space="preserve">P01|袋式除尘</x:t>
  </x:si>
  <x:si>
    <x:t xml:space="preserve">循环流化床锅炉</x:t>
  </x:si>
  <x:si>
    <x:t xml:space="preserve">石油焦</x:t>
  </x:si>
  <x:si>
    <x:t xml:space="preserve">N04|选择性非催化还原法（SNCR）</x:t>
  </x:si>
  <x:si>
    <x:t xml:space="preserve">76194700-4(  )</x:t>
  </x:si>
  <x:si>
    <x:t xml:space="preserve">91440101761947004R(  )</x:t>
  </x:si>
  <x:si>
    <x:t xml:space="preserve">广州恒运热电有限责任公司</x:t>
  </x:si>
  <x:si>
    <x:t xml:space="preserve">广州恒运热电（D)厂有限责任公司</x:t>
  </x:si>
  <x:si>
    <x:t xml:space="preserve">电袋组合</x:t>
  </x:si>
  <x:si>
    <x:t xml:space="preserve">76951784-2(  )</x:t>
  </x:si>
  <x:si>
    <x:t xml:space="preserve">91440116769517842W(  )</x:t>
  </x:si>
  <x:si>
    <x:t xml:space="preserve">广州协鑫蓝天燃气热电有限公司</x:t>
  </x:si>
  <x:si>
    <x:t xml:space="preserve">其他</x:t>
  </x:si>
  <x:si>
    <x:t xml:space="preserve">67182933-8(  )</x:t>
  </x:si>
  <x:si>
    <x:t xml:space="preserve">91440101671829338D(  )</x:t>
  </x:si>
  <x:si>
    <x:t xml:space="preserve">广州大学城华电新能源有限公司</x:t>
  </x:si>
  <x:si>
    <x:t xml:space="preserve">番禺区</x:t>
  </x:si>
  <x:si>
    <x:t xml:space="preserve">67182933-8(01)</x:t>
  </x:si>
  <x:si>
    <x:t xml:space="preserve">91440101671829338D(01)</x:t>
  </x:si>
  <x:si>
    <x:t xml:space="preserve">广州大学城华电新能源有限公司（广州万博中央商务区分布式能源站项目）</x:t>
  </x:si>
  <x:si>
    <x:t xml:space="preserve">06114033-0()</x:t>
  </x:si>
  <x:si>
    <x:t xml:space="preserve">91440114061140330M()</x:t>
  </x:si>
  <x:si>
    <x:t xml:space="preserve">广东粤电花都天然气热电有限公司</x:t>
  </x:si>
  <x:si>
    <x:t xml:space="preserve">花都区</x:t>
  </x:si>
  <x:si>
    <x:t xml:space="preserve">61840348-5(  )</x:t>
  </x:si>
  <x:si>
    <x:t xml:space="preserve">91440101618403485Q()</x:t>
  </x:si>
  <x:si>
    <x:t xml:space="preserve">广州珠江电力有限公司</x:t>
  </x:si>
  <x:si>
    <x:t xml:space="preserve">南沙区</x:t>
  </x:si>
  <x:si>
    <x:t xml:space="preserve">原油</x:t>
  </x:si>
  <x:si>
    <x:t xml:space="preserve">石灰石/石膏法</x:t>
  </x:si>
  <x:si>
    <x:t xml:space="preserve">袋式除尘</x:t>
  </x:si>
  <x:si>
    <x:t xml:space="preserve">61841337-6(  )</x:t>
  </x:si>
  <x:si>
    <x:t xml:space="preserve">91440101618413376W(  )</x:t>
  </x:si>
  <x:si>
    <x:t xml:space="preserve">广州造纸股份有限公司</x:t>
  </x:si>
  <x:si>
    <x:t xml:space="preserve">机制纸及纸板制造</x:t>
  </x:si>
  <x:si>
    <x:t xml:space="preserve">61872051-X(  )</x:t>
  </x:si>
  <x:si>
    <x:t xml:space="preserve">9144011561872051XC(  )</x:t>
  </x:si>
  <x:si>
    <x:t xml:space="preserve">互太（番禺）纺织印染有限公司</x:t>
  </x:si>
  <x:si>
    <x:t xml:space="preserve">棉印染精加工</x:t>
  </x:si>
  <x:si>
    <x:t xml:space="preserve">高效静电除尘+其他（湿法脱硫协同）+其他（湿式电除尘）①</x:t>
  </x:si>
  <x:si>
    <x:t xml:space="preserve">61878868-8(  )</x:t>
  </x:si>
  <x:si>
    <x:t xml:space="preserve">91440115618788688G(  )</x:t>
  </x:si>
  <x:si>
    <x:t xml:space="preserve">广州锦兴纺织漂染有限公司</x:t>
  </x:si>
  <x:si>
    <x:t xml:space="preserve">DA055</x:t>
  </x:si>
  <x:si>
    <x:t xml:space="preserve">电袋组合+其他（湿式电除尘）</x:t>
  </x:si>
  <x:si>
    <x:t xml:space="preserve">DA056</x:t>
  </x:si>
  <x:si>
    <x:t xml:space="preserve">74359960-8(  )</x:t>
  </x:si>
  <x:si>
    <x:t xml:space="preserve">91440101743599608B(  )</x:t>
  </x:si>
  <x:si>
    <x:t xml:space="preserve">广州珠江天然气发电有限公司</x:t>
  </x:si>
  <x:si>
    <x:t xml:space="preserve">78376172-9(  )</x:t>
  </x:si>
  <x:si>
    <x:t xml:space="preserve">91440101783761729J(  )</x:t>
  </x:si>
  <x:si>
    <x:t xml:space="preserve">广州华润热电有限公司</x:t>
  </x:si>
  <x:si>
    <x:t xml:space="preserve">柴油</x:t>
  </x:si>
  <x:si>
    <x:t xml:space="preserve">78894150-X(  )</x:t>
  </x:si>
  <x:si>
    <x:t xml:space="preserve">9144010178894150XP(  )</x:t>
  </x:si>
  <x:si>
    <x:t xml:space="preserve">广州越威纸业有限公司</x:t>
  </x:si>
  <x:si>
    <x:t xml:space="preserve">其他（湿法脱硫除尘一体化）</x:t>
  </x:si>
  <x:si>
    <x:t xml:space="preserve">07462313-9(  )</x:t>
  </x:si>
  <x:si>
    <x:t xml:space="preserve">914401010746231393(  )</x:t>
  </x:si>
  <x:si>
    <x:t xml:space="preserve">广州发展鳌头能源站有限公司</x:t>
  </x:si>
  <x:si>
    <x:t xml:space="preserve">从化区</x:t>
  </x:si>
  <x:si>
    <x:t xml:space="preserve">广州发展鳌头分布式能源站投资管理有限公司</x:t>
  </x:si>
  <x:si>
    <x:t xml:space="preserve">66998758-0(  )</x:t>
  </x:si>
  <x:si>
    <x:t xml:space="preserve">914401836699875800(  )</x:t>
  </x:si>
  <x:si>
    <x:t xml:space="preserve">广州中电荔新热电有限公司</x:t>
  </x:si>
  <x:si>
    <x:t xml:space="preserve">增城区</x:t>
  </x:si>
  <x:si>
    <x:t xml:space="preserve">广州中电荔新电力实业有限公司</x:t>
  </x:si>
  <x:si>
    <x:t xml:space="preserve">MA59GTLG-5()</x:t>
  </x:si>
  <x:si>
    <x:t xml:space="preserve">91440101MA59GTLG55()</x:t>
  </x:si>
  <x:si>
    <x:t xml:space="preserve">华电福新广州能源有限公司</x:t>
  </x:si>
  <x:si>
    <x:t xml:space="preserve">余热利用锅炉</x:t>
  </x:si>
  <x:si>
    <x:t xml:space="preserve">06217943-X()</x:t>
  </x:si>
  <x:si>
    <x:t xml:space="preserve">9144020006217943XF()</x:t>
  </x:si>
  <x:si>
    <x:t xml:space="preserve">国粤（韶关）电力有限公司</x:t>
  </x:si>
  <x:si>
    <x:t xml:space="preserve">浈江区</x:t>
  </x:si>
  <x:si>
    <x:t xml:space="preserve">韶关</x:t>
  </x:si>
  <x:si>
    <x:t xml:space="preserve">韶关市粤华电力有限公司</x:t>
  </x:si>
  <x:si>
    <x:t xml:space="preserve">煤矸石（用于燃料）</x:t>
  </x:si>
  <x:si>
    <x:t xml:space="preserve">S03|石灰石/石膏法</x:t>
  </x:si>
  <x:si>
    <x:t xml:space="preserve">P15|其他</x:t>
  </x:si>
  <x:si>
    <x:t xml:space="preserve">72242362-X(  )</x:t>
  </x:si>
  <x:si>
    <x:t xml:space="preserve">深圳市中金岭南有色金属股份有限公司韶关冶炼厂</x:t>
  </x:si>
  <x:si>
    <x:t xml:space="preserve">铅锌冶炼</x:t>
  </x:si>
  <x:si>
    <x:t xml:space="preserve">DA029</x:t>
  </x:si>
  <x:si>
    <x:t xml:space="preserve">喷淋塔/冲击水浴</x:t>
  </x:si>
  <x:si>
    <x:t xml:space="preserve">19152191-6(  )</x:t>
  </x:si>
  <x:si>
    <x:t xml:space="preserve">91440000191521916D(  )</x:t>
  </x:si>
  <x:si>
    <x:t xml:space="preserve">广东中南钢铁股份有限公司</x:t>
  </x:si>
  <x:si>
    <x:t xml:space="preserve">曲江区</x:t>
  </x:si>
  <x:si>
    <x:t xml:space="preserve">炼钢</x:t>
  </x:si>
  <x:si>
    <x:t xml:space="preserve">宝钢集团广东韶关钢铁有限公司、广东韶关钢铁集团有限公司、宝武集团广东韶关钢铁有限公司</x:t>
  </x:si>
  <x:si>
    <x:t xml:space="preserve">高炉煤气</x:t>
  </x:si>
  <x:si>
    <x:t xml:space="preserve">氨法</x:t>
  </x:si>
  <x:si>
    <x:t xml:space="preserve">70752208-0(  )</x:t>
  </x:si>
  <x:si>
    <x:t xml:space="preserve">91440205707522080F(  )</x:t>
  </x:si>
  <x:si>
    <x:t xml:space="preserve">广东粤电韶关发电厂有限公司</x:t>
  </x:si>
  <x:si>
    <x:t xml:space="preserve">广东省韶关粤江发电有限责任公司</x:t>
  </x:si>
  <x:si>
    <x:t xml:space="preserve">MA4UM6DX-0(  )</x:t>
  </x:si>
  <x:si>
    <x:t xml:space="preserve">91440224MA4UM6DX09(  )</x:t>
  </x:si>
  <x:si>
    <x:t xml:space="preserve">仁化县华粤煤矸石电力有限公司</x:t>
  </x:si>
  <x:si>
    <x:t xml:space="preserve">仁化县</x:t>
  </x:si>
  <x:si>
    <x:t xml:space="preserve">S01|炉内喷钙</x:t>
  </x:si>
  <x:si>
    <x:t xml:space="preserve">P05|板式</x:t>
  </x:si>
  <x:si>
    <x:t xml:space="preserve">61745169-6(  )</x:t>
  </x:si>
  <x:si>
    <x:t xml:space="preserve">91440281617451696B(  )</x:t>
  </x:si>
  <x:si>
    <x:t xml:space="preserve">韶关市坪石发电厂有限公司（B厂）</x:t>
  </x:si>
  <x:si>
    <x:t xml:space="preserve">乐昌市</x:t>
  </x:si>
  <x:si>
    <x:t xml:space="preserve">无烟煤</x:t>
  </x:si>
  <x:si>
    <x:t xml:space="preserve">N08|其他</x:t>
  </x:si>
  <x:si>
    <x:t xml:space="preserve">P13|电袋组合</x:t>
  </x:si>
  <x:si>
    <x:t xml:space="preserve">56450155-6()</x:t>
  </x:si>
  <x:si>
    <x:t xml:space="preserve">914402825645015568()</x:t>
  </x:si>
  <x:si>
    <x:t xml:space="preserve">广东华电韶关热电有限公司</x:t>
  </x:si>
  <x:si>
    <x:t xml:space="preserve">南雄市</x:t>
  </x:si>
  <x:si>
    <x:t xml:space="preserve">褐煤</x:t>
  </x:si>
  <x:si>
    <x:t xml:space="preserve">石灰石－石膏湿法脱硫</x:t>
  </x:si>
  <x:si>
    <x:t xml:space="preserve">SCR 脱硝</x:t>
  </x:si>
  <x:si>
    <x:t xml:space="preserve">电袋除尘器+除雾器除尘+湿式除尘器</x:t>
  </x:si>
  <x:si>
    <x:t xml:space="preserve">61883710-1(  )</x:t>
  </x:si>
  <x:si>
    <x:t xml:space="preserve">91440300618837101D(  )</x:t>
  </x:si>
  <x:si>
    <x:t xml:space="preserve">深圳南天电力有限公司</x:t>
  </x:si>
  <x:si>
    <x:t xml:space="preserve">福田区</x:t>
  </x:si>
  <x:si>
    <x:t xml:space="preserve">深圳</x:t>
  </x:si>
  <x:si>
    <x:t xml:space="preserve">深圳美视电力工业有限公司</x:t>
  </x:si>
  <x:si>
    <x:t xml:space="preserve">61881670-6(  )</x:t>
  </x:si>
  <x:si>
    <x:t xml:space="preserve">914403006188167068(  )</x:t>
  </x:si>
  <x:si>
    <x:t xml:space="preserve">深圳妈湾电力有限公司</x:t>
  </x:si>
  <x:si>
    <x:t xml:space="preserve">南山区</x:t>
  </x:si>
  <x:si>
    <x:t xml:space="preserve">深圳妈湾发电总厂</x:t>
  </x:si>
  <x:si>
    <x:t xml:space="preserve">S06|海水脱硫法</x:t>
  </x:si>
  <x:si>
    <x:t xml:space="preserve">70842633-0(  )</x:t>
  </x:si>
  <x:si>
    <x:t xml:space="preserve">91440300708426330Q()</x:t>
  </x:si>
  <x:si>
    <x:t xml:space="preserve">深圳市广前电力有限公司</x:t>
  </x:si>
  <x:si>
    <x:t xml:space="preserve">76498379-9()</x:t>
  </x:si>
  <x:si>
    <x:t xml:space="preserve">91440300764983799T()</x:t>
  </x:si>
  <x:si>
    <x:t xml:space="preserve">深圳南山热电股份有限公司南山热电厂</x:t>
  </x:si>
  <x:si>
    <x:t xml:space="preserve">67483974-2(  )</x:t>
  </x:si>
  <x:si>
    <x:t xml:space="preserve">91440300674839742Q(  )</x:t>
  </x:si>
  <x:si>
    <x:t xml:space="preserve">深圳宝安东江环保再生能源有限公司</x:t>
  </x:si>
  <x:si>
    <x:t xml:space="preserve">宝安区</x:t>
  </x:si>
  <x:si>
    <x:t xml:space="preserve">61887465-8(  )</x:t>
  </x:si>
  <x:si>
    <x:t xml:space="preserve">91440300618874658X(  )</x:t>
  </x:si>
  <x:si>
    <x:t xml:space="preserve">深圳钰湖电力有限公司</x:t>
  </x:si>
  <x:si>
    <x:t xml:space="preserve">龙岗区</x:t>
  </x:si>
  <x:si>
    <x:t xml:space="preserve">61882166-0(  )</x:t>
  </x:si>
  <x:si>
    <x:t xml:space="preserve">91440300618821660R()</x:t>
  </x:si>
  <x:si>
    <x:t xml:space="preserve">深圳大唐宝昌燃气发电有限公司</x:t>
  </x:si>
  <x:si>
    <x:t xml:space="preserve">龙华区</x:t>
  </x:si>
  <x:si>
    <x:t xml:space="preserve">05396041-9()</x:t>
  </x:si>
  <x:si>
    <x:t xml:space="preserve">91440300053960419L()</x:t>
  </x:si>
  <x:si>
    <x:t xml:space="preserve">广东华电深圳能源有限公司</x:t>
  </x:si>
  <x:si>
    <x:t xml:space="preserve">坪山区</x:t>
  </x:si>
  <x:si>
    <x:t xml:space="preserve">华电国际电力股份有限公司深圳公司</x:t>
  </x:si>
  <x:si>
    <x:t xml:space="preserve">61889468-3(  )</x:t>
  </x:si>
  <x:si>
    <x:t xml:space="preserve">914403006188946831()</x:t>
  </x:si>
  <x:si>
    <x:t xml:space="preserve">中海油深圳电力有限公司</x:t>
  </x:si>
  <x:si>
    <x:t xml:space="preserve">大鹏新区</x:t>
  </x:si>
  <x:si>
    <x:t xml:space="preserve">深圳福华德电力有限公司</x:t>
  </x:si>
  <x:si>
    <x:t xml:space="preserve">MA5GUBL0-8()</x:t>
  </x:si>
  <x:si>
    <x:t xml:space="preserve">91440300MA5GUBL08L()</x:t>
  </x:si>
  <x:si>
    <x:t xml:space="preserve">深圳市东部电力有限公司</x:t>
  </x:si>
  <x:si>
    <x:t xml:space="preserve">深圳能源集团股份有限公司东部电厂</x:t>
  </x:si>
  <x:si>
    <x:t xml:space="preserve">57641218-X(  )</x:t>
  </x:si>
  <x:si>
    <x:t xml:space="preserve">9144150057641218XR(  )</x:t>
  </x:si>
  <x:si>
    <x:t xml:space="preserve">深圳市深汕特别合作区华润电力有限公司</x:t>
  </x:si>
  <x:si>
    <x:t xml:space="preserve">深汕（尾）特别合作区</x:t>
  </x:si>
  <x:si>
    <x:t xml:space="preserve">华润电力（海丰）有限公司</x:t>
  </x:si>
  <x:si>
    <x:t xml:space="preserve">静电除尘+其他（湿式电除尘）</x:t>
  </x:si>
  <x:si>
    <x:t xml:space="preserve">67156996-X(  )</x:t>
  </x:si>
  <x:si>
    <x:t xml:space="preserve">9144040067156996XU()</x:t>
  </x:si>
  <x:si>
    <x:t xml:space="preserve">国电投（珠海横琴）热电有限公司</x:t>
  </x:si>
  <x:si>
    <x:t xml:space="preserve">横琴新区</x:t>
  </x:si>
  <x:si>
    <x:t xml:space="preserve">珠海</x:t>
  </x:si>
  <x:si>
    <x:t xml:space="preserve">中电投珠海横琴热电有限公司</x:t>
  </x:si>
  <x:si>
    <x:t xml:space="preserve">70859462-5()</x:t>
  </x:si>
  <x:si>
    <x:t xml:space="preserve">91440300708594625J()</x:t>
  </x:si>
  <x:si>
    <x:t xml:space="preserve">中海石油(中国)有限公司深圳分公司</x:t>
  </x:si>
  <x:si>
    <x:t xml:space="preserve">天然气生产和供应业</x:t>
  </x:si>
  <x:si>
    <x:t xml:space="preserve">27963630-4()</x:t>
  </x:si>
  <x:si>
    <x:t xml:space="preserve">914404002796363040()</x:t>
  </x:si>
  <x:si>
    <x:t xml:space="preserve">珠海市万山区担杆镇电力有限公司</x:t>
  </x:si>
  <x:si>
    <x:t xml:space="preserve">万山区</x:t>
  </x:si>
  <x:si>
    <x:t xml:space="preserve">燃油锅炉</x:t>
  </x:si>
  <x:si>
    <x:t xml:space="preserve">61748966-X(  )</x:t>
  </x:si>
  <x:si>
    <x:t xml:space="preserve">9144040061748966XG(  )</x:t>
  </x:si>
  <x:si>
    <x:t xml:space="preserve">珠海深能洪湾电力有限公司</x:t>
  </x:si>
  <x:si>
    <x:t xml:space="preserve">保税区</x:t>
  </x:si>
  <x:si>
    <x:t xml:space="preserve">58472835-2(  )</x:t>
  </x:si>
  <x:si>
    <x:t xml:space="preserve">91440400584728352D(  )</x:t>
  </x:si>
  <x:si>
    <x:t xml:space="preserve">中海油珠海天然气发电有限公司</x:t>
  </x:si>
  <x:si>
    <x:t xml:space="preserve">高栏港经济区</x:t>
  </x:si>
  <x:si>
    <x:t xml:space="preserve">61762142-1(  )</x:t>
  </x:si>
  <x:si>
    <x:t xml:space="preserve">914404006176214217(  )</x:t>
  </x:si>
  <x:si>
    <x:t xml:space="preserve">珠海华丰纸业有限公司</x:t>
  </x:si>
  <x:si>
    <x:t xml:space="preserve">佛山华丰纸业有限公司珠海分公司</x:t>
  </x:si>
  <x:si>
    <x:t xml:space="preserve">高效袋式除尘+其他（湿法脱硫协同）+其他（湿式电除尘）①</x:t>
  </x:si>
  <x:si>
    <x:t xml:space="preserve">70812907-X(  )</x:t>
  </x:si>
  <x:si>
    <x:t xml:space="preserve">9144040070812907XQ(  )</x:t>
  </x:si>
  <x:si>
    <x:t xml:space="preserve">广东省能源集团有限公司珠海发电厂</x:t>
  </x:si>
  <x:si>
    <x:t xml:space="preserve">广东省粤电集团有限公司珠海发电厂</x:t>
  </x:si>
  <x:si>
    <x:t xml:space="preserve">71785911-1(  )</x:t>
  </x:si>
  <x:si>
    <x:t xml:space="preserve">91440400717859111N(  )</x:t>
  </x:si>
  <x:si>
    <x:t xml:space="preserve">广东珠海金湾发电有限公司</x:t>
  </x:si>
  <x:si>
    <x:t xml:space="preserve">77620407-8()</x:t>
  </x:si>
  <x:si>
    <x:t xml:space="preserve">91440400776204078Q()</x:t>
  </x:si>
  <x:si>
    <x:t xml:space="preserve">珠海市钰海电力有限公司</x:t>
  </x:si>
  <x:si>
    <x:t xml:space="preserve">57235396-0(01)</x:t>
  </x:si>
  <x:si>
    <x:t xml:space="preserve">91440400572353960L(01)</x:t>
  </x:si>
  <x:si>
    <x:t xml:space="preserve">华润电力（珠海）智慧能源有限公司（天然气分布式能源项目）</x:t>
  </x:si>
  <x:si>
    <x:t xml:space="preserve">富山工业园区</x:t>
  </x:si>
  <x:si>
    <x:t xml:space="preserve">61839319-2(  )</x:t>
  </x:si>
  <x:si>
    <x:t xml:space="preserve">91440500618393192Q(  )</x:t>
  </x:si>
  <x:si>
    <x:t xml:space="preserve">汕头经济特区万丰热电有限公司</x:t>
  </x:si>
  <x:si>
    <x:t xml:space="preserve">金平区</x:t>
  </x:si>
  <x:si>
    <x:t xml:space="preserve">汕头</x:t>
  </x:si>
  <x:si>
    <x:t xml:space="preserve">煤制品</x:t>
  </x:si>
  <x:si>
    <x:t xml:space="preserve">70802811-3(  )</x:t>
  </x:si>
  <x:si>
    <x:t xml:space="preserve">914405007080281133(  )</x:t>
  </x:si>
  <x:si>
    <x:t xml:space="preserve">华能(广东）能源开发有限公司汕头电厂</x:t>
  </x:si>
  <x:si>
    <x:t xml:space="preserve">濠江区</x:t>
  </x:si>
  <x:si>
    <x:t xml:space="preserve">华能国际电力股份有限公司汕头电厂</x:t>
  </x:si>
  <x:si>
    <x:t xml:space="preserve">MA55UFP3-9()</x:t>
  </x:si>
  <x:si>
    <x:t xml:space="preserve">91440500MA55UFP39N()</x:t>
  </x:si>
  <x:si>
    <x:t xml:space="preserve">华能（广东）能源开发有限公司海门电厂</x:t>
  </x:si>
  <x:si>
    <x:t xml:space="preserve">潮阳区</x:t>
  </x:si>
  <x:si>
    <x:t xml:space="preserve">华能国际电力股份有限公司海门电厂</x:t>
  </x:si>
  <x:si>
    <x:t xml:space="preserve">海水脱硫法</x:t>
  </x:si>
  <x:si>
    <x:t xml:space="preserve">静电除尘</x:t>
  </x:si>
  <x:si>
    <x:t xml:space="preserve">MA4WGAGY-8()</x:t>
  </x:si>
  <x:si>
    <x:t xml:space="preserve">91440514MA4WGAGY8W()</x:t>
  </x:si>
  <x:si>
    <x:t xml:space="preserve">汕头中圣科营热电有限公司</x:t>
  </x:si>
  <x:si>
    <x:t xml:space="preserve">潮南区</x:t>
  </x:si>
  <x:si>
    <x:t xml:space="preserve">石灰/石膏法</x:t>
  </x:si>
  <x:si>
    <x:t xml:space="preserve">袋式除尘+其他（湿法脱硫协同）</x:t>
  </x:si>
  <x:si>
    <x:t xml:space="preserve">75366473-3(  )</x:t>
  </x:si>
  <x:si>
    <x:t xml:space="preserve">914406007536647339(  )</x:t>
  </x:si>
  <x:si>
    <x:t xml:space="preserve">佛山市福能发电有限公司</x:t>
  </x:si>
  <x:si>
    <x:t xml:space="preserve">禅城区</x:t>
  </x:si>
  <x:si>
    <x:t xml:space="preserve">佛山</x:t>
  </x:si>
  <x:si>
    <x:t xml:space="preserve">61764558-9(  )</x:t>
  </x:si>
  <x:si>
    <x:t xml:space="preserve">91440605617645589T(  )</x:t>
  </x:si>
  <x:si>
    <x:t xml:space="preserve">南海发电一厂有限公司</x:t>
  </x:si>
  <x:si>
    <x:t xml:space="preserve">南海区</x:t>
  </x:si>
  <x:si>
    <x:t xml:space="preserve">其他层燃炉</x:t>
  </x:si>
  <x:si>
    <x:t xml:space="preserve">燃料油</x:t>
  </x:si>
  <x:si>
    <x:t xml:space="preserve">电袋组合+其他（湿法脱硫协同）</x:t>
  </x:si>
  <x:si>
    <x:t xml:space="preserve">61764635-4(  )</x:t>
  </x:si>
  <x:si>
    <x:t xml:space="preserve">914406056176463544(  )</x:t>
  </x:si>
  <x:si>
    <x:t xml:space="preserve">南海长海发电有限公司</x:t>
  </x:si>
  <x:si>
    <x:t xml:space="preserve">79293948-8(  )</x:t>
  </x:si>
  <x:si>
    <x:t xml:space="preserve">91440605792939488U(  )</x:t>
  </x:si>
  <x:si>
    <x:t xml:space="preserve">佛山市南海京能发电有限公司</x:t>
  </x:si>
  <x:si>
    <x:t xml:space="preserve">27998898-3(01)</x:t>
  </x:si>
  <x:si>
    <x:t xml:space="preserve">914406062799889835(01)</x:t>
  </x:si>
  <x:si>
    <x:t xml:space="preserve">佛山市顺德金纺集团有限公司</x:t>
  </x:si>
  <x:si>
    <x:t xml:space="preserve">顺德区</x:t>
  </x:si>
  <x:si>
    <x:t xml:space="preserve">链条炉</x:t>
  </x:si>
  <x:si>
    <x:t xml:space="preserve">S08|双碱法</x:t>
  </x:si>
  <x:si>
    <x:t xml:space="preserve">31499795-8()</x:t>
  </x:si>
  <x:si>
    <x:t xml:space="preserve">914406063149979582()</x:t>
  </x:si>
  <x:si>
    <x:t xml:space="preserve">华电佛山能源有限公司（顺德）</x:t>
  </x:si>
  <x:si>
    <x:t xml:space="preserve">华电广东顺德能源有限公司</x:t>
  </x:si>
  <x:si>
    <x:t xml:space="preserve">74083759-4(  )</x:t>
  </x:si>
  <x:si>
    <x:t xml:space="preserve">91440606740837594W(  )</x:t>
  </x:si>
  <x:si>
    <x:t xml:space="preserve">佛山市顺德区金丰热能有限公司</x:t>
  </x:si>
  <x:si>
    <x:t xml:space="preserve">热力生产和供应</x:t>
  </x:si>
  <x:si>
    <x:t xml:space="preserve">75451767-1(  )</x:t>
  </x:si>
  <x:si>
    <x:t xml:space="preserve">91440606754517671T(  )</x:t>
  </x:si>
  <x:si>
    <x:t xml:space="preserve">佛山市顺德明洋纺织印染有限公司</x:t>
  </x:si>
  <x:si>
    <x:t xml:space="preserve">顺德市伦教明洋针织染整厂</x:t>
  </x:si>
  <x:si>
    <x:t xml:space="preserve">P06|管式</x:t>
  </x:si>
  <x:si>
    <x:t xml:space="preserve">77996657-X(  )</x:t>
  </x:si>
  <x:si>
    <x:t xml:space="preserve">9144060677996657XQ(  )</x:t>
  </x:si>
  <x:si>
    <x:t xml:space="preserve">佛山市顺德五沙热电有限公司</x:t>
  </x:si>
  <x:si>
    <x:t xml:space="preserve">39805583-6()</x:t>
  </x:si>
  <x:si>
    <x:t xml:space="preserve">914406003980558362()</x:t>
  </x:si>
  <x:si>
    <x:t xml:space="preserve">华电佛山能源有限公司</x:t>
  </x:si>
  <x:si>
    <x:t xml:space="preserve">三水区</x:t>
  </x:si>
  <x:si>
    <x:t xml:space="preserve">55912657-9(  )</x:t>
  </x:si>
  <x:si>
    <x:t xml:space="preserve">91440600559126579M()</x:t>
  </x:si>
  <x:si>
    <x:t xml:space="preserve">佛山市佳利达环保科技股份有限公司热电分厂</x:t>
  </x:si>
  <x:si>
    <x:t xml:space="preserve">佛山市三水大塘热电有限公司</x:t>
  </x:si>
  <x:si>
    <x:t xml:space="preserve">61762931-9(  )</x:t>
  </x:si>
  <x:si>
    <x:t xml:space="preserve">91440600617629319D(  )</x:t>
  </x:si>
  <x:si>
    <x:t xml:space="preserve">佛山恒益热电有限公司</x:t>
  </x:si>
  <x:si>
    <x:t xml:space="preserve">佛山恒益发电有限公司、佛山市三水恒益火力发电厂有限公司</x:t>
  </x:si>
  <x:si>
    <x:t xml:space="preserve">湿法石灰石-石膏法</x:t>
  </x:si>
  <x:si>
    <x:t xml:space="preserve">静电除尘+其他（湿法脱硫协同）+其他（湿式电除尘）</x:t>
  </x:si>
  <x:si>
    <x:t xml:space="preserve">74365942-0(02)</x:t>
  </x:si>
  <x:si>
    <x:t xml:space="preserve">914406007436594208(02)</x:t>
  </x:si>
  <x:si>
    <x:t xml:space="preserve">佛山市佳利达环保科技股份有限公司（天然气分布式能源站项目）</x:t>
  </x:si>
  <x:si>
    <x:t xml:space="preserve">液化天然气</x:t>
  </x:si>
  <x:si>
    <x:t xml:space="preserve">61762557-X(  )</x:t>
  </x:si>
  <x:si>
    <x:t xml:space="preserve">9144060061762557X0(  )</x:t>
  </x:si>
  <x:si>
    <x:t xml:space="preserve">广东溢达纺织有限公司</x:t>
  </x:si>
  <x:si>
    <x:t xml:space="preserve">高明区</x:t>
  </x:si>
  <x:si>
    <x:t xml:space="preserve">棉纺纱加工</x:t>
  </x:si>
  <x:si>
    <x:t xml:space="preserve">S02|型煤固硫S08|双碱法</x:t>
  </x:si>
  <x:si>
    <x:t xml:space="preserve">P05|板式P06|管式P10|喷淋塔/冲击水浴</x:t>
  </x:si>
  <x:si>
    <x:t xml:space="preserve">MA51XDKL-1()</x:t>
  </x:si>
  <x:si>
    <x:t xml:space="preserve">91440608MA51XDKL18()</x:t>
  </x:si>
  <x:si>
    <x:t xml:space="preserve">大唐佛山热电有限责任公司</x:t>
  </x:si>
  <x:si>
    <x:t xml:space="preserve">06672941-9()</x:t>
  </x:si>
  <x:si>
    <x:t xml:space="preserve">914407030667294196()</x:t>
  </x:si>
  <x:si>
    <x:t xml:space="preserve">华电福新江门能源有限公司</x:t>
  </x:si>
  <x:si>
    <x:t xml:space="preserve">蓬江区</x:t>
  </x:si>
  <x:si>
    <x:t xml:space="preserve">江门</x:t>
  </x:si>
  <x:si>
    <x:t xml:space="preserve">MA4UJK4R-6()</x:t>
  </x:si>
  <x:si>
    <x:t xml:space="preserve">91440700MA4UJK4R6C()</x:t>
  </x:si>
  <x:si>
    <x:t xml:space="preserve">中电（江门）综合能源有限公司</x:t>
  </x:si>
  <x:si>
    <x:t xml:space="preserve">江海区</x:t>
  </x:si>
  <x:si>
    <x:t xml:space="preserve">无</x:t>
  </x:si>
  <x:si>
    <x:t xml:space="preserve">61774049-8(  )</x:t>
  </x:si>
  <x:si>
    <x:t xml:space="preserve">91440700617740498E(  )</x:t>
  </x:si>
  <x:si>
    <x:t xml:space="preserve">新会双水发电（B厂）有限公司</x:t>
  </x:si>
  <x:si>
    <x:t xml:space="preserve">新会区</x:t>
  </x:si>
  <x:si>
    <x:t xml:space="preserve">高效石灰/石膏法②</x:t>
  </x:si>
  <x:si>
    <x:t xml:space="preserve">61774244-2(  )</x:t>
  </x:si>
  <x:si>
    <x:t xml:space="preserve">914407006177424425(  )</x:t>
  </x:si>
  <x:si>
    <x:t xml:space="preserve">江门市新会区冠华针织厂有限公司</x:t>
  </x:si>
  <x:si>
    <x:t xml:space="preserve">63286389-1(  )</x:t>
  </x:si>
  <x:si>
    <x:t xml:space="preserve">91440700632863891C(  )</x:t>
  </x:si>
  <x:si>
    <x:t xml:space="preserve">江门市明星纸业有限公司</x:t>
  </x:si>
  <x:si>
    <x:t xml:space="preserve">68056074-8()</x:t>
  </x:si>
  <x:si>
    <x:t xml:space="preserve">91440700680560748P()</x:t>
  </x:si>
  <x:si>
    <x:t xml:space="preserve">江门市新会双水发电三厂有限公司</x:t>
  </x:si>
  <x:si>
    <x:t xml:space="preserve">70798122-8(  )</x:t>
  </x:si>
  <x:si>
    <x:t xml:space="preserve">91440705707981228Q(  )</x:t>
  </x:si>
  <x:si>
    <x:t xml:space="preserve">江门市新会信和染整有限公司</x:t>
  </x:si>
  <x:si>
    <x:t xml:space="preserve">袋式除尘+其他（湿式电除尘）</x:t>
  </x:si>
  <x:si>
    <x:t xml:space="preserve">74296698-X(  )</x:t>
  </x:si>
  <x:si>
    <x:t xml:space="preserve">9144070574296698XM(  )</x:t>
  </x:si>
  <x:si>
    <x:t xml:space="preserve">江门市新会区顺和实业有限公司</x:t>
  </x:si>
  <x:si>
    <x:t xml:space="preserve">74448625-0(  )</x:t>
  </x:si>
  <x:si>
    <x:t xml:space="preserve">91440700744486250P(  )</x:t>
  </x:si>
  <x:si>
    <x:t xml:space="preserve">亚太森博（广东）纸业有限公司</x:t>
  </x:si>
  <x:si>
    <x:t xml:space="preserve">亚太纸业（广东）有限公司</x:t>
  </x:si>
  <x:si>
    <x:t xml:space="preserve">电袋组合+其他（湿法脱硫协同）+其他（湿式电除尘）</x:t>
  </x:si>
  <x:si>
    <x:t xml:space="preserve">77188447-3()</x:t>
  </x:si>
  <x:si>
    <x:t xml:space="preserve">914407057718844736()</x:t>
  </x:si>
  <x:si>
    <x:t xml:space="preserve">广东粤电新会发电有限公司</x:t>
  </x:si>
  <x:si>
    <x:t xml:space="preserve">79299780-5(  )</x:t>
  </x:si>
  <x:si>
    <x:t xml:space="preserve">914407057929978056(  )</x:t>
  </x:si>
  <x:si>
    <x:t xml:space="preserve">江门市桥裕纸业有限公司</x:t>
  </x:si>
  <x:si>
    <x:t xml:space="preserve">MA4UR15B-3()</x:t>
  </x:si>
  <x:si>
    <x:t xml:space="preserve">91440700MA4UR15B3E()</x:t>
  </x:si>
  <x:si>
    <x:t xml:space="preserve">江门嘉信能源股份有限公司</x:t>
  </x:si>
  <x:si>
    <x:t xml:space="preserve">72784029-7(  )</x:t>
  </x:si>
  <x:si>
    <x:t xml:space="preserve">91440781727840297A()</x:t>
  </x:si>
  <x:si>
    <x:t xml:space="preserve">国能粤电台山发电有限公司</x:t>
  </x:si>
  <x:si>
    <x:t xml:space="preserve">台山市</x:t>
  </x:si>
  <x:si>
    <x:t xml:space="preserve">广东国华粤电台山发电有限公司</x:t>
  </x:si>
  <x:si>
    <x:t xml:space="preserve">72438952-5(  )</x:t>
  </x:si>
  <x:si>
    <x:t xml:space="preserve">91440783724389525B(  )</x:t>
  </x:si>
  <x:si>
    <x:t xml:space="preserve">开平市信迪染整厂有限公司</x:t>
  </x:si>
  <x:si>
    <x:t xml:space="preserve">开平市</x:t>
  </x:si>
  <x:si>
    <x:t xml:space="preserve">MA4UUX1A-3()</x:t>
  </x:si>
  <x:si>
    <x:t xml:space="preserve">91440700MA4UUX1A3G()</x:t>
  </x:si>
  <x:si>
    <x:t xml:space="preserve">开平市东发纸业有限公司</x:t>
  </x:si>
  <x:si>
    <x:t xml:space="preserve">23210093-2(  )</x:t>
  </x:si>
  <x:si>
    <x:t xml:space="preserve">湛江电力有限公司</x:t>
  </x:si>
  <x:si>
    <x:t xml:space="preserve">赤坎区</x:t>
  </x:si>
  <x:si>
    <x:t xml:space="preserve">湛江</x:t>
  </x:si>
  <x:si>
    <x:t xml:space="preserve">74367331-0(  )</x:t>
  </x:si>
  <x:si>
    <x:t xml:space="preserve">914408007436733100(  )</x:t>
  </x:si>
  <x:si>
    <x:t xml:space="preserve">湛江中粤能源有限公司</x:t>
  </x:si>
  <x:si>
    <x:t xml:space="preserve">61827072-3(  )</x:t>
  </x:si>
  <x:si>
    <x:t xml:space="preserve">91440800618270723E(  )</x:t>
  </x:si>
  <x:si>
    <x:t xml:space="preserve">湛江冠豪纸业有限公司</x:t>
  </x:si>
  <x:si>
    <x:t xml:space="preserve">麻章区</x:t>
  </x:si>
  <x:si>
    <x:t xml:space="preserve">湛江冠龙纸业有限公司</x:t>
  </x:si>
  <x:si>
    <x:t xml:space="preserve">氧化镁法</x:t>
  </x:si>
  <x:si>
    <x:t xml:space="preserve">78487434-6(  )</x:t>
  </x:si>
  <x:si>
    <x:t xml:space="preserve">91440800784874346G(  )</x:t>
  </x:si>
  <x:si>
    <x:t xml:space="preserve">湛江晨鸣浆纸有限公司</x:t>
  </x:si>
  <x:si>
    <x:t xml:space="preserve">木竹浆制造</x:t>
  </x:si>
  <x:si>
    <x:t xml:space="preserve">DA046</x:t>
  </x:si>
  <x:si>
    <x:t xml:space="preserve">57241911-4(  )</x:t>
  </x:si>
  <x:si>
    <x:t xml:space="preserve">914408005724191142(  )</x:t>
  </x:si>
  <x:si>
    <x:t xml:space="preserve">宝钢湛江钢铁有限公司</x:t>
  </x:si>
  <x:si>
    <x:t xml:space="preserve">湛江经济技术开发区</x:t>
  </x:si>
  <x:si>
    <x:t xml:space="preserve">炼铁</x:t>
  </x:si>
  <x:si>
    <x:t xml:space="preserve">转炉煤气</x:t>
  </x:si>
  <x:si>
    <x:t xml:space="preserve">DA345</x:t>
  </x:si>
  <x:si>
    <x:t xml:space="preserve">DA346</x:t>
  </x:si>
  <x:si>
    <x:t xml:space="preserve">59006190-2()</x:t>
  </x:si>
  <x:si>
    <x:t xml:space="preserve">91440800590061902J()</x:t>
  </x:si>
  <x:si>
    <x:t xml:space="preserve">中科（广东）炼化有限公司</x:t>
  </x:si>
  <x:si>
    <x:t xml:space="preserve">高效烟气循环流化床法②</x:t>
  </x:si>
  <x:si>
    <x:t xml:space="preserve">61780353-2(  )</x:t>
  </x:si>
  <x:si>
    <x:t xml:space="preserve">91440800617803532R(  )</x:t>
  </x:si>
  <x:si>
    <x:t xml:space="preserve">广东冠豪高新技术股份有限公司</x:t>
  </x:si>
  <x:si>
    <x:t xml:space="preserve">其他（高效电石渣法）②</x:t>
  </x:si>
  <x:si>
    <x:t xml:space="preserve">33796627-3()</x:t>
  </x:si>
  <x:si>
    <x:t xml:space="preserve">91440882337966273H()</x:t>
  </x:si>
  <x:si>
    <x:t xml:space="preserve">广东大唐国际雷州发电有限责任公司</x:t>
  </x:si>
  <x:si>
    <x:t xml:space="preserve">雷州市</x:t>
  </x:si>
  <x:si>
    <x:t xml:space="preserve">高效静电除尘+其他（湿式电除尘）①</x:t>
  </x:si>
  <x:si>
    <x:t xml:space="preserve">68244856-5(  )</x:t>
  </x:si>
  <x:si>
    <x:t xml:space="preserve">91440900682448565K()</x:t>
  </x:si>
  <x:si>
    <x:t xml:space="preserve">茂名环星新材料股份有限公司</x:t>
  </x:si>
  <x:si>
    <x:t xml:space="preserve">茂南区</x:t>
  </x:si>
  <x:si>
    <x:t xml:space="preserve">茂名</x:t>
  </x:si>
  <x:si>
    <x:t xml:space="preserve">化学试剂和助剂制造</x:t>
  </x:si>
  <x:si>
    <x:t xml:space="preserve">茂名环星炭黑有限公司</x:t>
  </x:si>
  <x:si>
    <x:t xml:space="preserve">S04|石灰/石膏法</x:t>
  </x:si>
  <x:si>
    <x:t xml:space="preserve">P01|袋式除尘P10|喷淋塔/冲击水浴</x:t>
  </x:si>
  <x:si>
    <x:t xml:space="preserve">72248455-3(  )</x:t>
  </x:si>
  <x:si>
    <x:t xml:space="preserve">91440900722484553D(  )</x:t>
  </x:si>
  <x:si>
    <x:t xml:space="preserve">中国石油化工股份有限公司茂名分公司（炼油部分）</x:t>
  </x:si>
  <x:si>
    <x:t xml:space="preserve">76656459-8(  )</x:t>
  </x:si>
  <x:si>
    <x:t xml:space="preserve">914409007665645985(  )</x:t>
  </x:si>
  <x:si>
    <x:t xml:space="preserve">广东能源茂名热电厂有限公司</x:t>
  </x:si>
  <x:si>
    <x:t xml:space="preserve">茂名热电厂</x:t>
  </x:si>
  <x:si>
    <x:t xml:space="preserve">19492104-2()</x:t>
  </x:si>
  <x:si>
    <x:t xml:space="preserve">91440900194921042C()</x:t>
  </x:si>
  <x:si>
    <x:t xml:space="preserve">中国石化集团茂名石油化工有限公司热电分部</x:t>
  </x:si>
  <x:si>
    <x:t xml:space="preserve">茂名高新技术产业开发区</x:t>
  </x:si>
  <x:si>
    <x:t xml:space="preserve">中国石化集团资产经营管理有限公司茂名石化分公司热电分部，中国石化集团资产经营管理有限公司茂名石化分公</x:t>
  </x:si>
  <x:si>
    <x:t xml:space="preserve">静电除尘+其他（湿法脱硫协同）</x:t>
  </x:si>
  <x:si>
    <x:t xml:space="preserve">34547070-2()</x:t>
  </x:si>
  <x:si>
    <x:t xml:space="preserve">914409003454707025()</x:t>
  </x:si>
  <x:si>
    <x:t xml:space="preserve">茂名长青热电有限公司</x:t>
  </x:si>
  <x:si>
    <x:t xml:space="preserve">72248455-3(02)</x:t>
  </x:si>
  <x:si>
    <x:t xml:space="preserve">91440900722484553D(02)</x:t>
  </x:si>
  <x:si>
    <x:t xml:space="preserve">中国石油化工股份有限公司茂名分公司（化工部分）</x:t>
  </x:si>
  <x:si>
    <x:t xml:space="preserve">有机化学原料制造</x:t>
  </x:si>
  <x:si>
    <x:t xml:space="preserve">DA073</x:t>
  </x:si>
  <x:si>
    <x:t xml:space="preserve">DA071</x:t>
  </x:si>
  <x:si>
    <x:t xml:space="preserve">76381567-0()</x:t>
  </x:si>
  <x:si>
    <x:t xml:space="preserve">914409817638156700()</x:t>
  </x:si>
  <x:si>
    <x:t xml:space="preserve">高州市金墩纸业有限公司</x:t>
  </x:si>
  <x:si>
    <x:t xml:space="preserve">高州市</x:t>
  </x:si>
  <x:si>
    <x:t xml:space="preserve">MA4WT0QB-7()</x:t>
  </x:si>
  <x:si>
    <x:t xml:space="preserve">91440981MA4WT0QB7E()</x:t>
  </x:si>
  <x:si>
    <x:t xml:space="preserve">高州协鑫燃气分布式能源有限公司</x:t>
  </x:si>
  <x:si>
    <x:t xml:space="preserve">55168364-5()</x:t>
  </x:si>
  <x:si>
    <x:t xml:space="preserve">91440900551683645F()</x:t>
  </x:si>
  <x:si>
    <x:t xml:space="preserve">广东粤电博贺能源有限公司</x:t>
  </x:si>
  <x:si>
    <x:t xml:space="preserve">茂名滨海新区</x:t>
  </x:si>
  <x:si>
    <x:t xml:space="preserve">广东粤电博贺煤电有限公司</x:t>
  </x:si>
  <x:si>
    <x:t xml:space="preserve">06514279-8()</x:t>
  </x:si>
  <x:si>
    <x:t xml:space="preserve">914412830651427982()</x:t>
  </x:si>
  <x:si>
    <x:t xml:space="preserve">广东大唐国际肇庆热电有限责任公司</x:t>
  </x:si>
  <x:si>
    <x:t xml:space="preserve">高要区</x:t>
  </x:si>
  <x:si>
    <x:t xml:space="preserve">肇庆</x:t>
  </x:si>
  <x:si>
    <x:t xml:space="preserve">72475755-1(  )</x:t>
  </x:si>
  <x:si>
    <x:t xml:space="preserve">914412007247575512(  )</x:t>
  </x:si>
  <x:si>
    <x:t xml:space="preserve">广东鼎丰纸业有限公司</x:t>
  </x:si>
  <x:si>
    <x:t xml:space="preserve">广宁县</x:t>
  </x:si>
  <x:si>
    <x:t xml:space="preserve">生物燃料</x:t>
  </x:si>
  <x:si>
    <x:t xml:space="preserve">吨标准煤</x:t>
  </x:si>
  <x:si>
    <x:t xml:space="preserve">68248296-6(  )</x:t>
  </x:si>
  <x:si>
    <x:t xml:space="preserve">914412006824829669(  )</x:t>
  </x:si>
  <x:si>
    <x:t xml:space="preserve">国能（肇庆）热电有限公司</x:t>
  </x:si>
  <x:si>
    <x:t xml:space="preserve">高新区</x:t>
  </x:si>
  <x:si>
    <x:t xml:space="preserve">国电肇庆热电有限公司</x:t>
  </x:si>
  <x:si>
    <x:t xml:space="preserve">06213285-0()</x:t>
  </x:si>
  <x:si>
    <x:t xml:space="preserve">914412000621328509()</x:t>
  </x:si>
  <x:si>
    <x:t xml:space="preserve">中电（四会）热电有限责任公司</x:t>
  </x:si>
  <x:si>
    <x:t xml:space="preserve">四会市</x:t>
  </x:si>
  <x:si>
    <x:t xml:space="preserve">79117246-5(  )</x:t>
  </x:si>
  <x:si>
    <x:t xml:space="preserve">914413237911724651(  )</x:t>
  </x:si>
  <x:si>
    <x:t xml:space="preserve">广东惠州平海发电厂有限公司</x:t>
  </x:si>
  <x:si>
    <x:t xml:space="preserve">惠东县</x:t>
  </x:si>
  <x:si>
    <x:t xml:space="preserve">惠州</x:t>
  </x:si>
  <x:si>
    <x:t xml:space="preserve">71093972-5(  )</x:t>
  </x:si>
  <x:si>
    <x:t xml:space="preserve">914413007109397255(  )</x:t>
  </x:si>
  <x:si>
    <x:t xml:space="preserve">中海壳牌石油化工有限公司</x:t>
  </x:si>
  <x:si>
    <x:t xml:space="preserve">大亚湾经济开发区</x:t>
  </x:si>
  <x:si>
    <x:t xml:space="preserve">石灰石-石膏湿法</x:t>
  </x:si>
  <x:si>
    <x:t xml:space="preserve">DA058</x:t>
  </x:si>
  <x:si>
    <x:t xml:space="preserve">DA060</x:t>
  </x:si>
  <x:si>
    <x:t xml:space="preserve">76380066-3(  )</x:t>
  </x:si>
  <x:si>
    <x:t xml:space="preserve">91441300763800663F(  )</x:t>
  </x:si>
  <x:si>
    <x:t xml:space="preserve">广东惠州天然气发电有限公司</x:t>
  </x:si>
  <x:si>
    <x:t xml:space="preserve">DA009</x:t>
  </x:si>
  <x:si>
    <x:t xml:space="preserve">DA010</x:t>
  </x:si>
  <x:si>
    <x:t xml:space="preserve">DA011</x:t>
  </x:si>
  <x:si>
    <x:t xml:space="preserve">DA012</x:t>
  </x:si>
  <x:si>
    <x:t xml:space="preserve">MA4UJN13-9()</x:t>
  </x:si>
  <x:si>
    <x:t xml:space="preserve">91441300MA4UJN139B()</x:t>
  </x:si>
  <x:si>
    <x:t xml:space="preserve">中海油惠州石化有限公司</x:t>
  </x:si>
  <x:si>
    <x:t xml:space="preserve">中海石油炼化有限责任公司惠州炼化分公司</x:t>
  </x:si>
  <x:si>
    <x:t xml:space="preserve">MA57BR9C-1()</x:t>
  </x:si>
  <x:si>
    <x:t xml:space="preserve">91441304MA57BR9C15()</x:t>
  </x:si>
  <x:si>
    <x:t xml:space="preserve">国能（惠州）热电有限责任公司</x:t>
  </x:si>
  <x:si>
    <x:t xml:space="preserve">中国神华能源股份有限公司国华惠州热电分公司</x:t>
  </x:si>
  <x:si>
    <x:t xml:space="preserve">高效电袋组合+其他（湿式电除尘）①</x:t>
  </x:si>
  <x:si>
    <x:t xml:space="preserve">75831285-X()</x:t>
  </x:si>
  <x:si>
    <x:t xml:space="preserve">9144130075831285XG()</x:t>
  </x:si>
  <x:si>
    <x:t xml:space="preserve">惠州深能源丰达电力有限公司</x:t>
  </x:si>
  <x:si>
    <x:t xml:space="preserve">仲恺高新技术产业开发区</x:t>
  </x:si>
  <x:si>
    <x:t xml:space="preserve">/</x:t>
  </x:si>
  <x:si>
    <x:t xml:space="preserve">75451270-7(  )</x:t>
  </x:si>
  <x:si>
    <x:t xml:space="preserve">91441403754512707E(  )</x:t>
  </x:si>
  <x:si>
    <x:t xml:space="preserve">广东宝丽华电力有限公司</x:t>
  </x:si>
  <x:si>
    <x:t xml:space="preserve">梅县区</x:t>
  </x:si>
  <x:si>
    <x:t xml:space="preserve">梅州</x:t>
  </x:si>
  <x:si>
    <x:t xml:space="preserve">广东宝丽华电力有限公司梅县荷树园电厂</x:t>
  </x:si>
  <x:si>
    <x:t xml:space="preserve">S01|炉内喷钙S03|石灰石/石膏法</x:t>
  </x:si>
  <x:si>
    <x:t xml:space="preserve">布袋除尘</x:t>
  </x:si>
  <x:si>
    <x:t xml:space="preserve">06145024-0(  )</x:t>
  </x:si>
  <x:si>
    <x:t xml:space="preserve">91441422061450240Y(  )</x:t>
  </x:si>
  <x:si>
    <x:t xml:space="preserve">广东粤电大埔发电有限公司</x:t>
  </x:si>
  <x:si>
    <x:t xml:space="preserve">大埔县</x:t>
  </x:si>
  <x:si>
    <x:t xml:space="preserve">76061818-8(  )</x:t>
  </x:si>
  <x:si>
    <x:t xml:space="preserve">91441500760618188Q(  )</x:t>
  </x:si>
  <x:si>
    <x:t xml:space="preserve">广东红海湾发电有限公司</x:t>
  </x:si>
  <x:si>
    <x:t xml:space="preserve">城区</x:t>
  </x:si>
  <x:si>
    <x:t xml:space="preserve">汕尾</x:t>
  </x:si>
  <x:si>
    <x:t xml:space="preserve">66152796-9()</x:t>
  </x:si>
  <x:si>
    <x:t xml:space="preserve">91441581661527969A()</x:t>
  </x:si>
  <x:si>
    <x:t xml:space="preserve">陆丰宝丽华新能源电力有限公司</x:t>
  </x:si>
  <x:si>
    <x:t xml:space="preserve">陆丰市</x:t>
  </x:si>
  <x:si>
    <x:t xml:space="preserve">71788092-2(  )</x:t>
  </x:si>
  <x:si>
    <x:t xml:space="preserve">深能合和电力（河源）有限公司</x:t>
  </x:si>
  <x:si>
    <x:t xml:space="preserve">源城区</x:t>
  </x:si>
  <x:si>
    <x:t xml:space="preserve">河源</x:t>
  </x:si>
  <x:si>
    <x:t xml:space="preserve">MA52ADQP-8()</x:t>
  </x:si>
  <x:si>
    <x:t xml:space="preserve">91441600MA52ADQP8M()</x:t>
  </x:si>
  <x:si>
    <x:t xml:space="preserve">深能（河源）电力有限公司</x:t>
  </x:si>
  <x:si>
    <x:t xml:space="preserve">石灰石-石膏湿式脱硫</x:t>
  </x:si>
  <x:si>
    <x:t xml:space="preserve">低氮燃烧+SCR</x:t>
  </x:si>
  <x:si>
    <x:t xml:space="preserve">高效电除尘器+湿式电除尘器</x:t>
  </x:si>
  <x:si>
    <x:t xml:space="preserve">MA4ULMEF-8()</x:t>
  </x:si>
  <x:si>
    <x:t xml:space="preserve">91441622MA4ULMEF82()</x:t>
  </x:si>
  <x:si>
    <x:t xml:space="preserve">河源昆腾电子科技有限公司</x:t>
  </x:si>
  <x:si>
    <x:t xml:space="preserve">龙川县</x:t>
  </x:si>
  <x:si>
    <x:t xml:space="preserve">塑料薄膜制造</x:t>
  </x:si>
  <x:si>
    <x:t xml:space="preserve">DA207</x:t>
  </x:si>
  <x:si>
    <x:t xml:space="preserve">56821252-4(  )</x:t>
  </x:si>
  <x:si>
    <x:t xml:space="preserve">91441625568212524E(  )</x:t>
  </x:si>
  <x:si>
    <x:t xml:space="preserve">河源旗滨硅业有限公司</x:t>
  </x:si>
  <x:si>
    <x:t xml:space="preserve">东源县</x:t>
  </x:si>
  <x:si>
    <x:t xml:space="preserve">平板玻璃制造</x:t>
  </x:si>
  <x:si>
    <x:t xml:space="preserve">DA044</x:t>
  </x:si>
  <x:si>
    <x:t xml:space="preserve">DA045</x:t>
  </x:si>
  <x:si>
    <x:t xml:space="preserve">79621364-1(  )</x:t>
  </x:si>
  <x:si>
    <x:t xml:space="preserve">91441700796213641J(  )</x:t>
  </x:si>
  <x:si>
    <x:t xml:space="preserve">嘉吉粮油（阳江）有限公司</x:t>
  </x:si>
  <x:si>
    <x:t xml:space="preserve">阳江</x:t>
  </x:si>
  <x:si>
    <x:t xml:space="preserve">食用植物油加工</x:t>
  </x:si>
  <x:si>
    <x:t xml:space="preserve">75832145-7(  )</x:t>
  </x:si>
  <x:si>
    <x:t xml:space="preserve">914417217583214578(  )</x:t>
  </x:si>
  <x:si>
    <x:t xml:space="preserve">阳西海滨电力发展有限公司</x:t>
  </x:si>
  <x:si>
    <x:t xml:space="preserve">阳西县</x:t>
  </x:si>
  <x:si>
    <x:t xml:space="preserve">32520486-1()</x:t>
  </x:si>
  <x:si>
    <x:t xml:space="preserve">91441781325204861P()</x:t>
  </x:si>
  <x:si>
    <x:t xml:space="preserve">广东新兴铸管有限公司</x:t>
  </x:si>
  <x:si>
    <x:t xml:space="preserve">阳春市</x:t>
  </x:si>
  <x:si>
    <x:t xml:space="preserve">黑色金属铸造</x:t>
  </x:si>
  <x:si>
    <x:t xml:space="preserve">66985167-5(  )</x:t>
  </x:si>
  <x:si>
    <x:t xml:space="preserve">91441781669851675D(  )</x:t>
  </x:si>
  <x:si>
    <x:t xml:space="preserve">阳春新钢铁有限责任公司</x:t>
  </x:si>
  <x:si>
    <x:t xml:space="preserve">钢压延加工</x:t>
  </x:si>
  <x:si>
    <x:t xml:space="preserve">DA035</x:t>
  </x:si>
  <x:si>
    <x:t xml:space="preserve">55734479-1(  )</x:t>
  </x:si>
  <x:si>
    <x:t xml:space="preserve">914418815573447915(  )</x:t>
  </x:si>
  <x:si>
    <x:t xml:space="preserve">广东粤北联合钢铁有限公司</x:t>
  </x:si>
  <x:si>
    <x:t xml:space="preserve">英德市</x:t>
  </x:si>
  <x:si>
    <x:t xml:space="preserve">清远</x:t>
  </x:si>
  <x:si>
    <x:t xml:space="preserve">英德市新英东金属制品有限责任公司</x:t>
  </x:si>
  <x:si>
    <x:t xml:space="preserve">其他锅炉</x:t>
  </x:si>
  <x:si>
    <x:t xml:space="preserve">DA023</x:t>
  </x:si>
  <x:si>
    <x:t xml:space="preserve">MA572CF8-7()</x:t>
  </x:si>
  <x:si>
    <x:t xml:space="preserve">91441881MA572CF87C()</x:t>
  </x:si>
  <x:si>
    <x:t xml:space="preserve">广东华电清远能源有限公司</x:t>
  </x:si>
  <x:si>
    <x:t xml:space="preserve">华电国际电力股份有限公司清远分公司</x:t>
  </x:si>
  <x:si>
    <x:t xml:space="preserve">08678567-X()</x:t>
  </x:si>
  <x:si>
    <x:t xml:space="preserve">9144190008678567XN()</x:t>
  </x:si>
  <x:si>
    <x:t xml:space="preserve">东莞中电第二热电有限公司</x:t>
  </x:si>
  <x:si>
    <x:t xml:space="preserve">东城街道办事处</x:t>
  </x:si>
  <x:si>
    <x:t xml:space="preserve">东莞</x:t>
  </x:si>
  <x:si>
    <x:t xml:space="preserve">75366082-0(  )</x:t>
  </x:si>
  <x:si>
    <x:t xml:space="preserve">91441900753660820K(  )</x:t>
  </x:si>
  <x:si>
    <x:t xml:space="preserve">东莞市金田纸业有限公司</x:t>
  </x:si>
  <x:si>
    <x:t xml:space="preserve">万江街道办事处</x:t>
  </x:si>
  <x:si>
    <x:t xml:space="preserve">75920198-3(  )</x:t>
  </x:si>
  <x:si>
    <x:t xml:space="preserve">91441900759201983C(  )</x:t>
  </x:si>
  <x:si>
    <x:t xml:space="preserve">东莞市新富发纸业有限公司</x:t>
  </x:si>
  <x:si>
    <x:t xml:space="preserve">DA679</x:t>
  </x:si>
  <x:si>
    <x:t xml:space="preserve">35577483-0()</x:t>
  </x:si>
  <x:si>
    <x:t xml:space="preserve">91440101355774830K()</x:t>
  </x:si>
  <x:si>
    <x:t xml:space="preserve">南电能源综合利用股份有限公司</x:t>
  </x:si>
  <x:si>
    <x:t xml:space="preserve">松山湖生态园管委会</x:t>
  </x:si>
  <x:si>
    <x:t xml:space="preserve">MA4UJTBE-9()</x:t>
  </x:si>
  <x:si>
    <x:t xml:space="preserve">91441900MA4UJTBE9B()</x:t>
  </x:si>
  <x:si>
    <x:t xml:space="preserve">华能东莞燃机热电有限责任公司</x:t>
  </x:si>
  <x:si>
    <x:t xml:space="preserve">谢岗镇</x:t>
  </x:si>
  <x:si>
    <x:t xml:space="preserve">75365456-X(  )</x:t>
  </x:si>
  <x:si>
    <x:t xml:space="preserve">9144190075365456XM(  )</x:t>
  </x:si>
  <x:si>
    <x:t xml:space="preserve">东莞深能源樟洋电力有限公司</x:t>
  </x:si>
  <x:si>
    <x:t xml:space="preserve">樟木头镇</x:t>
  </x:si>
  <x:si>
    <x:t xml:space="preserve">76381860-1()</x:t>
  </x:si>
  <x:si>
    <x:t xml:space="preserve">91441900763818601K()</x:t>
  </x:si>
  <x:si>
    <x:t xml:space="preserve">东莞今皓复合材料有限公司</x:t>
  </x:si>
  <x:si>
    <x:t xml:space="preserve">其他文教办公用品制造</x:t>
  </x:si>
  <x:si>
    <x:t xml:space="preserve">56454066-X()</x:t>
  </x:si>
  <x:si>
    <x:t xml:space="preserve">9144190056454066XM()</x:t>
  </x:si>
  <x:si>
    <x:t xml:space="preserve">东莞市准致金属制品有限公司</x:t>
  </x:si>
  <x:si>
    <x:t xml:space="preserve">大朗镇</x:t>
  </x:si>
  <x:si>
    <x:t xml:space="preserve">其他未列明金属制品制造</x:t>
  </x:si>
  <x:si>
    <x:t xml:space="preserve">69978403-9(  )</x:t>
  </x:si>
  <x:si>
    <x:t xml:space="preserve">东莞市夏旭针织有限公司</x:t>
  </x:si>
  <x:si>
    <x:t xml:space="preserve">毛织造加工</x:t>
  </x:si>
  <x:si>
    <x:t xml:space="preserve">75287632-0(  )</x:t>
  </x:si>
  <x:si>
    <x:t xml:space="preserve">东莞市川威服装有限公司</x:t>
  </x:si>
  <x:si>
    <x:t xml:space="preserve">服饰制造</x:t>
  </x:si>
  <x:si>
    <x:t xml:space="preserve">61810579-5(  )</x:t>
  </x:si>
  <x:si>
    <x:t xml:space="preserve">91441900618105795Q(  )</x:t>
  </x:si>
  <x:si>
    <x:t xml:space="preserve">东莞虎门电厂</x:t>
  </x:si>
  <x:si>
    <x:t xml:space="preserve">虎门镇</x:t>
  </x:si>
  <x:si>
    <x:t xml:space="preserve">73148621-9(  )</x:t>
  </x:si>
  <x:si>
    <x:t xml:space="preserve">91441900731486219H(  )</x:t>
  </x:si>
  <x:si>
    <x:t xml:space="preserve">广东电力发展股份有限公司沙角A电厂</x:t>
  </x:si>
  <x:si>
    <x:t xml:space="preserve">高效电袋组合+其他（湿法脱硫协同）+其他（湿式电除尘）①</x:t>
  </x:si>
  <x:si>
    <x:t xml:space="preserve">X1740017-4(  )</x:t>
  </x:si>
  <x:si>
    <x:t xml:space="preserve">91441900X174001744(  )</x:t>
  </x:si>
  <x:si>
    <x:t xml:space="preserve">广东广合电力有限公司沙角发电厂C厂</x:t>
  </x:si>
  <x:si>
    <x:t xml:space="preserve">MA4UHD7L-6()</x:t>
  </x:si>
  <x:si>
    <x:t xml:space="preserve">91441900MA4UHD7L6U()</x:t>
  </x:si>
  <x:si>
    <x:t xml:space="preserve">东莞福田绿洲供热有限公司</x:t>
  </x:si>
  <x:si>
    <x:t xml:space="preserve">沙田虎门港管委会</x:t>
  </x:si>
  <x:si>
    <x:t xml:space="preserve">MA4UN4R3-4()</x:t>
  </x:si>
  <x:si>
    <x:t xml:space="preserve">91441900MA4UN4R340()</x:t>
  </x:si>
  <x:si>
    <x:t xml:space="preserve">东莞中电九丰新能源热电有限公司</x:t>
  </x:si>
  <x:si>
    <x:t xml:space="preserve">28184698-4(  )</x:t>
  </x:si>
  <x:si>
    <x:t xml:space="preserve">东莞市道滘兴隆造纸厂有限公司</x:t>
  </x:si>
  <x:si>
    <x:t xml:space="preserve">道滘镇</x:t>
  </x:si>
  <x:si>
    <x:t xml:space="preserve">61799501-X(  )</x:t>
  </x:si>
  <x:si>
    <x:t xml:space="preserve">东莞市骏业纸业有限公司</x:t>
  </x:si>
  <x:si>
    <x:t xml:space="preserve">75288579-6(  )</x:t>
  </x:si>
  <x:si>
    <x:t xml:space="preserve">91441900752885796A()</x:t>
  </x:si>
  <x:si>
    <x:t xml:space="preserve">广东理文造纸有限公司</x:t>
  </x:si>
  <x:si>
    <x:t xml:space="preserve">洪梅镇</x:t>
  </x:si>
  <x:si>
    <x:t xml:space="preserve">59741200-7(00)</x:t>
  </x:si>
  <x:si>
    <x:t xml:space="preserve">91441900597412007N(00)</x:t>
  </x:si>
  <x:si>
    <x:t xml:space="preserve">东莞益海嘉里淀粉有限公司</x:t>
  </x:si>
  <x:si>
    <x:t xml:space="preserve">麻涌镇</x:t>
  </x:si>
  <x:si>
    <x:t xml:space="preserve">淀粉及淀粉制品制造</x:t>
  </x:si>
  <x:si>
    <x:t xml:space="preserve">东莞益海嘉里赛瑞淀粉科技有限公司</x:t>
  </x:si>
  <x:si>
    <x:t xml:space="preserve">61768866-9()</x:t>
  </x:si>
  <x:si>
    <x:t xml:space="preserve">91441900617688669N()</x:t>
  </x:si>
  <x:si>
    <x:t xml:space="preserve">玖龙纸业（东莞）有限公司</x:t>
  </x:si>
  <x:si>
    <x:t xml:space="preserve">东莞玖龙纸业有限公司</x:t>
  </x:si>
  <x:si>
    <x:t xml:space="preserve">S05|氧化镁法</x:t>
  </x:si>
  <x:si>
    <x:t xml:space="preserve">DA019</x:t>
  </x:si>
  <x:si>
    <x:t xml:space="preserve">61811668-9(  )</x:t>
  </x:si>
  <x:si>
    <x:t xml:space="preserve">91441900618116689D()</x:t>
  </x:si>
  <x:si>
    <x:t xml:space="preserve">东莞德永佳纺织制衣有限公司</x:t>
  </x:si>
  <x:si>
    <x:t xml:space="preserve">P07|湿式除雾</x:t>
  </x:si>
  <x:si>
    <x:t xml:space="preserve">MA4UXAUD-6()</x:t>
  </x:si>
  <x:si>
    <x:t xml:space="preserve">91441900MA4UXAUD6D()</x:t>
  </x:si>
  <x:si>
    <x:t xml:space="preserve">东莞市豪丰新奥能源有限公司</x:t>
  </x:si>
  <x:si>
    <x:t xml:space="preserve">74083747-1(  )</x:t>
  </x:si>
  <x:si>
    <x:t xml:space="preserve">914419007408374711(  )</x:t>
  </x:si>
  <x:si>
    <x:t xml:space="preserve">东莞顺裕纸业有限公司</x:t>
  </x:si>
  <x:si>
    <x:t xml:space="preserve">望牛墩镇</x:t>
  </x:si>
  <x:si>
    <x:t xml:space="preserve">74626484-6(  )</x:t>
  </x:si>
  <x:si>
    <x:t xml:space="preserve">91441900746264846B(  )</x:t>
  </x:si>
  <x:si>
    <x:t xml:space="preserve">东莞市泰昌纸业有限公司</x:t>
  </x:si>
  <x:si>
    <x:t xml:space="preserve">19805736-X(  )</x:t>
  </x:si>
  <x:si>
    <x:t xml:space="preserve">9144190019805736XK(  )</x:t>
  </x:si>
  <x:si>
    <x:t xml:space="preserve">东莞市三联热电有限公司</x:t>
  </x:si>
  <x:si>
    <x:t xml:space="preserve">中堂镇</x:t>
  </x:si>
  <x:si>
    <x:t xml:space="preserve">东莞市三联热电厂</x:t>
  </x:si>
  <x:si>
    <x:t xml:space="preserve">烟气循环流化床法</x:t>
  </x:si>
  <x:si>
    <x:t xml:space="preserve">61833237-3(  )</x:t>
  </x:si>
  <x:si>
    <x:t xml:space="preserve">91441900618332373G()</x:t>
  </x:si>
  <x:si>
    <x:t xml:space="preserve">东莞理文造纸厂有限公司</x:t>
  </x:si>
  <x:si>
    <x:t xml:space="preserve">选择性非催化还原法（SNCR）</x:t>
  </x:si>
  <x:si>
    <x:t xml:space="preserve">74080150-8(  )</x:t>
  </x:si>
  <x:si>
    <x:t xml:space="preserve">91441900740801508J(  )</x:t>
  </x:si>
  <x:si>
    <x:t xml:space="preserve">东莞金洲纸业有限公司</x:t>
  </x:si>
  <x:si>
    <x:t xml:space="preserve">74551958-7(  )</x:t>
  </x:si>
  <x:si>
    <x:t xml:space="preserve">91441900745519587G(  )</x:t>
  </x:si>
  <x:si>
    <x:t xml:space="preserve">东莞建晖纸业有限公司</x:t>
  </x:si>
  <x:si>
    <x:t xml:space="preserve">76733413-7(  )</x:t>
  </x:si>
  <x:si>
    <x:t xml:space="preserve">91441900767334137B(  )</x:t>
  </x:si>
  <x:si>
    <x:t xml:space="preserve">东莞深燃天然气热电有限公司</x:t>
  </x:si>
  <x:si>
    <x:t xml:space="preserve">高埗镇</x:t>
  </x:si>
  <x:si>
    <x:t xml:space="preserve">深南电（东莞）唯美电力有限公司</x:t>
  </x:si>
  <x:si>
    <x:t xml:space="preserve">75645831-0(  )</x:t>
  </x:si>
  <x:si>
    <x:t xml:space="preserve">91442000756458310K(  )</x:t>
  </x:si>
  <x:si>
    <x:t xml:space="preserve">中山市永安电力有限公司</x:t>
  </x:si>
  <x:si>
    <x:t xml:space="preserve">小榄镇</x:t>
  </x:si>
  <x:si>
    <x:t xml:space="preserve">中山</x:t>
  </x:si>
  <x:si>
    <x:t xml:space="preserve">61798625-2(  )</x:t>
  </x:si>
  <x:si>
    <x:t xml:space="preserve">91442000617986252G(  )</x:t>
  </x:si>
  <x:si>
    <x:t xml:space="preserve">中山粤海能源有限公司</x:t>
  </x:si>
  <x:si>
    <x:t xml:space="preserve">黄圃镇</x:t>
  </x:si>
  <x:si>
    <x:t xml:space="preserve">中山火力发电有限公司</x:t>
  </x:si>
  <x:si>
    <x:t xml:space="preserve">电袋复合除尘器+湿式电除尘器</x:t>
  </x:si>
  <x:si>
    <x:t xml:space="preserve">56451394-4(  )</x:t>
  </x:si>
  <x:si>
    <x:t xml:space="preserve">91442000564513944K(  )</x:t>
  </x:si>
  <x:si>
    <x:t xml:space="preserve">广东中晟电磁科技股份有限公司</x:t>
  </x:si>
  <x:si>
    <x:t xml:space="preserve">民众街道</x:t>
  </x:si>
  <x:si>
    <x:t xml:space="preserve">中山市中圣金属板带科技有限公司</x:t>
  </x:si>
  <x:si>
    <x:t xml:space="preserve">61813092-3(  )</x:t>
  </x:si>
  <x:si>
    <x:t xml:space="preserve">91442000618130923P(  )</x:t>
  </x:si>
  <x:si>
    <x:t xml:space="preserve">中山联合鸿兴造纸有限公司</x:t>
  </x:si>
  <x:si>
    <x:t xml:space="preserve">沙溪镇</x:t>
  </x:si>
  <x:si>
    <x:t xml:space="preserve">67882932-2()</x:t>
  </x:si>
  <x:si>
    <x:t xml:space="preserve">91442000678829322A()</x:t>
  </x:si>
  <x:si>
    <x:t xml:space="preserve">广东粤电中山热电厂有限公司</x:t>
  </x:si>
  <x:si>
    <x:t xml:space="preserve">三角镇</x:t>
  </x:si>
  <x:si>
    <x:t xml:space="preserve">61759238-4(  )</x:t>
  </x:si>
  <x:si>
    <x:t xml:space="preserve">914420006175923840()</x:t>
  </x:si>
  <x:si>
    <x:t xml:space="preserve">中山嘉明电力有限公司</x:t>
  </x:si>
  <x:si>
    <x:t xml:space="preserve">南朗街道</x:t>
  </x:si>
  <x:si>
    <x:t xml:space="preserve">75645676-1(  )</x:t>
  </x:si>
  <x:si>
    <x:t xml:space="preserve">914420007564567614(  )</x:t>
  </x:si>
  <x:si>
    <x:t xml:space="preserve">深南电（中山）电力有限公司</x:t>
  </x:si>
  <x:si>
    <x:t xml:space="preserve">MA4UX0TD-2()</x:t>
  </x:si>
  <x:si>
    <x:t xml:space="preserve">91445103MA4UX0TD2N()</x:t>
  </x:si>
  <x:si>
    <x:t xml:space="preserve">潮州深能甘露热电有限公司</x:t>
  </x:si>
  <x:si>
    <x:t xml:space="preserve">潮安区</x:t>
  </x:si>
  <x:si>
    <x:t xml:space="preserve">潮州</x:t>
  </x:si>
  <x:si>
    <x:t xml:space="preserve">75564834-X(  )</x:t>
  </x:si>
  <x:si>
    <x:t xml:space="preserve">9144510075564834X2(  )</x:t>
  </x:si>
  <x:si>
    <x:t xml:space="preserve">广东大唐国际潮州发电有限责任公司</x:t>
  </x:si>
  <x:si>
    <x:t xml:space="preserve">饶平县</x:t>
  </x:si>
  <x:si>
    <x:t xml:space="preserve">77307022-X(  )</x:t>
  </x:si>
  <x:si>
    <x:t xml:space="preserve">广东粤电靖海发电有限公司</x:t>
  </x:si>
  <x:si>
    <x:t xml:space="preserve">惠来县</x:t>
  </x:si>
  <x:si>
    <x:t xml:space="preserve">揭阳</x:t>
  </x:si>
  <x:si>
    <x:t xml:space="preserve">79626785-0(  )</x:t>
  </x:si>
  <x:si>
    <x:t xml:space="preserve">914452007962678507(  )</x:t>
  </x:si>
  <x:si>
    <x:t xml:space="preserve">广东敬业钢铁实业股份有限公司</x:t>
  </x:si>
  <x:si>
    <x:t xml:space="preserve">空港区</x:t>
  </x:si>
  <x:si>
    <x:t xml:space="preserve">广东泰都钢铁实业股份有限公司</x:t>
  </x:si>
  <x:si>
    <x:t xml:space="preserve">69971529-5()</x:t>
  </x:si>
  <x:si>
    <x:t xml:space="preserve">91445200699715295P()</x:t>
  </x:si>
  <x:si>
    <x:t xml:space="preserve">中国石油天然气股份有限公司广东石化分公司</x:t>
  </x:si>
  <x:si>
    <x:t xml:space="preserve">大南海工业区</x:t>
  </x:si>
  <x:si>
    <x:t xml:space="preserve">其他燃料（燃气锅炉，又对比低位发热量，判断可能是重油热裂解煤气）</x:t>
  </x:si>
  <x:si>
    <x:t xml:space="preserve">69475944-0(  )</x:t>
  </x:si>
  <x:si>
    <x:t xml:space="preserve">广东粤电云河发电有限公司</x:t>
  </x:si>
  <x:si>
    <x:t xml:space="preserve">云城区</x:t>
  </x:si>
  <x:si>
    <x:t xml:space="preserve">云浮</x:t>
  </x:si>
  <x:si>
    <x:t xml:space="preserve">71486192-9(  )</x:t>
  </x:si>
  <x:si>
    <x:t xml:space="preserve">云浮发电厂（B厂)有限公司</x:t>
  </x:si>
  <x:si>
    <x:t xml:space="preserve">61785108-3(  )</x:t>
  </x:si>
  <x:si>
    <x:t xml:space="preserve">914453006178510832(  )</x:t>
  </x:si>
  <x:si>
    <x:t xml:space="preserve">广东省粤泷发电有限责任公司</x:t>
  </x:si>
  <x:si>
    <x:t xml:space="preserve">罗定市</x:t>
  </x:si>
  <x:si>
    <x:t xml:space="preserve">高效静电除尘+其他（湿法脱硫协同）①</x:t>
  </x:si>
  <x:si>
    <x:t xml:space="preserve">效率红色代表通过匹配环统直接获得的</x:t>
  </x:si>
  <x:si>
    <x:r>
      <x:rPr>
        <x:sz val="11"/>
        <x:color theme="1"/>
        <x:rFont val="宋体"/>
      </x:rPr>
      <x:t xml:space="preserve">能源名称</x:t>
    </x:r>
  </x:si>
  <x:si>
    <x:r>
      <x:rPr>
        <x:sz val="11"/>
        <x:color theme="1"/>
        <x:rFont val="宋体"/>
      </x:rPr>
      <x:t xml:space="preserve">平均低位发热量</x:t>
    </x:r>
  </x:si>
  <x:si>
    <x:r>
      <x:rPr>
        <x:sz val="11"/>
        <x:color theme="1"/>
        <x:rFont val="宋体"/>
      </x:rPr>
      <x:t xml:space="preserve">折算标准煤系数</x:t>
    </x:r>
  </x:si>
  <x:si>
    <x:r>
      <x:rPr>
        <x:sz val="11"/>
        <x:color theme="1"/>
        <x:rFont val="宋体"/>
      </x:rPr>
      <x:t xml:space="preserve">数值</x:t>
    </x:r>
  </x:si>
  <x:si>
    <x:r>
      <x:rPr>
        <x:sz val="11"/>
        <x:color theme="1"/>
        <x:rFont val="宋体"/>
      </x:rPr>
      <x:t xml:space="preserve">单位</x:t>
    </x:r>
  </x:si>
  <x:si>
    <x:r>
      <x:rPr>
        <x:sz val="11"/>
        <x:color theme="1"/>
        <x:rFont val="宋体"/>
      </x:rPr>
      <x:t xml:space="preserve">原煤</x:t>
    </x:r>
  </x:si>
  <x:si>
    <x:t xml:space="preserve">kJ/kg</x:t>
  </x:si>
  <x:si>
    <x:t xml:space="preserve">kgce/kg</x:t>
  </x:si>
  <x:si>
    <x:r>
      <x:rPr>
        <x:sz val="11"/>
        <x:color theme="1"/>
        <x:rFont val="宋体"/>
      </x:rPr>
      <x:t xml:space="preserve">洗精煤</x:t>
    </x:r>
  </x:si>
  <x:si>
    <x:r>
      <x:rPr>
        <x:sz val="11"/>
        <x:color theme="1"/>
        <x:rFont val="宋体"/>
      </x:rPr>
      <x:t xml:space="preserve">洗中煤</x:t>
    </x:r>
  </x:si>
  <x:si>
    <x:r>
      <x:rPr>
        <x:sz val="11"/>
        <x:color theme="1"/>
        <x:rFont val="宋体"/>
      </x:rPr>
      <x:t xml:space="preserve">焦炭</x:t>
    </x:r>
  </x:si>
  <x:si>
    <x:r>
      <x:rPr>
        <x:sz val="11"/>
        <x:color theme="1"/>
        <x:rFont val="宋体"/>
      </x:rPr>
      <x:t xml:space="preserve">原油</x:t>
    </x:r>
  </x:si>
  <x:si>
    <x:r>
      <x:rPr>
        <x:sz val="11"/>
        <x:color theme="1"/>
        <x:rFont val="宋体"/>
      </x:rPr>
      <x:t xml:space="preserve">汽油</x:t>
    </x:r>
  </x:si>
  <x:si>
    <x:r>
      <x:rPr>
        <x:sz val="11"/>
        <x:color theme="1"/>
        <x:rFont val="宋体"/>
      </x:rPr>
      <x:t xml:space="preserve">煤油</x:t>
    </x:r>
  </x:si>
  <x:si>
    <x:r>
      <x:rPr>
        <x:sz val="11"/>
        <x:color theme="1"/>
        <x:rFont val="宋体"/>
      </x:rPr>
      <x:t xml:space="preserve">柴油</x:t>
    </x:r>
  </x:si>
  <x:si>
    <x:r>
      <x:rPr>
        <x:sz val="11"/>
        <x:color theme="1"/>
        <x:rFont val="宋体"/>
      </x:rPr>
      <x:t xml:space="preserve">重油</x:t>
    </x:r>
  </x:si>
  <x:si>
    <x:r>
      <x:rPr>
        <x:sz val="11"/>
        <x:color theme="1"/>
        <x:rFont val="宋体"/>
      </x:rPr>
      <x:t xml:space="preserve">天然气</x:t>
    </x:r>
  </x:si>
  <x:si>
    <x:t xml:space="preserve">kJ/m3</x:t>
  </x:si>
  <x:si>
    <x:t xml:space="preserve">kgce/m3</x:t>
  </x:si>
  <x:si>
    <x:r>
      <x:rPr>
        <x:sz val="11"/>
        <x:color theme="1"/>
        <x:rFont val="宋体"/>
      </x:rPr>
      <x:t xml:space="preserve">焦炉煤气</x:t>
    </x:r>
  </x:si>
  <x:si>
    <x:r>
      <x:rPr>
        <x:sz val="11"/>
        <x:color theme="1"/>
        <x:rFont val="宋体"/>
      </x:rPr>
      <x:t xml:space="preserve">炼厂干气</x:t>
    </x:r>
  </x:si>
  <x:si>
    <x:r>
      <x:rPr>
        <x:sz val="11"/>
        <x:color theme="1"/>
        <x:rFont val="宋体"/>
      </x:rPr>
      <x:t xml:space="preserve">液化石油气</x:t>
    </x:r>
  </x:si>
  <x:si>
    <x:r>
      <x:rPr>
        <x:sz val="11"/>
        <x:color theme="1"/>
        <x:rFont val="宋体"/>
      </x:rPr>
      <x:t xml:space="preserve">电力</x:t>
    </x:r>
  </x:si>
  <x:si>
    <x:r>
      <x:rPr>
        <x:sz val="11"/>
        <x:color theme="1"/>
        <x:rFont val="Times New Roman"/>
        <x:family val="1"/>
      </x:rPr>
      <x:t xml:space="preserve">kJ/(kW·h)</x:t>
    </x:r>
    <x:r>
      <x:rPr>
        <x:sz val="11"/>
        <x:color theme="1"/>
        <x:rFont val="宋体"/>
      </x:rPr>
      <x:t xml:space="preserve">（当量）</x:t>
    </x:r>
  </x:si>
  <x:si>
    <x:t xml:space="preserve">kgce/(kW·h)</x:t>
  </x:si>
  <x:si>
    <x:r>
      <x:rPr>
        <x:sz val="11"/>
        <x:color theme="1"/>
        <x:rFont val="Times New Roman"/>
        <x:family val="1"/>
      </x:rPr>
      <x:t xml:space="preserve">kJ/(kW·h)</x:t>
    </x:r>
    <x:r>
      <x:rPr>
        <x:sz val="11"/>
        <x:color theme="1"/>
        <x:rFont val="宋体"/>
      </x:rPr>
      <x:t xml:space="preserve">（等价）</x:t>
    </x:r>
  </x:si>
  <x:si>
    <x:r>
      <x:rPr>
        <x:sz val="11"/>
        <x:color theme="1"/>
        <x:rFont val="宋体"/>
      </x:rPr>
      <x:t xml:space="preserve">热气</x:t>
    </x:r>
  </x:si>
  <x:si>
    <x:r>
      <x:rPr>
        <x:sz val="11"/>
        <x:color theme="1"/>
        <x:rFont val="宋体"/>
      </x:rPr>
      <x:t xml:space="preserve">按热焓计算</x:t>
    </x:r>
  </x:si>
  <x:si>
    <x:t xml:space="preserve">kgce/MJ</x:t>
  </x:si>
  <x:si>
    <x:r>
      <x:rPr>
        <x:sz val="11"/>
        <x:color theme="1"/>
        <x:rFont val="宋体"/>
      </x:rPr>
      <x:t xml:space="preserve">煤泥</x:t>
    </x:r>
  </x:si>
  <x:si>
    <x:t xml:space="preserve">8374-1260</x:t>
  </x:si>
  <x:si>
    <x:t xml:space="preserve">0.22857-0.4286</x:t>
  </x:si>
  <x:si>
    <x:r>
      <x:rPr>
        <x:sz val="11"/>
        <x:color theme="1"/>
        <x:rFont val="宋体"/>
      </x:rPr>
      <x:t xml:space="preserve">泥炭</x:t>
    </x:r>
  </x:si>
  <x:si>
    <x:t xml:space="preserve">6280-10467</x:t>
  </x:si>
  <x:si>
    <x:t xml:space="preserve">0.2143-0.3571</x:t>
  </x:si>
  <x:si>
    <x:r>
      <x:rPr>
        <x:sz val="11"/>
        <x:color theme="1"/>
        <x:rFont val="宋体"/>
      </x:rPr>
      <x:t xml:space="preserve">煤焦油</x:t>
    </x:r>
  </x:si>
  <x:si>
    <x:r>
      <x:rPr>
        <x:sz val="11"/>
        <x:color theme="1"/>
        <x:rFont val="宋体"/>
      </x:rPr>
      <x:t xml:space="preserve">粗苯</x:t>
    </x:r>
  </x:si>
  <x:si>
    <x:r>
      <x:rPr>
        <x:sz val="11"/>
        <x:color theme="1"/>
        <x:rFont val="宋体"/>
      </x:rPr>
      <x:t xml:space="preserve">汽田气</x:t>
    </x:r>
  </x:si>
  <x:si>
    <x:t xml:space="preserve">kcal/m3</x:t>
  </x:si>
  <x:si>
    <x:r>
      <x:rPr>
        <x:sz val="11"/>
        <x:color theme="1"/>
        <x:rFont val="宋体"/>
      </x:rPr>
      <x:t xml:space="preserve">油田半生气</x:t>
    </x:r>
  </x:si>
  <x:si>
    <x:r>
      <x:rPr>
        <x:sz val="11"/>
        <x:color theme="1"/>
        <x:rFont val="宋体"/>
      </x:rPr>
      <x:t xml:space="preserve">煤矿瓦斯</x:t>
    </x:r>
  </x:si>
  <x:si>
    <x:t xml:space="preserve">3500-4000</x:t>
  </x:si>
  <x:si>
    <x:t xml:space="preserve">0.5-0.571</x:t>
  </x:si>
  <x:si>
    <x:r>
      <x:rPr>
        <x:sz val="11"/>
        <x:color theme="1"/>
        <x:rFont val="宋体"/>
      </x:rPr>
      <x:t xml:space="preserve">焦炭制气</x:t>
    </x:r>
  </x:si>
  <x:si>
    <x:r>
      <x:rPr>
        <x:sz val="11"/>
        <x:color theme="1"/>
        <x:rFont val="宋体"/>
      </x:rPr>
      <x:t xml:space="preserve">发生炉煤气</x:t>
    </x:r>
  </x:si>
  <x:si>
    <x:r>
      <x:rPr>
        <x:sz val="11"/>
        <x:color theme="1"/>
        <x:rFont val="宋体"/>
      </x:rPr>
      <x:t xml:space="preserve">压力气化煤气</x:t>
    </x:r>
  </x:si>
  <x:si>
    <x:r>
      <x:rPr>
        <x:sz val="11"/>
        <x:color theme="1"/>
        <x:rFont val="宋体"/>
      </x:rPr>
      <x:t xml:space="preserve">重油催化裂解气</x:t>
    </x:r>
  </x:si>
  <x:si>
    <x:t xml:space="preserve">重油热裂解煤气</x:t>
  </x:si>
  <x:si>
    <x:r>
      <x:rPr>
        <x:sz val="11"/>
        <x:color theme="1"/>
        <x:rFont val="Times New Roman"/>
        <x:family val="1"/>
      </x:rPr>
      <x:t xml:space="preserve">1</x:t>
    </x:r>
    <x:r>
      <x:rPr>
        <x:sz val="11"/>
        <x:color theme="1"/>
        <x:rFont val="宋体"/>
      </x:rPr>
      <x:t xml:space="preserve">万立方米</x:t>
    </x:r>
    <x:r>
      <x:rPr>
        <x:sz val="11"/>
        <x:color theme="1"/>
        <x:rFont val="Times New Roman"/>
        <x:family val="1"/>
      </x:rPr>
      <x:t xml:space="preserve">=12.14</x:t>
    </x:r>
    <x:r>
      <x:rPr>
        <x:sz val="11"/>
        <x:color theme="1"/>
        <x:rFont val="宋体"/>
      </x:rPr>
      <x:t xml:space="preserve">吨标准煤</x:t>
    </x:r>
  </x:si>
  <x:si>
    <x:r>
      <x:rPr>
        <x:sz val="11"/>
        <x:color theme="1"/>
        <x:rFont val="宋体"/>
      </x:rPr>
      <x:t xml:space="preserve">水煤气</x:t>
    </x:r>
  </x:si>
  <x:si>
    <x:r>
      <x:rPr>
        <x:sz val="11"/>
        <x:color theme="1"/>
        <x:rFont val="宋体"/>
      </x:rPr>
      <x:t xml:space="preserve">人粪</x:t>
    </x:r>
  </x:si>
  <x:si>
    <x:t xml:space="preserve">kcal/kg</x:t>
  </x:si>
  <x:si>
    <x:t xml:space="preserve">牛粪</x:t>
  </x:si>
  <x:si>
    <x:r>
      <x:rPr>
        <x:sz val="11"/>
        <x:color theme="1"/>
        <x:rFont val="宋体"/>
      </x:rPr>
      <x:t xml:space="preserve">猪粪</x:t>
    </x:r>
  </x:si>
  <x:si>
    <x:r>
      <x:rPr>
        <x:sz val="11"/>
        <x:color theme="1"/>
        <x:rFont val="宋体"/>
      </x:rPr>
      <x:t xml:space="preserve">羊、驴、马、骡粪</x:t>
    </x:r>
  </x:si>
  <x:si>
    <x:r>
      <x:rPr>
        <x:sz val="11"/>
        <x:color theme="1"/>
        <x:rFont val="宋体"/>
      </x:rPr>
      <x:t xml:space="preserve">鸡粪</x:t>
    </x:r>
  </x:si>
  <x:si>
    <x:r>
      <x:rPr>
        <x:sz val="11"/>
        <x:color theme="1"/>
        <x:rFont val="宋体"/>
      </x:rPr>
      <x:t xml:space="preserve">大豆秆、棉花秆</x:t>
    </x:r>
  </x:si>
  <x:si>
    <x:r>
      <x:rPr>
        <x:sz val="11"/>
        <x:color theme="1"/>
        <x:rFont val="宋体"/>
      </x:rPr>
      <x:t xml:space="preserve">稻秆</x:t>
    </x:r>
  </x:si>
  <x:si>
    <x:r>
      <x:rPr>
        <x:sz val="11"/>
        <x:color theme="1"/>
        <x:rFont val="宋体"/>
      </x:rPr>
      <x:t xml:space="preserve">麦秆</x:t>
    </x:r>
  </x:si>
  <x:si>
    <x:r>
      <x:rPr>
        <x:sz val="11"/>
        <x:color theme="1"/>
        <x:rFont val="宋体"/>
      </x:rPr>
      <x:t xml:space="preserve">玉米秆</x:t>
    </x:r>
  </x:si>
  <x:si>
    <x:r>
      <x:rPr>
        <x:sz val="11"/>
        <x:color theme="1"/>
        <x:rFont val="宋体"/>
      </x:rPr>
      <x:t xml:space="preserve">杂草</x:t>
    </x:r>
  </x:si>
  <x:si>
    <x:r>
      <x:rPr>
        <x:sz val="11"/>
        <x:color theme="1"/>
        <x:rFont val="宋体"/>
      </x:rPr>
      <x:t xml:space="preserve">树叶</x:t>
    </x:r>
  </x:si>
  <x:si>
    <x:r>
      <x:rPr>
        <x:sz val="11"/>
        <x:color theme="1"/>
        <x:rFont val="宋体"/>
      </x:rPr>
      <x:t xml:space="preserve">薪柴</x:t>
    </x:r>
  </x:si>
  <x:si>
    <x:r>
      <x:rPr>
        <x:sz val="11"/>
        <x:color theme="1"/>
        <x:rFont val="宋体"/>
      </x:rPr>
      <x:t xml:space="preserve">沼气</x:t>
    </x:r>
  </x:si>
  <x:si>
    <x:r>
      <x:rPr>
        <x:sz val="11"/>
        <x:color theme="1"/>
        <x:rFont val="Times New Roman"/>
        <x:family val="1"/>
      </x:rPr>
      <x:t xml:space="preserve">1</x:t>
    </x:r>
    <x:r>
      <x:rPr>
        <x:sz val="11"/>
        <x:color theme="1"/>
        <x:rFont val="宋体"/>
      </x:rPr>
      <x:t xml:space="preserve">万立方米</x:t>
    </x:r>
    <x:r>
      <x:rPr>
        <x:sz val="11"/>
        <x:color theme="1"/>
        <x:rFont val="Times New Roman"/>
        <x:family val="1"/>
      </x:rPr>
      <x:t xml:space="preserve">=7.14</x:t>
    </x:r>
    <x:r>
      <x:rPr>
        <x:sz val="11"/>
        <x:color theme="1"/>
        <x:rFont val="宋体"/>
      </x:rPr>
      <x:t xml:space="preserve">吨标准煤</x:t>
    </x:r>
  </x:si>
</x:sst>
</file>

<file path=xl/styles.xml><?xml version="1.0" encoding="utf-8"?>
<x:styleSheet xmlns:x="http://schemas.openxmlformats.org/spreadsheetml/2006/main">
  <x:fonts count="8">
    <x:font>
      <x:sz val="11"/>
      <x:color indexed="8"/>
      <x:name val="等线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等线"/>
    </x:font>
    <x:font>
      <x:b/>
      <x:sz val="12"/>
      <x:color indexed="8"/>
      <x:name val="宋体"/>
    </x:font>
    <x:font>
      <x:sz val="11"/>
      <x:color rgb="FFFF0000"/>
      <x:name val="等线"/>
    </x:font>
    <x:font>
      <x:sz val="11"/>
      <x:color rgb="FFC00000"/>
      <x:name val="等线"/>
    </x:font>
    <x:font>
      <x:sz val="9"/>
      <x:name val="等线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indexed="40"/>
      </x:patternFill>
    </x:fill>
    <x:fill>
      <x:patternFill patternType="solid">
        <x:fgColor theme="2" tint="-0.09998"/>
      </x:patternFill>
    </x:fill>
    <x:fill>
      <x:patternFill patternType="solid">
        <x:fgColor theme="4" tint="0.79995"/>
      </x:patternFill>
    </x:fill>
    <x:fill>
      <x:patternFill patternType="solid">
        <x:fgColor theme="6" tint="0.59999"/>
      </x:patternFill>
    </x:fill>
    <x:fill>
      <x:patternFill patternType="solid">
        <x:fgColor theme="9" tint="0.79995"/>
      </x:patternFill>
    </x:fill>
    <x:fill>
      <x:patternFill patternType="solid">
        <x:fgColor theme="5" tint="0.79995"/>
      </x:patternFill>
    </x:fill>
    <x:fill>
      <x:patternFill patternType="solid">
        <x:fgColor theme="7" tint="0.79995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39">
    <x:xf numFmtId="0" fontId="0" fillId="0" borderId="0" xfId="0">
      <x:alignment vertical="center"/>
    </x:xf>
    <x:xf numFmtId="0" fontId="1" fillId="0" borderId="0" xfId="0" applyFont="1" applyAlignment="1"/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1" fillId="2" borderId="1" xfId="0" applyFont="1" applyFill="1" applyBorder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3" fillId="0" borderId="0" xfId="0" applyFont="1">
      <x:alignment vertical="center"/>
    </x:xf>
    <x:xf numFmtId="0" fontId="4" fillId="3" borderId="1" xfId="0" applyFont="1" applyFill="1" applyBorder="1" applyAlignment="1">
      <x:alignment horizontal="left"/>
    </x:xf>
    <x:xf numFmtId="0" fontId="4" fillId="4" borderId="1" xfId="0" applyFont="1" applyFill="1" applyBorder="1" applyAlignment="1">
      <x:alignment horizontal="left"/>
    </x:xf>
    <x:xf numFmtId="0" fontId="4" fillId="5" borderId="1" xfId="0" applyFont="1" applyFill="1" applyBorder="1" applyAlignment="1">
      <x:alignment horizontal="left"/>
    </x:xf>
    <x:xf numFmtId="0" fontId="4" fillId="6" borderId="1" xfId="0" applyFont="1" applyFill="1" applyBorder="1" applyAlignment="1">
      <x:alignment horizontal="left"/>
    </x:xf>
    <x:xf numFmtId="0" fontId="4" fillId="7" borderId="0" xfId="0" applyFont="1" applyFill="1" applyBorder="1" applyAlignment="1">
      <x:alignment horizontal="left"/>
    </x:xf>
    <x:xf numFmtId="0" fontId="0" fillId="8" borderId="0" xfId="0" applyFill="1" applyAlignment="1">
      <x:alignment horizontal="left" vertical="center"/>
    </x:xf>
    <x:xf numFmtId="0" fontId="0" fillId="6" borderId="0" xfId="0" applyFill="1" applyAlignment="1">
      <x:alignment horizontal="left" vertical="center"/>
    </x:xf>
    <x:xf numFmtId="0" fontId="0" fillId="9" borderId="0" xfId="0" applyFill="1" applyAlignment="1">
      <x:alignment horizontal="left" vertical="center"/>
    </x:xf>
    <x:xf numFmtId="0" fontId="4" fillId="6" borderId="0" xfId="0" applyFont="1" applyFill="1" applyBorder="1" applyAlignment="1">
      <x:alignment horizontal="left"/>
    </x:xf>
    <x:xf numFmtId="0" fontId="0" fillId="0" borderId="0" xfId="0" applyNumberFormat="1">
      <x:alignment vertical="center"/>
    </x:xf>
    <x:xf numFmtId="0" fontId="0" fillId="4" borderId="0" xfId="0" applyFill="1">
      <x:alignment vertical="center"/>
    </x:xf>
    <x:xf numFmtId="0" fontId="0" fillId="4" borderId="0" xfId="0" applyNumberFormat="1" applyFill="1">
      <x:alignment vertical="center"/>
    </x:xf>
    <x:xf numFmtId="0" fontId="0" fillId="5" borderId="0" xfId="0" applyNumberFormat="1" applyFill="1">
      <x:alignment vertical="center"/>
    </x:xf>
    <x:xf numFmtId="0" fontId="5" fillId="6" borderId="0" xfId="0" applyNumberFormat="1" applyFont="1" applyFill="1">
      <x:alignment vertical="center"/>
    </x:xf>
    <x:xf numFmtId="0" fontId="0" fillId="7" borderId="0" xfId="0" applyFill="1">
      <x:alignment vertical="center"/>
    </x:xf>
    <x:xf numFmtId="0" fontId="0" fillId="8" borderId="0" xfId="0" applyFill="1">
      <x:alignment vertical="center"/>
    </x:xf>
    <x:xf numFmtId="0" fontId="3" fillId="8" borderId="0" xfId="0" applyFont="1" applyFill="1">
      <x:alignment vertical="center"/>
    </x:xf>
    <x:xf numFmtId="0" fontId="0" fillId="6" borderId="0" xfId="0" applyFill="1">
      <x:alignment vertical="center"/>
    </x:xf>
    <x:xf numFmtId="0" fontId="0" fillId="9" borderId="0" xfId="0" applyFill="1">
      <x:alignment vertical="center"/>
    </x:xf>
    <x:xf numFmtId="0" fontId="6" fillId="6" borderId="0" xfId="0" applyFont="1" applyFill="1">
      <x:alignment vertical="center"/>
    </x:xf>
    <x:xf numFmtId="0" fontId="6" fillId="8" borderId="0" xfId="0" applyFont="1" applyFill="1">
      <x:alignment vertical="center"/>
    </x:xf>
    <x:xf numFmtId="0" fontId="6" fillId="9" borderId="0" xfId="0" applyFont="1" applyFill="1">
      <x:alignment vertical="center"/>
    </x:xf>
    <x:xf numFmtId="0" fontId="3" fillId="0" borderId="0" xfId="0" applyNumberFormat="1" applyFont="1">
      <x:alignment vertical="center"/>
    </x:xf>
    <x:xf numFmtId="0" fontId="3" fillId="4" borderId="0" xfId="0" applyFont="1" applyFill="1">
      <x:alignment vertical="center"/>
    </x:xf>
    <x:xf numFmtId="0" fontId="3" fillId="5" borderId="0" xfId="0" applyNumberFormat="1" applyFont="1" applyFill="1">
      <x:alignment vertical="center"/>
    </x:xf>
    <x:xf numFmtId="0" fontId="3" fillId="6" borderId="0" xfId="0" applyFont="1" applyFill="1">
      <x:alignment vertical="center"/>
    </x:xf>
    <x:xf numFmtId="0" fontId="3" fillId="9" borderId="0" xfId="0" applyFont="1" applyFill="1">
      <x:alignment vertical="center"/>
    </x:xf>
    <x:xf numFmtId="0" fontId="3" fillId="4" borderId="0" xfId="0" applyNumberFormat="1" applyFont="1" applyFill="1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c9529c2e14026" /><Relationship Type="http://schemas.openxmlformats.org/officeDocument/2006/relationships/theme" Target="/xl/theme/theme1.xml" Id="Rd3b2cd152092475d" /><Relationship Type="http://schemas.openxmlformats.org/officeDocument/2006/relationships/sharedStrings" Target="/xl/sharedStrings.xml" Id="R29f1de1eaf934b8b" /><Relationship Type="http://schemas.openxmlformats.org/officeDocument/2006/relationships/worksheet" Target="/xl/worksheets/sheet1.xml" Id="R7c649c51a0f04003" /><Relationship Type="http://schemas.openxmlformats.org/officeDocument/2006/relationships/worksheet" Target="/xl/worksheets/sheet2.xml" Id="R157b1345c722423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9.125" customWidth="1"/>
    <x:col min="5" max="5" width="9.125" customWidth="1"/>
    <x:col min="8" max="8" width="9.125" customWidth="1"/>
    <x:col min="12" max="12" width="9.125" customWidth="1"/>
    <x:col min="14" max="14" width="9.125" customWidth="1"/>
    <x:col min="16" max="16" width="9.125" customWidth="1"/>
    <x:col min="18" max="18" width="9.125" customWidth="1"/>
    <x:col min="20" max="21" width="9.125" customWidth="1"/>
    <x:col min="24" max="24" width="11.625" customWidth="1"/>
    <x:col min="61" max="70" width="9.125" customWidth="1"/>
    <x:col min="77" max="78" width="9.125" customWidth="1"/>
    <x:col min="89" max="89" width="9.125" customWidth="1"/>
    <x:col min="91" max="91" width="9.125" customWidth="1"/>
    <x:col min="93" max="94" width="9.125" customWidth="1"/>
    <x:col min="101" max="101" width="11.875" customWidth="1"/>
  </x:cols>
  <x:sheetData>
    <x:row r="1" s="7" customFormat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10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10" t="s">
        <x:v>16</x:v>
      </x:c>
      <x:c r="R1" s="9" t="s">
        <x:v>17</x:v>
      </x:c>
      <x:c r="S1" s="9" t="s">
        <x:v>18</x:v>
      </x:c>
      <x:c r="T1" s="10" t="s">
        <x:v>19</x:v>
      </x:c>
      <x:c r="U1" s="10" t="s">
        <x:v>20</x:v>
      </x:c>
      <x:c r="V1" s="9" t="s">
        <x:v>21</x:v>
      </x:c>
      <x:c r="W1" s="10" t="s">
        <x:v>22</x:v>
      </x:c>
      <x:c r="X1" s="11" t="s">
        <x:v>23</x:v>
      </x:c>
      <x:c r="Y1" s="11" t="s">
        <x:v>24</x:v>
      </x:c>
      <x:c r="Z1" s="11" t="s">
        <x:v>25</x:v>
      </x:c>
      <x:c r="AA1" s="11" t="s">
        <x:v>26</x:v>
      </x:c>
      <x:c r="AB1" s="11" t="s">
        <x:v>27</x:v>
      </x:c>
      <x:c r="AC1" s="11" t="s">
        <x:v>28</x:v>
      </x:c>
      <x:c r="AD1" s="11" t="s">
        <x:v>29</x:v>
      </x:c>
      <x:c r="AE1" s="11" t="s">
        <x:v>30</x:v>
      </x:c>
      <x:c r="AF1" s="11" t="s">
        <x:v>31</x:v>
      </x:c>
      <x:c r="AG1" s="10" t="s">
        <x:v>32</x:v>
      </x:c>
      <x:c r="AH1" s="9" t="s">
        <x:v>33</x:v>
      </x:c>
      <x:c r="AI1" s="9" t="s">
        <x:v>34</x:v>
      </x:c>
      <x:c r="AJ1" s="10" t="s">
        <x:v>19</x:v>
      </x:c>
      <x:c r="AK1" s="10" t="s">
        <x:v>35</x:v>
      </x:c>
      <x:c r="AL1" s="9" t="s">
        <x:v>36</x:v>
      </x:c>
      <x:c r="AM1" s="10" t="s">
        <x:v>37</x:v>
      </x:c>
      <x:c r="AN1" s="11" t="s">
        <x:v>23</x:v>
      </x:c>
      <x:c r="AO1" s="11" t="s">
        <x:v>24</x:v>
      </x:c>
      <x:c r="AP1" s="11" t="s">
        <x:v>25</x:v>
      </x:c>
      <x:c r="AQ1" s="11" t="s">
        <x:v>26</x:v>
      </x:c>
      <x:c r="AR1" s="11" t="s">
        <x:v>27</x:v>
      </x:c>
      <x:c r="AS1" s="11" t="s">
        <x:v>28</x:v>
      </x:c>
      <x:c r="AT1" s="11" t="s">
        <x:v>29</x:v>
      </x:c>
      <x:c r="AU1" s="11" t="s">
        <x:v>30</x:v>
      </x:c>
      <x:c r="AV1" s="11" t="s">
        <x:v>31</x:v>
      </x:c>
      <x:c r="AW1" s="9" t="s">
        <x:v>38</x:v>
      </x:c>
      <x:c r="AX1" s="10" t="s">
        <x:v>19</x:v>
      </x:c>
      <x:c r="AY1" s="11" t="s">
        <x:v>23</x:v>
      </x:c>
      <x:c r="AZ1" s="11" t="s">
        <x:v>24</x:v>
      </x:c>
      <x:c r="BA1" s="11" t="s">
        <x:v>25</x:v>
      </x:c>
      <x:c r="BB1" s="11" t="s">
        <x:v>26</x:v>
      </x:c>
      <x:c r="BC1" s="11" t="s">
        <x:v>27</x:v>
      </x:c>
      <x:c r="BD1" s="11" t="s">
        <x:v>28</x:v>
      </x:c>
      <x:c r="BE1" s="11" t="s">
        <x:v>29</x:v>
      </x:c>
      <x:c r="BF1" s="11" t="s">
        <x:v>30</x:v>
      </x:c>
      <x:c r="BG1" s="11" t="s">
        <x:v>31</x:v>
      </x:c>
      <x:c r="BH1" s="9" t="s">
        <x:v>39</x:v>
      </x:c>
      <x:c r="BI1" s="9" t="s">
        <x:v>40</x:v>
      </x:c>
      <x:c r="BJ1" s="9" t="s">
        <x:v>41</x:v>
      </x:c>
      <x:c r="BK1" s="9" t="s">
        <x:v>42</x:v>
      </x:c>
      <x:c r="BL1" s="9" t="s">
        <x:v>43</x:v>
      </x:c>
      <x:c r="BM1" s="9" t="s">
        <x:v>44</x:v>
      </x:c>
      <x:c r="BN1" s="9" t="s">
        <x:v>45</x:v>
      </x:c>
      <x:c r="BO1" s="12" t="s">
        <x:v>46</x:v>
      </x:c>
      <x:c r="BP1" s="12" t="s">
        <x:v>47</x:v>
      </x:c>
      <x:c r="BQ1" s="9" t="s">
        <x:v>48</x:v>
      </x:c>
      <x:c r="BR1" s="9" t="s">
        <x:v>49</x:v>
      </x:c>
      <x:c r="BS1" s="9" t="s">
        <x:v>50</x:v>
      </x:c>
      <x:c r="BT1" s="9" t="s">
        <x:v>51</x:v>
      </x:c>
      <x:c r="BU1" s="9" t="s">
        <x:v>52</x:v>
      </x:c>
      <x:c r="BV1" s="9" t="s">
        <x:v>53</x:v>
      </x:c>
      <x:c r="BW1" s="9" t="s">
        <x:v>54</x:v>
      </x:c>
      <x:c r="BX1" s="9" t="s">
        <x:v>55</x:v>
      </x:c>
      <x:c r="BY1" s="9" t="s">
        <x:v>56</x:v>
      </x:c>
      <x:c r="BZ1" s="9" t="s">
        <x:v>57</x:v>
      </x:c>
      <x:c r="CA1" s="13" t="s">
        <x:v>23</x:v>
      </x:c>
      <x:c r="CB1" s="13" t="s">
        <x:v>24</x:v>
      </x:c>
      <x:c r="CC1" s="13" t="s">
        <x:v>25</x:v>
      </x:c>
      <x:c r="CD1" s="13" t="s">
        <x:v>26</x:v>
      </x:c>
      <x:c r="CE1" s="13" t="s">
        <x:v>27</x:v>
      </x:c>
      <x:c r="CF1" s="13" t="s">
        <x:v>28</x:v>
      </x:c>
      <x:c r="CG1" s="13" t="s">
        <x:v>29</x:v>
      </x:c>
      <x:c r="CH1" s="13" t="s">
        <x:v>30</x:v>
      </x:c>
      <x:c r="CI1" s="13" t="s">
        <x:v>31</x:v>
      </x:c>
      <x:c r="CJ1" s="14" t="s">
        <x:v>58</x:v>
      </x:c>
      <x:c r="CK1" s="14" t="s">
        <x:v>59</x:v>
      </x:c>
      <x:c r="CL1" s="15" t="s">
        <x:v>60</x:v>
      </x:c>
      <x:c r="CM1" s="15" t="s">
        <x:v>61</x:v>
      </x:c>
      <x:c r="CN1" s="16" t="s">
        <x:v>62</x:v>
      </x:c>
      <x:c r="CO1" s="16" t="s">
        <x:v>63</x:v>
      </x:c>
      <x:c r="CP1" s="16" t="s">
        <x:v>64</x:v>
      </x:c>
      <x:c r="CQ1" s="17" t="s">
        <x:v>23</x:v>
      </x:c>
      <x:c r="CR1" s="17" t="s">
        <x:v>24</x:v>
      </x:c>
      <x:c r="CS1" s="17" t="s">
        <x:v>25</x:v>
      </x:c>
      <x:c r="CT1" s="17" t="s">
        <x:v>26</x:v>
      </x:c>
      <x:c r="CU1" s="17" t="s">
        <x:v>27</x:v>
      </x:c>
      <x:c r="CV1" s="17" t="s">
        <x:v>28</x:v>
      </x:c>
      <x:c r="CW1" s="17" t="s">
        <x:v>29</x:v>
      </x:c>
      <x:c r="CX1" s="17" t="s">
        <x:v>30</x:v>
      </x:c>
      <x:c r="CY1" s="17" t="s">
        <x:v>31</x:v>
      </x:c>
    </x:row>
    <x:row r="2">
      <x:c r="A2" s="18">
        <x:v>2022</x:v>
      </x:c>
      <x:c r="B2" t="s">
        <x:v>65</x:v>
      </x:c>
      <x:c r="C2" t="s">
        <x:v>66</x:v>
      </x:c>
      <x:c r="D2" t="s">
        <x:v>67</x:v>
      </x:c>
      <x:c r="E2" s="18">
        <x:v>440111</x:v>
      </x:c>
      <x:c r="F2" t="s">
        <x:v>68</x:v>
      </x:c>
      <x:c r="G2" t="s">
        <x:v>69</x:v>
      </x:c>
      <x:c r="H2" s="18">
        <x:v>4417</x:v>
      </x:c>
      <x:c r="I2" t="s">
        <x:v>70</x:v>
      </x:c>
      <x:c r="J2" t="s">
        <x:v>71</x:v>
      </x:c>
      <x:c r="K2" t="s">
        <x:v>72</x:v>
      </x:c>
      <x:c r="L2" s="18">
        <x:v>0.106</x:v>
      </x:c>
      <x:c r="M2" t="s">
        <x:v>73</x:v>
      </x:c>
      <x:c r="N2" s="18">
        <x:v>15.14</x:v>
      </x:c>
      <x:c r="O2" t="s">
        <x:v>74</x:v>
      </x:c>
      <x:c r="P2" s="18">
        <x:v>11</x:v>
      </x:c>
      <x:c r="Q2" s="19" t="s">
        <x:v>75</x:v>
      </x:c>
      <x:c r="R2" s="18">
        <x:v>95.546000000000006</x:v>
      </x:c>
      <x:c r="S2" t="s">
        <x:v>76</x:v>
      </x:c>
      <x:c r="T2" s="19" t="n">
        <x:f>R2</x:f>
        <x:v>95.546</x:v>
      </x:c>
      <x:c r="U2" s="20">
        <x:v>200</x:v>
      </x:c>
      <x:c r="V2" t="s">
        <x:v>77</x:v>
      </x:c>
      <x:c r="W2" s="19" t="s">
        <x:v>78</x:v>
      </x:c>
      <x:c r="X2" s="21" t="n">
        <x:f t="shared" ref="X2:X21" si="0">2*U2*T2*10000/1000000000</x:f>
        <x:v>0.382184</x:v>
      </x:c>
      <x:c r="Y2" s="21" t="n">
        <x:f t="shared" ref="Y2:Y13" si="1">1.35*T2*10000/1000000</x:f>
        <x:v>1.2898710000000002</x:v>
      </x:c>
      <x:c r="Z2" s="21" t="n">
        <x:f t="shared" ref="Z2:Z21" si="2">1.3*T2*10000/1000000</x:f>
        <x:v>1.2420980000000001</x:v>
      </x:c>
      <x:c r="AA2" s="21" t="n">
        <x:f t="shared" ref="AA2:AA21" si="3">0.03*T2*10000/1000000</x:f>
        <x:v>0.0286638</x:v>
      </x:c>
      <x:c r="AB2" s="21" t="n">
        <x:f t="shared" ref="AB2:AB21" si="4">0.03*T2*10000/1000000</x:f>
        <x:v>0.0286638</x:v>
      </x:c>
      <x:c r="AC2" s="21"/>
      <x:c r="AD2" s="21"/>
      <x:c r="AE2" s="21" t="n">
        <x:f t="shared" ref="AE2:AE21" si="5">0.02*T2*10000/1000000</x:f>
        <x:v>0.0191092</x:v>
      </x:c>
      <x:c r="AF2" s="21"/>
      <x:c r="AG2" s="19" t="s">
        <x:v>78</x:v>
      </x:c>
      <x:c r="AH2" t="s">
        <x:v>78</x:v>
      </x:c>
      <x:c r="AI2" t="s">
        <x:v>78</x:v>
      </x:c>
      <x:c r="AJ2" s="19"/>
      <x:c r="AK2" s="19" t="s">
        <x:v>78</x:v>
      </x:c>
      <x:c r="AL2" t="s">
        <x:v>78</x:v>
      </x:c>
      <x:c r="AM2" s="19" t="s">
        <x:v>78</x:v>
      </x:c>
      <x:c r="AN2" s="21"/>
      <x:c r="AO2" s="21"/>
      <x:c r="AP2" s="21"/>
      <x:c r="AQ2" s="21"/>
      <x:c r="AR2" s="21"/>
      <x:c r="AS2" s="21"/>
      <x:c r="AT2" s="21"/>
      <x:c r="AU2" s="21"/>
      <x:c r="AV2" s="21"/>
      <x:c r="AW2" t="s">
        <x:v>78</x:v>
      </x:c>
      <x:c r="AX2" s="19"/>
      <x:c r="AY2" s="21"/>
      <x:c r="AZ2" s="21"/>
      <x:c r="BA2" s="21"/>
      <x:c r="BB2" s="21"/>
      <x:c r="BC2" s="21"/>
      <x:c r="BD2" s="21"/>
      <x:c r="BE2" s="21"/>
      <x:c r="BF2" s="21"/>
      <x:c r="BG2" s="21"/>
      <x:c r="BH2" t="s">
        <x:v>79</x:v>
      </x:c>
      <x:c r="BI2" s="18">
        <x:v>113</x:v>
      </x:c>
      <x:c r="BJ2" s="18">
        <x:v>20</x:v>
      </x:c>
      <x:c r="BK2" s="18">
        <x:v>37</x:v>
      </x:c>
      <x:c r="BL2" s="18">
        <x:v>23</x:v>
      </x:c>
      <x:c r="BM2" s="18">
        <x:v>16</x:v>
      </x:c>
      <x:c r="BN2" s="18">
        <x:v>18</x:v>
      </x:c>
      <x:c r="BO2" s="22">
        <x:v>113.343611111111</x:v>
      </x:c>
      <x:c r="BP2" s="22">
        <x:v>23.2716666666667</x:v>
      </x:c>
      <x:c r="BQ2" s="18">
        <x:v>2</x:v>
      </x:c>
      <x:c r="BR2" s="18">
        <x:v>125</x:v>
      </x:c>
      <x:c r="BS2" s="18">
        <x:v>6.8000000000000005E-2</x:v>
      </x:c>
      <x:c r="BT2" s="18">
        <x:v>6.8000000000000005E-2</x:v>
      </x:c>
      <x:c r="BU2" s="18">
        <x:v>0.82199999999999995</x:v>
      </x:c>
      <x:c r="BV2" s="18">
        <x:v>0.82199999999999995</x:v>
      </x:c>
      <x:c r="BW2" s="18">
        <x:v>9.9000000000000005E-2</x:v>
      </x:c>
      <x:c r="BX2" s="18">
        <x:v>9.9000000000000005E-2</x:v>
      </x:c>
      <x:c r="BY2" s="18">
        <x:v>31.911999999999999</x:v>
      </x:c>
      <x:c r="BZ2" s="18">
        <x:v>31.911999999999999</x:v>
      </x:c>
      <x:c r="CA2" s="23" t="n">
        <x:f t="shared" ref="CA2:CA65" si="6">X2+AN2+AY2</x:f>
        <x:v>0.382184</x:v>
      </x:c>
      <x:c r="CB2" s="23" t="n">
        <x:f t="shared" ref="CB2:CB65" si="7">Y2+AO2+AZ2</x:f>
        <x:v>1.2898710000000002</x:v>
      </x:c>
      <x:c r="CC2" s="23" t="n">
        <x:f t="shared" ref="CC2:CC65" si="8">Z2+AP2+BA2</x:f>
        <x:v>1.2420980000000001</x:v>
      </x:c>
      <x:c r="CD2" s="23" t="n">
        <x:f t="shared" ref="CD2:CD65" si="9">AA2+AQ2+BB2</x:f>
        <x:v>0.0286638</x:v>
      </x:c>
      <x:c r="CE2" s="23" t="n">
        <x:f t="shared" ref="CE2:CE65" si="10">AB2+AR2+BC2</x:f>
        <x:v>0.0286638</x:v>
      </x:c>
      <x:c r="CF2" s="23" t="n">
        <x:f t="shared" ref="CF2:CF65" si="11">AC2+AS2+BD2</x:f>
        <x:v>0</x:v>
      </x:c>
      <x:c r="CG2" s="23" t="n">
        <x:f t="shared" ref="CG2:CG65" si="12">AD2+AT2+BE2</x:f>
        <x:v>0</x:v>
      </x:c>
      <x:c r="CH2" s="23" t="n">
        <x:f t="shared" ref="CH2:CH65" si="13">AE2+AU2+BF2</x:f>
        <x:v>0.0191092</x:v>
      </x:c>
      <x:c r="CI2" s="23" t="n">
        <x:f t="shared" ref="CI2:CI65" si="14">AF2+AV2+BG2</x:f>
        <x:v>0</x:v>
      </x:c>
      <x:c r="CJ2" s="24" t="s">
        <x:v>78</x:v>
      </x:c>
      <x:c r="CK2" s="25">
        <x:v>0</x:v>
      </x:c>
      <x:c r="CL2" s="26" t="s">
        <x:v>78</x:v>
      </x:c>
      <x:c r="CM2" s="26" t="n">
        <x:f>(1-BV2/BU2)*100</x:f>
        <x:v>0</x:v>
      </x:c>
      <x:c r="CN2" s="27" t="s">
        <x:v>78</x:v>
      </x:c>
      <x:c r="CO2" s="27">
        <x:v>0</x:v>
      </x:c>
      <x:c r="CP2" s="27">
        <x:v>0</x:v>
      </x:c>
      <x:c r="CQ2" s="26" t="n">
        <x:f t="shared" ref="CQ2:CQ65" si="15">CA2*(1-CK2/100)</x:f>
        <x:v>0.382184</x:v>
      </x:c>
      <x:c r="CR2" s="26" t="n">
        <x:f t="shared" ref="CR2:CR65" si="16">CB2*(1-CM2/100)</x:f>
        <x:v>1.2898710000000002</x:v>
      </x:c>
      <x:c r="CS2" s="26" t="n">
        <x:f>CC2</x:f>
        <x:v>1.2420980000000001</x:v>
      </x:c>
      <x:c r="CT2" s="26" t="n">
        <x:f t="shared" ref="CT2:CT22" si="17">CD2*(1-CO2/100)</x:f>
        <x:v>0.0286638</x:v>
      </x:c>
      <x:c r="CU2" s="26" t="n">
        <x:f t="shared" ref="CU2:CU22" si="18">CE2*(1-CP2/100)</x:f>
        <x:v>0.0286638</x:v>
      </x:c>
      <x:c r="CV2" s="26" t="n">
        <x:f t="shared" ref="CV2:CV22" si="19">CF2*(1-CP2/100)</x:f>
        <x:v>0</x:v>
      </x:c>
      <x:c r="CW2" s="26" t="n">
        <x:f t="shared" ref="CW2:CW22" si="20">CG2*(1-CP2/100)</x:f>
        <x:v>0</x:v>
      </x:c>
      <x:c r="CX2" s="26" t="n">
        <x:f>CH2</x:f>
        <x:v>0.0191092</x:v>
      </x:c>
      <x:c r="CY2" s="26" t="n">
        <x:f>CI2</x:f>
        <x:v>0</x:v>
      </x:c>
    </x:row>
    <x:row r="3">
      <x:c r="A3" s="18">
        <x:v>2022</x:v>
      </x:c>
      <x:c r="B3" t="s">
        <x:v>65</x:v>
      </x:c>
      <x:c r="C3" t="s">
        <x:v>66</x:v>
      </x:c>
      <x:c r="D3" t="s">
        <x:v>67</x:v>
      </x:c>
      <x:c r="E3" s="18">
        <x:v>440111</x:v>
      </x:c>
      <x:c r="F3" t="s">
        <x:v>68</x:v>
      </x:c>
      <x:c r="G3" t="s">
        <x:v>69</x:v>
      </x:c>
      <x:c r="H3" s="18">
        <x:v>4417</x:v>
      </x:c>
      <x:c r="I3" t="s">
        <x:v>70</x:v>
      </x:c>
      <x:c r="J3" t="s">
        <x:v>71</x:v>
      </x:c>
      <x:c r="K3" t="s">
        <x:v>80</x:v>
      </x:c>
      <x:c r="L3" s="18">
        <x:v>0.2</x:v>
      </x:c>
      <x:c r="M3" t="s">
        <x:v>78</x:v>
      </x:c>
      <x:c r="N3" s="18">
        <x:v>16</x:v>
      </x:c>
      <x:c r="O3" t="s">
        <x:v>74</x:v>
      </x:c>
      <x:c r="P3" s="18">
        <x:v>11</x:v>
      </x:c>
      <x:c r="Q3" s="19" t="s">
        <x:v>75</x:v>
      </x:c>
      <x:c r="R3" s="18">
        <x:v>38.884999999999998</x:v>
      </x:c>
      <x:c r="S3" t="s">
        <x:v>76</x:v>
      </x:c>
      <x:c r="T3" s="19" t="n">
        <x:f t="shared" ref="T3:T14" si="21">R3</x:f>
        <x:v>38.885</x:v>
      </x:c>
      <x:c r="U3" s="20">
        <x:v>200</x:v>
      </x:c>
      <x:c r="V3" t="s">
        <x:v>77</x:v>
      </x:c>
      <x:c r="W3" s="19" t="s">
        <x:v>78</x:v>
      </x:c>
      <x:c r="X3" s="21">
        <x:f t="shared" si="0"/>
        <x:v>0.15554000000000001</x:v>
      </x:c>
      <x:c r="Y3" s="21">
        <x:f t="shared" si="1"/>
        <x:v>0.52494750000000001</x:v>
      </x:c>
      <x:c r="Z3" s="21">
        <x:f t="shared" si="2"/>
        <x:v>0.50550499999999998</x:v>
      </x:c>
      <x:c r="AA3" s="21">
        <x:f t="shared" si="3"/>
        <x:v>1.1665500000000001E-2</x:v>
      </x:c>
      <x:c r="AB3" s="21">
        <x:f t="shared" si="4"/>
        <x:v>1.1665500000000001E-2</x:v>
      </x:c>
      <x:c r="AC3" s="21"/>
      <x:c r="AD3" s="21"/>
      <x:c r="AE3" s="21">
        <x:f t="shared" si="5"/>
        <x:v>7.7769999999999992E-3</x:v>
      </x:c>
      <x:c r="AF3" s="21"/>
      <x:c r="AG3" s="19" t="s">
        <x:v>78</x:v>
      </x:c>
      <x:c r="AH3" t="s">
        <x:v>78</x:v>
      </x:c>
      <x:c r="AI3" t="s">
        <x:v>78</x:v>
      </x:c>
      <x:c r="AJ3" s="19"/>
      <x:c r="AK3" s="19" t="s">
        <x:v>78</x:v>
      </x:c>
      <x:c r="AL3" t="s">
        <x:v>78</x:v>
      </x:c>
      <x:c r="AM3" s="19" t="s">
        <x:v>78</x:v>
      </x:c>
      <x:c r="AN3" s="21"/>
      <x:c r="AO3" s="21"/>
      <x:c r="AP3" s="21"/>
      <x:c r="AQ3" s="21"/>
      <x:c r="AR3" s="21"/>
      <x:c r="AS3" s="21"/>
      <x:c r="AT3" s="21"/>
      <x:c r="AU3" s="21"/>
      <x:c r="AV3" s="21"/>
      <x:c r="AW3" t="s">
        <x:v>78</x:v>
      </x:c>
      <x:c r="AX3" s="19"/>
      <x:c r="AY3" s="21"/>
      <x:c r="AZ3" s="21"/>
      <x:c r="BA3" s="21"/>
      <x:c r="BB3" s="21"/>
      <x:c r="BC3" s="21"/>
      <x:c r="BD3" s="21"/>
      <x:c r="BE3" s="21"/>
      <x:c r="BF3" s="21"/>
      <x:c r="BG3" s="21"/>
      <x:c r="BH3" t="s">
        <x:v>81</x:v>
      </x:c>
      <x:c r="BI3" s="18">
        <x:v>113</x:v>
      </x:c>
      <x:c r="BJ3" s="18">
        <x:v>20</x:v>
      </x:c>
      <x:c r="BK3" s="18">
        <x:v>38</x:v>
      </x:c>
      <x:c r="BL3" s="18">
        <x:v>23</x:v>
      </x:c>
      <x:c r="BM3" s="18">
        <x:v>16</x:v>
      </x:c>
      <x:c r="BN3" s="18">
        <x:v>17</x:v>
      </x:c>
      <x:c r="BO3" s="22">
        <x:v>113.343888888889</x:v>
      </x:c>
      <x:c r="BP3" s="22">
        <x:v>23.2713888888889</x:v>
      </x:c>
      <x:c r="BQ3" s="18">
        <x:v>2</x:v>
      </x:c>
      <x:c r="BR3" s="18">
        <x:v>130</x:v>
      </x:c>
      <x:c r="BS3" s="18">
        <x:v>2.7E-2</x:v>
      </x:c>
      <x:c r="BT3" s="18">
        <x:v>2.7E-2</x:v>
      </x:c>
      <x:c r="BU3" s="18">
        <x:v>0.33400000000000002</x:v>
      </x:c>
      <x:c r="BV3" s="18">
        <x:v>0.33400000000000002</x:v>
      </x:c>
      <x:c r="BW3" s="18">
        <x:v>0.04</x:v>
      </x:c>
      <x:c r="BX3" s="18">
        <x:v>0.04</x:v>
      </x:c>
      <x:c r="BY3" t="s">
        <x:v>78</x:v>
      </x:c>
      <x:c r="BZ3" t="s">
        <x:v>78</x:v>
      </x:c>
      <x:c r="CA3" s="23">
        <x:f t="shared" si="6"/>
        <x:v>0.15554000000000001</x:v>
      </x:c>
      <x:c r="CB3" s="23">
        <x:f t="shared" si="7"/>
        <x:v>0.52494750000000001</x:v>
      </x:c>
      <x:c r="CC3" s="23">
        <x:f t="shared" si="8"/>
        <x:v>0.50550499999999998</x:v>
      </x:c>
      <x:c r="CD3" s="23">
        <x:f t="shared" si="9"/>
        <x:v>1.1665500000000001E-2</x:v>
      </x:c>
      <x:c r="CE3" s="23">
        <x:f t="shared" si="10"/>
        <x:v>1.1665500000000001E-2</x:v>
      </x:c>
      <x:c r="CF3" s="23">
        <x:f t="shared" si="11"/>
        <x:v>0</x:v>
      </x:c>
      <x:c r="CG3" s="23">
        <x:f t="shared" si="12"/>
        <x:v>0</x:v>
      </x:c>
      <x:c r="CH3" s="23">
        <x:f t="shared" si="13"/>
        <x:v>7.7769999999999992E-3</x:v>
      </x:c>
      <x:c r="CI3" s="23">
        <x:f t="shared" si="14"/>
        <x:v>0</x:v>
      </x:c>
      <x:c r="CJ3" s="24" t="s">
        <x:v>78</x:v>
      </x:c>
      <x:c r="CK3" s="25">
        <x:v>0</x:v>
      </x:c>
      <x:c r="CL3" s="26" t="s">
        <x:v>78</x:v>
      </x:c>
      <x:c r="CM3" s="26" t="n">
        <x:f>(1-BV3/BU3)*100</x:f>
        <x:v>0</x:v>
      </x:c>
      <x:c r="CN3" s="27" t="s">
        <x:v>78</x:v>
      </x:c>
      <x:c r="CO3" s="27">
        <x:v>0</x:v>
      </x:c>
      <x:c r="CP3" s="27">
        <x:v>0</x:v>
      </x:c>
      <x:c r="CQ3" s="26">
        <x:f t="shared" si="15"/>
        <x:v>0.15554000000000001</x:v>
      </x:c>
      <x:c r="CR3" s="26">
        <x:f t="shared" si="16"/>
        <x:v>0.52494750000000001</x:v>
      </x:c>
      <x:c r="CS3" s="26" t="n">
        <x:f t="shared" ref="CS3:CS66" si="22">CC3</x:f>
        <x:v>0.505505</x:v>
      </x:c>
      <x:c r="CT3" s="26">
        <x:f t="shared" si="17"/>
        <x:v>1.1665500000000001E-2</x:v>
      </x:c>
      <x:c r="CU3" s="26">
        <x:f t="shared" si="18"/>
        <x:v>1.1665500000000001E-2</x:v>
      </x:c>
      <x:c r="CV3" s="26">
        <x:f t="shared" si="19"/>
        <x:v>0</x:v>
      </x:c>
      <x:c r="CW3" s="26">
        <x:f t="shared" si="20"/>
        <x:v>0</x:v>
      </x:c>
      <x:c r="CX3" s="26" t="n">
        <x:f t="shared" ref="CX3:CX66" si="23">CH3</x:f>
        <x:v>0.007776999999999999</x:v>
      </x:c>
      <x:c r="CY3" s="26" t="n">
        <x:f t="shared" ref="CY3:CY66" si="24">CI3</x:f>
        <x:v>0</x:v>
      </x:c>
    </x:row>
    <x:row r="4">
      <x:c r="A4" s="18">
        <x:v>2022</x:v>
      </x:c>
      <x:c r="B4" t="s">
        <x:v>65</x:v>
      </x:c>
      <x:c r="C4" t="s">
        <x:v>66</x:v>
      </x:c>
      <x:c r="D4" t="s">
        <x:v>67</x:v>
      </x:c>
      <x:c r="E4" s="18">
        <x:v>440111</x:v>
      </x:c>
      <x:c r="F4" t="s">
        <x:v>68</x:v>
      </x:c>
      <x:c r="G4" t="s">
        <x:v>69</x:v>
      </x:c>
      <x:c r="H4" s="18">
        <x:v>4417</x:v>
      </x:c>
      <x:c r="I4" t="s">
        <x:v>70</x:v>
      </x:c>
      <x:c r="J4" t="s">
        <x:v>71</x:v>
      </x:c>
      <x:c r="K4" t="s">
        <x:v>80</x:v>
      </x:c>
      <x:c r="L4" s="18">
        <x:v>0.2</x:v>
      </x:c>
      <x:c r="M4" t="s">
        <x:v>78</x:v>
      </x:c>
      <x:c r="N4" s="18">
        <x:v>16</x:v>
      </x:c>
      <x:c r="O4" t="s">
        <x:v>74</x:v>
      </x:c>
      <x:c r="P4" s="18">
        <x:v>11</x:v>
      </x:c>
      <x:c r="Q4" s="19" t="s">
        <x:v>75</x:v>
      </x:c>
      <x:c r="R4" s="18">
        <x:v>38.884999999999998</x:v>
      </x:c>
      <x:c r="S4" t="s">
        <x:v>76</x:v>
      </x:c>
      <x:c r="T4" s="19">
        <x:f t="shared" si="21"/>
        <x:v>38.884999999999998</x:v>
      </x:c>
      <x:c r="U4" s="20">
        <x:v>200</x:v>
      </x:c>
      <x:c r="V4" t="s">
        <x:v>77</x:v>
      </x:c>
      <x:c r="W4" s="19" t="s">
        <x:v>78</x:v>
      </x:c>
      <x:c r="X4" s="21">
        <x:f t="shared" si="0"/>
        <x:v>0.15554000000000001</x:v>
      </x:c>
      <x:c r="Y4" s="21">
        <x:f t="shared" si="1"/>
        <x:v>0.52494750000000001</x:v>
      </x:c>
      <x:c r="Z4" s="21">
        <x:f t="shared" si="2"/>
        <x:v>0.50550499999999998</x:v>
      </x:c>
      <x:c r="AA4" s="21">
        <x:f t="shared" si="3"/>
        <x:v>1.1665500000000001E-2</x:v>
      </x:c>
      <x:c r="AB4" s="21">
        <x:f t="shared" si="4"/>
        <x:v>1.1665500000000001E-2</x:v>
      </x:c>
      <x:c r="AC4" s="21"/>
      <x:c r="AD4" s="21"/>
      <x:c r="AE4" s="21">
        <x:f t="shared" si="5"/>
        <x:v>7.7769999999999992E-3</x:v>
      </x:c>
      <x:c r="AF4" s="21"/>
      <x:c r="AG4" s="19" t="s">
        <x:v>78</x:v>
      </x:c>
      <x:c r="AH4" t="s">
        <x:v>78</x:v>
      </x:c>
      <x:c r="AI4" t="s">
        <x:v>78</x:v>
      </x:c>
      <x:c r="AJ4" s="19"/>
      <x:c r="AK4" s="19" t="s">
        <x:v>78</x:v>
      </x:c>
      <x:c r="AL4" t="s">
        <x:v>78</x:v>
      </x:c>
      <x:c r="AM4" s="19" t="s">
        <x:v>78</x:v>
      </x:c>
      <x:c r="AN4" s="21"/>
      <x:c r="AO4" s="21"/>
      <x:c r="AP4" s="21"/>
      <x:c r="AQ4" s="21"/>
      <x:c r="AR4" s="21"/>
      <x:c r="AS4" s="21"/>
      <x:c r="AT4" s="21"/>
      <x:c r="AU4" s="21"/>
      <x:c r="AV4" s="21"/>
      <x:c r="AW4" t="s">
        <x:v>78</x:v>
      </x:c>
      <x:c r="AX4" s="19"/>
      <x:c r="AY4" s="21"/>
      <x:c r="AZ4" s="21"/>
      <x:c r="BA4" s="21"/>
      <x:c r="BB4" s="21"/>
      <x:c r="BC4" s="21"/>
      <x:c r="BD4" s="21"/>
      <x:c r="BE4" s="21"/>
      <x:c r="BF4" s="21"/>
      <x:c r="BG4" s="21"/>
      <x:c r="BH4" t="s">
        <x:v>82</x:v>
      </x:c>
      <x:c r="BI4" s="18">
        <x:v>113</x:v>
      </x:c>
      <x:c r="BJ4" s="18">
        <x:v>20</x:v>
      </x:c>
      <x:c r="BK4" s="18">
        <x:v>38</x:v>
      </x:c>
      <x:c r="BL4" s="18">
        <x:v>23</x:v>
      </x:c>
      <x:c r="BM4" s="18">
        <x:v>16</x:v>
      </x:c>
      <x:c r="BN4" s="18">
        <x:v>17</x:v>
      </x:c>
      <x:c r="BO4" s="22">
        <x:v>113.343888888889</x:v>
      </x:c>
      <x:c r="BP4" s="22">
        <x:v>23.2713888888889</x:v>
      </x:c>
      <x:c r="BQ4" s="18">
        <x:v>2</x:v>
      </x:c>
      <x:c r="BR4" s="18">
        <x:v>130</x:v>
      </x:c>
      <x:c r="BS4" s="18">
        <x:v>2.7E-2</x:v>
      </x:c>
      <x:c r="BT4" s="18">
        <x:v>2.7E-2</x:v>
      </x:c>
      <x:c r="BU4" s="18">
        <x:v>0.33400000000000002</x:v>
      </x:c>
      <x:c r="BV4" s="18">
        <x:v>0.33400000000000002</x:v>
      </x:c>
      <x:c r="BW4" s="18">
        <x:v>0.04</x:v>
      </x:c>
      <x:c r="BX4" s="18">
        <x:v>0.04</x:v>
      </x:c>
      <x:c r="BY4" t="s">
        <x:v>78</x:v>
      </x:c>
      <x:c r="BZ4" t="s">
        <x:v>78</x:v>
      </x:c>
      <x:c r="CA4" s="23">
        <x:f t="shared" si="6"/>
        <x:v>0.15554000000000001</x:v>
      </x:c>
      <x:c r="CB4" s="23">
        <x:f t="shared" si="7"/>
        <x:v>0.52494750000000001</x:v>
      </x:c>
      <x:c r="CC4" s="23">
        <x:f t="shared" si="8"/>
        <x:v>0.50550499999999998</x:v>
      </x:c>
      <x:c r="CD4" s="23">
        <x:f t="shared" si="9"/>
        <x:v>1.1665500000000001E-2</x:v>
      </x:c>
      <x:c r="CE4" s="23">
        <x:f t="shared" si="10"/>
        <x:v>1.1665500000000001E-2</x:v>
      </x:c>
      <x:c r="CF4" s="23">
        <x:f t="shared" si="11"/>
        <x:v>0</x:v>
      </x:c>
      <x:c r="CG4" s="23">
        <x:f t="shared" si="12"/>
        <x:v>0</x:v>
      </x:c>
      <x:c r="CH4" s="23">
        <x:f t="shared" si="13"/>
        <x:v>7.7769999999999992E-3</x:v>
      </x:c>
      <x:c r="CI4" s="23">
        <x:f t="shared" si="14"/>
        <x:v>0</x:v>
      </x:c>
      <x:c r="CJ4" s="24" t="s">
        <x:v>78</x:v>
      </x:c>
      <x:c r="CK4" s="25">
        <x:v>0</x:v>
      </x:c>
      <x:c r="CL4" s="26" t="s">
        <x:v>78</x:v>
      </x:c>
      <x:c r="CM4" s="26" t="n">
        <x:f>(1-BV4/BU4)*100</x:f>
        <x:v>0</x:v>
      </x:c>
      <x:c r="CN4" s="27" t="s">
        <x:v>78</x:v>
      </x:c>
      <x:c r="CO4" s="27">
        <x:v>0</x:v>
      </x:c>
      <x:c r="CP4" s="27">
        <x:v>0</x:v>
      </x:c>
      <x:c r="CQ4" s="26">
        <x:f t="shared" si="15"/>
        <x:v>0.15554000000000001</x:v>
      </x:c>
      <x:c r="CR4" s="26">
        <x:f t="shared" si="16"/>
        <x:v>0.52494750000000001</x:v>
      </x:c>
      <x:c r="CS4" s="26">
        <x:f t="shared" si="22"/>
        <x:v>0.50550499999999998</x:v>
      </x:c>
      <x:c r="CT4" s="26">
        <x:f t="shared" si="17"/>
        <x:v>1.1665500000000001E-2</x:v>
      </x:c>
      <x:c r="CU4" s="26">
        <x:f t="shared" si="18"/>
        <x:v>1.1665500000000001E-2</x:v>
      </x:c>
      <x:c r="CV4" s="26">
        <x:f t="shared" si="19"/>
        <x:v>0</x:v>
      </x:c>
      <x:c r="CW4" s="26">
        <x:f t="shared" si="20"/>
        <x:v>0</x:v>
      </x:c>
      <x:c r="CX4" s="26">
        <x:f t="shared" si="23"/>
        <x:v>7.7769999999999992E-3</x:v>
      </x:c>
      <x:c r="CY4" s="26">
        <x:f t="shared" si="24"/>
        <x:v>0</x:v>
      </x:c>
    </x:row>
    <x:row r="5">
      <x:c r="A5" s="18">
        <x:v>2022</x:v>
      </x:c>
      <x:c r="B5" t="s">
        <x:v>65</x:v>
      </x:c>
      <x:c r="C5" t="s">
        <x:v>66</x:v>
      </x:c>
      <x:c r="D5" t="s">
        <x:v>67</x:v>
      </x:c>
      <x:c r="E5" s="18">
        <x:v>440111</x:v>
      </x:c>
      <x:c r="F5" t="s">
        <x:v>68</x:v>
      </x:c>
      <x:c r="G5" t="s">
        <x:v>69</x:v>
      </x:c>
      <x:c r="H5" s="18">
        <x:v>4417</x:v>
      </x:c>
      <x:c r="I5" t="s">
        <x:v>70</x:v>
      </x:c>
      <x:c r="J5" t="s">
        <x:v>71</x:v>
      </x:c>
      <x:c r="K5" t="s">
        <x:v>80</x:v>
      </x:c>
      <x:c r="L5" s="18">
        <x:v>0.2</x:v>
      </x:c>
      <x:c r="M5" t="s">
        <x:v>78</x:v>
      </x:c>
      <x:c r="N5" s="18">
        <x:v>16</x:v>
      </x:c>
      <x:c r="O5" t="s">
        <x:v>74</x:v>
      </x:c>
      <x:c r="P5" s="18">
        <x:v>11</x:v>
      </x:c>
      <x:c r="Q5" s="19" t="s">
        <x:v>75</x:v>
      </x:c>
      <x:c r="R5" s="18">
        <x:v>38.884999999999998</x:v>
      </x:c>
      <x:c r="S5" t="s">
        <x:v>76</x:v>
      </x:c>
      <x:c r="T5" s="19">
        <x:f t="shared" si="21"/>
        <x:v>38.884999999999998</x:v>
      </x:c>
      <x:c r="U5" s="20">
        <x:v>200</x:v>
      </x:c>
      <x:c r="V5" t="s">
        <x:v>77</x:v>
      </x:c>
      <x:c r="W5" s="19" t="s">
        <x:v>78</x:v>
      </x:c>
      <x:c r="X5" s="21">
        <x:f t="shared" si="0"/>
        <x:v>0.15554000000000001</x:v>
      </x:c>
      <x:c r="Y5" s="21">
        <x:f t="shared" si="1"/>
        <x:v>0.52494750000000001</x:v>
      </x:c>
      <x:c r="Z5" s="21">
        <x:f t="shared" si="2"/>
        <x:v>0.50550499999999998</x:v>
      </x:c>
      <x:c r="AA5" s="21">
        <x:f t="shared" si="3"/>
        <x:v>1.1665500000000001E-2</x:v>
      </x:c>
      <x:c r="AB5" s="21">
        <x:f t="shared" si="4"/>
        <x:v>1.1665500000000001E-2</x:v>
      </x:c>
      <x:c r="AC5" s="21"/>
      <x:c r="AD5" s="21"/>
      <x:c r="AE5" s="21">
        <x:f t="shared" si="5"/>
        <x:v>7.7769999999999992E-3</x:v>
      </x:c>
      <x:c r="AF5" s="21"/>
      <x:c r="AG5" s="19" t="s">
        <x:v>78</x:v>
      </x:c>
      <x:c r="AH5" t="s">
        <x:v>78</x:v>
      </x:c>
      <x:c r="AI5" t="s">
        <x:v>78</x:v>
      </x:c>
      <x:c r="AJ5" s="19"/>
      <x:c r="AK5" s="19" t="s">
        <x:v>78</x:v>
      </x:c>
      <x:c r="AL5" t="s">
        <x:v>78</x:v>
      </x:c>
      <x:c r="AM5" s="19" t="s">
        <x:v>78</x:v>
      </x:c>
      <x:c r="AN5" s="21"/>
      <x:c r="AO5" s="21"/>
      <x:c r="AP5" s="21"/>
      <x:c r="AQ5" s="21"/>
      <x:c r="AR5" s="21"/>
      <x:c r="AS5" s="21"/>
      <x:c r="AT5" s="21"/>
      <x:c r="AU5" s="21"/>
      <x:c r="AV5" s="21"/>
      <x:c r="AW5" t="s">
        <x:v>78</x:v>
      </x:c>
      <x:c r="AX5" s="19"/>
      <x:c r="AY5" s="21"/>
      <x:c r="AZ5" s="21"/>
      <x:c r="BA5" s="21"/>
      <x:c r="BB5" s="21"/>
      <x:c r="BC5" s="21"/>
      <x:c r="BD5" s="21"/>
      <x:c r="BE5" s="21"/>
      <x:c r="BF5" s="21"/>
      <x:c r="BG5" s="21"/>
      <x:c r="BH5" t="s">
        <x:v>83</x:v>
      </x:c>
      <x:c r="BI5" s="18">
        <x:v>113</x:v>
      </x:c>
      <x:c r="BJ5" s="18">
        <x:v>20</x:v>
      </x:c>
      <x:c r="BK5" s="18">
        <x:v>38</x:v>
      </x:c>
      <x:c r="BL5" s="18">
        <x:v>23</x:v>
      </x:c>
      <x:c r="BM5" s="18">
        <x:v>16</x:v>
      </x:c>
      <x:c r="BN5" s="18">
        <x:v>17</x:v>
      </x:c>
      <x:c r="BO5" s="22">
        <x:v>113.343888888889</x:v>
      </x:c>
      <x:c r="BP5" s="22">
        <x:v>23.2713888888889</x:v>
      </x:c>
      <x:c r="BQ5" s="18">
        <x:v>2</x:v>
      </x:c>
      <x:c r="BR5" s="18">
        <x:v>130</x:v>
      </x:c>
      <x:c r="BS5" s="18">
        <x:v>2.7E-2</x:v>
      </x:c>
      <x:c r="BT5" s="18">
        <x:v>2.7E-2</x:v>
      </x:c>
      <x:c r="BU5" s="18">
        <x:v>0.33400000000000002</x:v>
      </x:c>
      <x:c r="BV5" s="18">
        <x:v>0.33400000000000002</x:v>
      </x:c>
      <x:c r="BW5" s="18">
        <x:v>0.04</x:v>
      </x:c>
      <x:c r="BX5" s="18">
        <x:v>0.04</x:v>
      </x:c>
      <x:c r="BY5" t="s">
        <x:v>78</x:v>
      </x:c>
      <x:c r="BZ5" t="s">
        <x:v>78</x:v>
      </x:c>
      <x:c r="CA5" s="23">
        <x:f t="shared" si="6"/>
        <x:v>0.15554000000000001</x:v>
      </x:c>
      <x:c r="CB5" s="23">
        <x:f t="shared" si="7"/>
        <x:v>0.52494750000000001</x:v>
      </x:c>
      <x:c r="CC5" s="23">
        <x:f t="shared" si="8"/>
        <x:v>0.50550499999999998</x:v>
      </x:c>
      <x:c r="CD5" s="23">
        <x:f t="shared" si="9"/>
        <x:v>1.1665500000000001E-2</x:v>
      </x:c>
      <x:c r="CE5" s="23">
        <x:f t="shared" si="10"/>
        <x:v>1.1665500000000001E-2</x:v>
      </x:c>
      <x:c r="CF5" s="23">
        <x:f t="shared" si="11"/>
        <x:v>0</x:v>
      </x:c>
      <x:c r="CG5" s="23">
        <x:f t="shared" si="12"/>
        <x:v>0</x:v>
      </x:c>
      <x:c r="CH5" s="23">
        <x:f t="shared" si="13"/>
        <x:v>7.7769999999999992E-3</x:v>
      </x:c>
      <x:c r="CI5" s="23">
        <x:f t="shared" si="14"/>
        <x:v>0</x:v>
      </x:c>
      <x:c r="CJ5" s="24" t="s">
        <x:v>78</x:v>
      </x:c>
      <x:c r="CK5" s="25">
        <x:v>0</x:v>
      </x:c>
      <x:c r="CL5" s="26" t="s">
        <x:v>78</x:v>
      </x:c>
      <x:c r="CM5" s="26" t="n">
        <x:f>(1-BV5/BU5)*100</x:f>
        <x:v>0</x:v>
      </x:c>
      <x:c r="CN5" s="27" t="s">
        <x:v>78</x:v>
      </x:c>
      <x:c r="CO5" s="27">
        <x:v>0</x:v>
      </x:c>
      <x:c r="CP5" s="27">
        <x:v>0</x:v>
      </x:c>
      <x:c r="CQ5" s="26">
        <x:f t="shared" si="15"/>
        <x:v>0.15554000000000001</x:v>
      </x:c>
      <x:c r="CR5" s="26">
        <x:f t="shared" si="16"/>
        <x:v>0.52494750000000001</x:v>
      </x:c>
      <x:c r="CS5" s="26">
        <x:f t="shared" si="22"/>
        <x:v>0.50550499999999998</x:v>
      </x:c>
      <x:c r="CT5" s="26">
        <x:f t="shared" si="17"/>
        <x:v>1.1665500000000001E-2</x:v>
      </x:c>
      <x:c r="CU5" s="26">
        <x:f t="shared" si="18"/>
        <x:v>1.1665500000000001E-2</x:v>
      </x:c>
      <x:c r="CV5" s="26">
        <x:f t="shared" si="19"/>
        <x:v>0</x:v>
      </x:c>
      <x:c r="CW5" s="26">
        <x:f t="shared" si="20"/>
        <x:v>0</x:v>
      </x:c>
      <x:c r="CX5" s="26">
        <x:f t="shared" si="23"/>
        <x:v>7.7769999999999992E-3</x:v>
      </x:c>
      <x:c r="CY5" s="26">
        <x:f t="shared" si="24"/>
        <x:v>0</x:v>
      </x:c>
    </x:row>
    <x:row r="6">
      <x:c r="A6" s="18">
        <x:v>2022</x:v>
      </x:c>
      <x:c r="B6" t="s">
        <x:v>84</x:v>
      </x:c>
      <x:c r="C6" t="s">
        <x:v>85</x:v>
      </x:c>
      <x:c r="D6" t="s">
        <x:v>86</x:v>
      </x:c>
      <x:c r="E6" s="18">
        <x:v>440111</x:v>
      </x:c>
      <x:c r="F6" t="s">
        <x:v>68</x:v>
      </x:c>
      <x:c r="G6" t="s">
        <x:v>69</x:v>
      </x:c>
      <x:c r="H6" s="18">
        <x:v>4417</x:v>
      </x:c>
      <x:c r="I6" t="s">
        <x:v>70</x:v>
      </x:c>
      <x:c r="J6" t="s">
        <x:v>87</x:v>
      </x:c>
      <x:c r="K6" t="s">
        <x:v>80</x:v>
      </x:c>
      <x:c r="L6" s="18">
        <x:v>0.106</x:v>
      </x:c>
      <x:c r="M6" t="s">
        <x:v>78</x:v>
      </x:c>
      <x:c r="N6" s="18">
        <x:v>1.514</x:v>
      </x:c>
      <x:c r="O6" t="s">
        <x:v>88</x:v>
      </x:c>
      <x:c r="P6" s="18">
        <x:v>11</x:v>
      </x:c>
      <x:c r="Q6" s="19" t="s">
        <x:v>75</x:v>
      </x:c>
      <x:c r="R6" s="18">
        <x:v>455.19</x:v>
      </x:c>
      <x:c r="S6" t="s">
        <x:v>76</x:v>
      </x:c>
      <x:c r="T6" s="19">
        <x:f t="shared" si="21"/>
        <x:v>455.19</x:v>
      </x:c>
      <x:c r="U6" s="20">
        <x:v>200</x:v>
      </x:c>
      <x:c r="V6" t="s">
        <x:v>77</x:v>
      </x:c>
      <x:c r="W6" s="19" t="s">
        <x:v>78</x:v>
      </x:c>
      <x:c r="X6" s="21">
        <x:f t="shared" si="0"/>
        <x:v>1.8207599999999999</x:v>
      </x:c>
      <x:c r="Y6" s="21">
        <x:f t="shared" si="1"/>
        <x:v>6.1450650000000007</x:v>
      </x:c>
      <x:c r="Z6" s="21">
        <x:f t="shared" si="2"/>
        <x:v>5.9174700000000007</x:v>
      </x:c>
      <x:c r="AA6" s="21">
        <x:f t="shared" si="3"/>
        <x:v>0.13655700000000001</x:v>
      </x:c>
      <x:c r="AB6" s="21">
        <x:f t="shared" si="4"/>
        <x:v>0.13655700000000001</x:v>
      </x:c>
      <x:c r="AC6" s="21"/>
      <x:c r="AD6" s="21"/>
      <x:c r="AE6" s="21">
        <x:f t="shared" si="5"/>
        <x:v>9.1037999999999994E-2</x:v>
      </x:c>
      <x:c r="AF6" s="21"/>
      <x:c r="AG6" s="19" t="s">
        <x:v>78</x:v>
      </x:c>
      <x:c r="AH6" t="s">
        <x:v>78</x:v>
      </x:c>
      <x:c r="AI6" t="s">
        <x:v>78</x:v>
      </x:c>
      <x:c r="AJ6" s="19"/>
      <x:c r="AK6" s="19" t="s">
        <x:v>78</x:v>
      </x:c>
      <x:c r="AL6" t="s">
        <x:v>78</x:v>
      </x:c>
      <x:c r="AM6" s="19" t="s">
        <x:v>78</x:v>
      </x:c>
      <x:c r="AN6" s="21"/>
      <x:c r="AO6" s="21"/>
      <x:c r="AP6" s="21"/>
      <x:c r="AQ6" s="21"/>
      <x:c r="AR6" s="21"/>
      <x:c r="AS6" s="21"/>
      <x:c r="AT6" s="21"/>
      <x:c r="AU6" s="21"/>
      <x:c r="AV6" s="21"/>
      <x:c r="AW6" t="s">
        <x:v>78</x:v>
      </x:c>
      <x:c r="AX6" s="19"/>
      <x:c r="AY6" s="21"/>
      <x:c r="AZ6" s="21"/>
      <x:c r="BA6" s="21"/>
      <x:c r="BB6" s="21"/>
      <x:c r="BC6" s="21"/>
      <x:c r="BD6" s="21"/>
      <x:c r="BE6" s="21"/>
      <x:c r="BF6" s="21"/>
      <x:c r="BG6" s="21"/>
      <x:c r="BH6" t="s">
        <x:v>81</x:v>
      </x:c>
      <x:c r="BI6" s="18">
        <x:v>113</x:v>
      </x:c>
      <x:c r="BJ6" s="18">
        <x:v>29</x:v>
      </x:c>
      <x:c r="BK6" s="18">
        <x:v>8.0500000000000007</x:v>
      </x:c>
      <x:c r="BL6" s="18">
        <x:v>23</x:v>
      </x:c>
      <x:c r="BM6" s="18">
        <x:v>17</x:v>
      </x:c>
      <x:c r="BN6" s="18">
        <x:v>19.05</x:v>
      </x:c>
      <x:c r="BO6" s="22">
        <x:v>113.485569444444</x:v>
      </x:c>
      <x:c r="BP6" s="22">
        <x:v>23.288625</x:v>
      </x:c>
      <x:c r="BQ6" s="18">
        <x:v>15</x:v>
      </x:c>
      <x:c r="BR6" s="18">
        <x:v>3485.71</x:v>
      </x:c>
      <x:c r="BS6" s="18">
        <x:v>0.32200000000000001</x:v>
      </x:c>
      <x:c r="BT6" s="18">
        <x:v>0.32200000000000001</x:v>
      </x:c>
      <x:c r="BU6" s="18">
        <x:v>7.6929999999999996</x:v>
      </x:c>
      <x:c r="BV6" s="18">
        <x:v>7.6929999999999996</x:v>
      </x:c>
      <x:c r="BW6" s="18">
        <x:v>0.47299999999999998</x:v>
      </x:c>
      <x:c r="BX6" s="18">
        <x:v>0.47299999999999998</x:v>
      </x:c>
      <x:c r="BY6" t="s">
        <x:v>78</x:v>
      </x:c>
      <x:c r="BZ6" t="s">
        <x:v>78</x:v>
      </x:c>
      <x:c r="CA6" s="23">
        <x:f t="shared" si="6"/>
        <x:v>1.8207599999999999</x:v>
      </x:c>
      <x:c r="CB6" s="23">
        <x:f t="shared" si="7"/>
        <x:v>6.1450650000000007</x:v>
      </x:c>
      <x:c r="CC6" s="23">
        <x:f t="shared" si="8"/>
        <x:v>5.9174700000000007</x:v>
      </x:c>
      <x:c r="CD6" s="23">
        <x:f t="shared" si="9"/>
        <x:v>0.13655700000000001</x:v>
      </x:c>
      <x:c r="CE6" s="23">
        <x:f t="shared" si="10"/>
        <x:v>0.13655700000000001</x:v>
      </x:c>
      <x:c r="CF6" s="23">
        <x:f t="shared" si="11"/>
        <x:v>0</x:v>
      </x:c>
      <x:c r="CG6" s="23">
        <x:f t="shared" si="12"/>
        <x:v>0</x:v>
      </x:c>
      <x:c r="CH6" s="23">
        <x:f t="shared" si="13"/>
        <x:v>9.1037999999999994E-2</x:v>
      </x:c>
      <x:c r="CI6" s="23">
        <x:f t="shared" si="14"/>
        <x:v>0</x:v>
      </x:c>
      <x:c r="CJ6" s="24" t="s">
        <x:v>78</x:v>
      </x:c>
      <x:c r="CK6" s="25">
        <x:v>0</x:v>
      </x:c>
      <x:c r="CL6" s="26" t="s">
        <x:v>78</x:v>
      </x:c>
      <x:c r="CM6" s="26">
        <x:v>42</x:v>
      </x:c>
      <x:c r="CN6" s="27" t="s">
        <x:v>78</x:v>
      </x:c>
      <x:c r="CO6" s="27">
        <x:v>0</x:v>
      </x:c>
      <x:c r="CP6" s="27">
        <x:v>0</x:v>
      </x:c>
      <x:c r="CQ6" s="26">
        <x:f t="shared" si="15"/>
        <x:v>1.8207599999999999</x:v>
      </x:c>
      <x:c r="CR6" s="26">
        <x:f t="shared" si="16"/>
        <x:v>3.5641377000000007</x:v>
      </x:c>
      <x:c r="CS6" s="26">
        <x:f t="shared" si="22"/>
        <x:v>5.9174700000000007</x:v>
      </x:c>
      <x:c r="CT6" s="26">
        <x:f t="shared" si="17"/>
        <x:v>0.13655700000000001</x:v>
      </x:c>
      <x:c r="CU6" s="26">
        <x:f t="shared" si="18"/>
        <x:v>0.13655700000000001</x:v>
      </x:c>
      <x:c r="CV6" s="26">
        <x:f t="shared" si="19"/>
        <x:v>0</x:v>
      </x:c>
      <x:c r="CW6" s="26">
        <x:f t="shared" si="20"/>
        <x:v>0</x:v>
      </x:c>
      <x:c r="CX6" s="26">
        <x:f t="shared" si="23"/>
        <x:v>9.1037999999999994E-2</x:v>
      </x:c>
      <x:c r="CY6" s="26">
        <x:f t="shared" si="24"/>
        <x:v>0</x:v>
      </x:c>
    </x:row>
    <x:row r="7">
      <x:c r="A7" s="18">
        <x:v>2022</x:v>
      </x:c>
      <x:c r="B7" t="s">
        <x:v>84</x:v>
      </x:c>
      <x:c r="C7" t="s">
        <x:v>85</x:v>
      </x:c>
      <x:c r="D7" t="s">
        <x:v>86</x:v>
      </x:c>
      <x:c r="E7" s="18">
        <x:v>440111</x:v>
      </x:c>
      <x:c r="F7" t="s">
        <x:v>68</x:v>
      </x:c>
      <x:c r="G7" t="s">
        <x:v>69</x:v>
      </x:c>
      <x:c r="H7" s="18">
        <x:v>4417</x:v>
      </x:c>
      <x:c r="I7" t="s">
        <x:v>70</x:v>
      </x:c>
      <x:c r="J7" t="s">
        <x:v>87</x:v>
      </x:c>
      <x:c r="K7" t="s">
        <x:v>80</x:v>
      </x:c>
      <x:c r="L7" s="18">
        <x:v>0.106</x:v>
      </x:c>
      <x:c r="M7" t="s">
        <x:v>78</x:v>
      </x:c>
      <x:c r="N7" s="18">
        <x:v>1.514</x:v>
      </x:c>
      <x:c r="O7" t="s">
        <x:v>88</x:v>
      </x:c>
      <x:c r="P7" s="18">
        <x:v>11</x:v>
      </x:c>
      <x:c r="Q7" s="19" t="s">
        <x:v>75</x:v>
      </x:c>
      <x:c r="R7" s="18">
        <x:v>304.68</x:v>
      </x:c>
      <x:c r="S7" t="s">
        <x:v>76</x:v>
      </x:c>
      <x:c r="T7" s="19">
        <x:f t="shared" si="21"/>
        <x:v>304.68</x:v>
      </x:c>
      <x:c r="U7" s="20">
        <x:v>200</x:v>
      </x:c>
      <x:c r="V7" t="s">
        <x:v>77</x:v>
      </x:c>
      <x:c r="W7" s="19" t="s">
        <x:v>78</x:v>
      </x:c>
      <x:c r="X7" s="21">
        <x:f t="shared" si="0"/>
        <x:v>1.21872</x:v>
      </x:c>
      <x:c r="Y7" s="21">
        <x:f t="shared" si="1"/>
        <x:v>4.1131800000000007</x:v>
      </x:c>
      <x:c r="Z7" s="21">
        <x:f t="shared" si="2"/>
        <x:v>3.9608400000000001</x:v>
      </x:c>
      <x:c r="AA7" s="21">
        <x:f t="shared" si="3"/>
        <x:v>9.1403999999999999E-2</x:v>
      </x:c>
      <x:c r="AB7" s="21">
        <x:f t="shared" si="4"/>
        <x:v>9.1403999999999999E-2</x:v>
      </x:c>
      <x:c r="AC7" s="21"/>
      <x:c r="AD7" s="21"/>
      <x:c r="AE7" s="21">
        <x:f t="shared" si="5"/>
        <x:v>6.0935999999999997E-2</x:v>
      </x:c>
      <x:c r="AF7" s="21"/>
      <x:c r="AG7" s="19" t="s">
        <x:v>78</x:v>
      </x:c>
      <x:c r="AH7" t="s">
        <x:v>78</x:v>
      </x:c>
      <x:c r="AI7" t="s">
        <x:v>78</x:v>
      </x:c>
      <x:c r="AJ7" s="19"/>
      <x:c r="AK7" s="19" t="s">
        <x:v>78</x:v>
      </x:c>
      <x:c r="AL7" t="s">
        <x:v>78</x:v>
      </x:c>
      <x:c r="AM7" s="19" t="s">
        <x:v>78</x:v>
      </x:c>
      <x:c r="AN7" s="21"/>
      <x:c r="AO7" s="21"/>
      <x:c r="AP7" s="21"/>
      <x:c r="AQ7" s="21"/>
      <x:c r="AR7" s="21"/>
      <x:c r="AS7" s="21"/>
      <x:c r="AT7" s="21"/>
      <x:c r="AU7" s="21"/>
      <x:c r="AV7" s="21"/>
      <x:c r="AW7" t="s">
        <x:v>78</x:v>
      </x:c>
      <x:c r="AX7" s="19"/>
      <x:c r="AY7" s="21"/>
      <x:c r="AZ7" s="21"/>
      <x:c r="BA7" s="21"/>
      <x:c r="BB7" s="21"/>
      <x:c r="BC7" s="21"/>
      <x:c r="BD7" s="21"/>
      <x:c r="BE7" s="21"/>
      <x:c r="BF7" s="21"/>
      <x:c r="BG7" s="21"/>
      <x:c r="BH7" t="s">
        <x:v>79</x:v>
      </x:c>
      <x:c r="BI7" s="18">
        <x:v>113</x:v>
      </x:c>
      <x:c r="BJ7" s="18">
        <x:v>29</x:v>
      </x:c>
      <x:c r="BK7" s="18">
        <x:v>8.08</x:v>
      </x:c>
      <x:c r="BL7" s="18">
        <x:v>23</x:v>
      </x:c>
      <x:c r="BM7" s="18">
        <x:v>17</x:v>
      </x:c>
      <x:c r="BN7" s="18">
        <x:v>19.09</x:v>
      </x:c>
      <x:c r="BO7" s="22">
        <x:v>113.485577777778</x:v>
      </x:c>
      <x:c r="BP7" s="22">
        <x:v>23.288636111111099</x:v>
      </x:c>
      <x:c r="BQ7" s="18">
        <x:v>15</x:v>
      </x:c>
      <x:c r="BR7" s="18">
        <x:v>2433.77</x:v>
      </x:c>
      <x:c r="BS7" s="18">
        <x:v>0.215</x:v>
      </x:c>
      <x:c r="BT7" s="18">
        <x:v>0.215</x:v>
      </x:c>
      <x:c r="BU7" s="18">
        <x:v>5.149</x:v>
      </x:c>
      <x:c r="BV7" s="18">
        <x:v>5.149</x:v>
      </x:c>
      <x:c r="BW7" s="18">
        <x:v>0.317</x:v>
      </x:c>
      <x:c r="BX7" s="18">
        <x:v>0.317</x:v>
      </x:c>
      <x:c r="BY7" t="s">
        <x:v>78</x:v>
      </x:c>
      <x:c r="BZ7" t="s">
        <x:v>78</x:v>
      </x:c>
      <x:c r="CA7" s="23">
        <x:f t="shared" si="6"/>
        <x:v>1.21872</x:v>
      </x:c>
      <x:c r="CB7" s="23">
        <x:f t="shared" si="7"/>
        <x:v>4.1131800000000007</x:v>
      </x:c>
      <x:c r="CC7" s="23">
        <x:f t="shared" si="8"/>
        <x:v>3.9608400000000001</x:v>
      </x:c>
      <x:c r="CD7" s="23">
        <x:f t="shared" si="9"/>
        <x:v>9.1403999999999999E-2</x:v>
      </x:c>
      <x:c r="CE7" s="23">
        <x:f t="shared" si="10"/>
        <x:v>9.1403999999999999E-2</x:v>
      </x:c>
      <x:c r="CF7" s="23">
        <x:f t="shared" si="11"/>
        <x:v>0</x:v>
      </x:c>
      <x:c r="CG7" s="23">
        <x:f t="shared" si="12"/>
        <x:v>0</x:v>
      </x:c>
      <x:c r="CH7" s="23">
        <x:f t="shared" si="13"/>
        <x:v>6.0935999999999997E-2</x:v>
      </x:c>
      <x:c r="CI7" s="23">
        <x:f t="shared" si="14"/>
        <x:v>0</x:v>
      </x:c>
      <x:c r="CJ7" s="24" t="s">
        <x:v>78</x:v>
      </x:c>
      <x:c r="CK7" s="25">
        <x:v>0</x:v>
      </x:c>
      <x:c r="CL7" s="26" t="s">
        <x:v>78</x:v>
      </x:c>
      <x:c r="CM7" s="26">
        <x:v>42</x:v>
      </x:c>
      <x:c r="CN7" s="27" t="s">
        <x:v>78</x:v>
      </x:c>
      <x:c r="CO7" s="27">
        <x:v>0</x:v>
      </x:c>
      <x:c r="CP7" s="27">
        <x:v>0</x:v>
      </x:c>
      <x:c r="CQ7" s="26">
        <x:f t="shared" si="15"/>
        <x:v>1.21872</x:v>
      </x:c>
      <x:c r="CR7" s="26">
        <x:f t="shared" si="16"/>
        <x:v>2.3856444000000008</x:v>
      </x:c>
      <x:c r="CS7" s="26">
        <x:f t="shared" si="22"/>
        <x:v>3.9608400000000001</x:v>
      </x:c>
      <x:c r="CT7" s="26">
        <x:f t="shared" si="17"/>
        <x:v>9.1403999999999999E-2</x:v>
      </x:c>
      <x:c r="CU7" s="26">
        <x:f t="shared" si="18"/>
        <x:v>9.1403999999999999E-2</x:v>
      </x:c>
      <x:c r="CV7" s="26">
        <x:f t="shared" si="19"/>
        <x:v>0</x:v>
      </x:c>
      <x:c r="CW7" s="26">
        <x:f t="shared" si="20"/>
        <x:v>0</x:v>
      </x:c>
      <x:c r="CX7" s="26">
        <x:f t="shared" si="23"/>
        <x:v>6.0935999999999997E-2</x:v>
      </x:c>
      <x:c r="CY7" s="26">
        <x:f t="shared" si="24"/>
        <x:v>0</x:v>
      </x:c>
    </x:row>
    <x:row r="8">
      <x:c r="A8" s="18">
        <x:v>2022</x:v>
      </x:c>
      <x:c r="B8" t="s">
        <x:v>84</x:v>
      </x:c>
      <x:c r="C8" t="s">
        <x:v>85</x:v>
      </x:c>
      <x:c r="D8" t="s">
        <x:v>86</x:v>
      </x:c>
      <x:c r="E8" s="18">
        <x:v>440111</x:v>
      </x:c>
      <x:c r="F8" t="s">
        <x:v>68</x:v>
      </x:c>
      <x:c r="G8" t="s">
        <x:v>69</x:v>
      </x:c>
      <x:c r="H8" s="18">
        <x:v>4417</x:v>
      </x:c>
      <x:c r="I8" t="s">
        <x:v>70</x:v>
      </x:c>
      <x:c r="J8" t="s">
        <x:v>87</x:v>
      </x:c>
      <x:c r="K8" t="s">
        <x:v>80</x:v>
      </x:c>
      <x:c r="L8" s="18">
        <x:v>0.106</x:v>
      </x:c>
      <x:c r="M8" t="s">
        <x:v>78</x:v>
      </x:c>
      <x:c r="N8" s="18">
        <x:v>1.514</x:v>
      </x:c>
      <x:c r="O8" t="s">
        <x:v>88</x:v>
      </x:c>
      <x:c r="P8" s="18">
        <x:v>11</x:v>
      </x:c>
      <x:c r="Q8" s="19" t="s">
        <x:v>75</x:v>
      </x:c>
      <x:c r="R8" s="18">
        <x:v>458.55</x:v>
      </x:c>
      <x:c r="S8" t="s">
        <x:v>76</x:v>
      </x:c>
      <x:c r="T8" s="19">
        <x:f t="shared" si="21"/>
        <x:v>458.55</x:v>
      </x:c>
      <x:c r="U8" s="20">
        <x:v>200</x:v>
      </x:c>
      <x:c r="V8" t="s">
        <x:v>77</x:v>
      </x:c>
      <x:c r="W8" s="19" t="s">
        <x:v>78</x:v>
      </x:c>
      <x:c r="X8" s="21">
        <x:f t="shared" si="0"/>
        <x:v>1.8342000000000001</x:v>
      </x:c>
      <x:c r="Y8" s="21">
        <x:f t="shared" si="1"/>
        <x:v>6.1904250000000003</x:v>
      </x:c>
      <x:c r="Z8" s="21">
        <x:f t="shared" si="2"/>
        <x:v>5.9611499999999999</x:v>
      </x:c>
      <x:c r="AA8" s="21">
        <x:f t="shared" si="3"/>
        <x:v>0.13756499999999999</x:v>
      </x:c>
      <x:c r="AB8" s="21">
        <x:f t="shared" si="4"/>
        <x:v>0.13756499999999999</x:v>
      </x:c>
      <x:c r="AC8" s="21"/>
      <x:c r="AD8" s="21"/>
      <x:c r="AE8" s="21">
        <x:f t="shared" si="5"/>
        <x:v>9.1710000000000014E-2</x:v>
      </x:c>
      <x:c r="AF8" s="21"/>
      <x:c r="AG8" s="19" t="s">
        <x:v>78</x:v>
      </x:c>
      <x:c r="AH8" t="s">
        <x:v>78</x:v>
      </x:c>
      <x:c r="AI8" t="s">
        <x:v>78</x:v>
      </x:c>
      <x:c r="AJ8" s="19"/>
      <x:c r="AK8" s="19" t="s">
        <x:v>78</x:v>
      </x:c>
      <x:c r="AL8" t="s">
        <x:v>78</x:v>
      </x:c>
      <x:c r="AM8" s="19" t="s">
        <x:v>78</x:v>
      </x:c>
      <x:c r="AN8" s="21"/>
      <x:c r="AO8" s="21"/>
      <x:c r="AP8" s="21"/>
      <x:c r="AQ8" s="21"/>
      <x:c r="AR8" s="21"/>
      <x:c r="AS8" s="21"/>
      <x:c r="AT8" s="21"/>
      <x:c r="AU8" s="21"/>
      <x:c r="AV8" s="21"/>
      <x:c r="AW8" t="s">
        <x:v>78</x:v>
      </x:c>
      <x:c r="AX8" s="19"/>
      <x:c r="AY8" s="21"/>
      <x:c r="AZ8" s="21"/>
      <x:c r="BA8" s="21"/>
      <x:c r="BB8" s="21"/>
      <x:c r="BC8" s="21"/>
      <x:c r="BD8" s="21"/>
      <x:c r="BE8" s="21"/>
      <x:c r="BF8" s="21"/>
      <x:c r="BG8" s="21"/>
      <x:c r="BH8" t="s">
        <x:v>82</x:v>
      </x:c>
      <x:c r="BI8" s="18">
        <x:v>113</x:v>
      </x:c>
      <x:c r="BJ8" s="18">
        <x:v>29</x:v>
      </x:c>
      <x:c r="BK8" s="18">
        <x:v>8.1</x:v>
      </x:c>
      <x:c r="BL8" s="18">
        <x:v>23</x:v>
      </x:c>
      <x:c r="BM8" s="18">
        <x:v>17</x:v>
      </x:c>
      <x:c r="BN8" s="18">
        <x:v>19.12</x:v>
      </x:c>
      <x:c r="BO8" s="22">
        <x:v>113.485583333333</x:v>
      </x:c>
      <x:c r="BP8" s="22">
        <x:v>23.288644444444401</x:v>
      </x:c>
      <x:c r="BQ8" s="18">
        <x:v>15</x:v>
      </x:c>
      <x:c r="BR8" s="18">
        <x:v>3809.59</x:v>
      </x:c>
      <x:c r="BS8" s="18">
        <x:v>0.32400000000000001</x:v>
      </x:c>
      <x:c r="BT8" s="18">
        <x:v>0.32400000000000001</x:v>
      </x:c>
      <x:c r="BU8" s="18">
        <x:v>7.75</x:v>
      </x:c>
      <x:c r="BV8" s="18">
        <x:v>7.75</x:v>
      </x:c>
      <x:c r="BW8" s="18">
        <x:v>0.47599999999999998</x:v>
      </x:c>
      <x:c r="BX8" s="18">
        <x:v>0.47599999999999998</x:v>
      </x:c>
      <x:c r="BY8" t="s">
        <x:v>78</x:v>
      </x:c>
      <x:c r="BZ8" t="s">
        <x:v>78</x:v>
      </x:c>
      <x:c r="CA8" s="23">
        <x:f t="shared" si="6"/>
        <x:v>1.8342000000000001</x:v>
      </x:c>
      <x:c r="CB8" s="23">
        <x:f t="shared" si="7"/>
        <x:v>6.1904250000000003</x:v>
      </x:c>
      <x:c r="CC8" s="23">
        <x:f t="shared" si="8"/>
        <x:v>5.9611499999999999</x:v>
      </x:c>
      <x:c r="CD8" s="23">
        <x:f t="shared" si="9"/>
        <x:v>0.13756499999999999</x:v>
      </x:c>
      <x:c r="CE8" s="23">
        <x:f t="shared" si="10"/>
        <x:v>0.13756499999999999</x:v>
      </x:c>
      <x:c r="CF8" s="23">
        <x:f t="shared" si="11"/>
        <x:v>0</x:v>
      </x:c>
      <x:c r="CG8" s="23">
        <x:f t="shared" si="12"/>
        <x:v>0</x:v>
      </x:c>
      <x:c r="CH8" s="23">
        <x:f t="shared" si="13"/>
        <x:v>9.1710000000000014E-2</x:v>
      </x:c>
      <x:c r="CI8" s="23">
        <x:f t="shared" si="14"/>
        <x:v>0</x:v>
      </x:c>
      <x:c r="CJ8" s="24" t="s">
        <x:v>78</x:v>
      </x:c>
      <x:c r="CK8" s="25">
        <x:v>0</x:v>
      </x:c>
      <x:c r="CL8" s="26" t="s">
        <x:v>78</x:v>
      </x:c>
      <x:c r="CM8" s="26">
        <x:v>42</x:v>
      </x:c>
      <x:c r="CN8" s="27" t="s">
        <x:v>78</x:v>
      </x:c>
      <x:c r="CO8" s="27">
        <x:v>0</x:v>
      </x:c>
      <x:c r="CP8" s="27">
        <x:v>0</x:v>
      </x:c>
      <x:c r="CQ8" s="26">
        <x:f t="shared" si="15"/>
        <x:v>1.8342000000000001</x:v>
      </x:c>
      <x:c r="CR8" s="26">
        <x:f t="shared" si="16"/>
        <x:v>3.5904465000000005</x:v>
      </x:c>
      <x:c r="CS8" s="26">
        <x:f t="shared" si="22"/>
        <x:v>5.9611499999999999</x:v>
      </x:c>
      <x:c r="CT8" s="26">
        <x:f t="shared" si="17"/>
        <x:v>0.13756499999999999</x:v>
      </x:c>
      <x:c r="CU8" s="26">
        <x:f t="shared" si="18"/>
        <x:v>0.13756499999999999</x:v>
      </x:c>
      <x:c r="CV8" s="26">
        <x:f t="shared" si="19"/>
        <x:v>0</x:v>
      </x:c>
      <x:c r="CW8" s="26">
        <x:f t="shared" si="20"/>
        <x:v>0</x:v>
      </x:c>
      <x:c r="CX8" s="26">
        <x:f t="shared" si="23"/>
        <x:v>9.1710000000000014E-2</x:v>
      </x:c>
      <x:c r="CY8" s="26">
        <x:f t="shared" si="24"/>
        <x:v>0</x:v>
      </x:c>
    </x:row>
    <x:row r="9">
      <x:c r="A9" s="18">
        <x:v>2022</x:v>
      </x:c>
      <x:c r="B9" t="s">
        <x:v>84</x:v>
      </x:c>
      <x:c r="C9" t="s">
        <x:v>85</x:v>
      </x:c>
      <x:c r="D9" t="s">
        <x:v>86</x:v>
      </x:c>
      <x:c r="E9" s="18">
        <x:v>440111</x:v>
      </x:c>
      <x:c r="F9" t="s">
        <x:v>68</x:v>
      </x:c>
      <x:c r="G9" t="s">
        <x:v>69</x:v>
      </x:c>
      <x:c r="H9" s="18">
        <x:v>4417</x:v>
      </x:c>
      <x:c r="I9" t="s">
        <x:v>70</x:v>
      </x:c>
      <x:c r="J9" t="s">
        <x:v>87</x:v>
      </x:c>
      <x:c r="K9" t="s">
        <x:v>80</x:v>
      </x:c>
      <x:c r="L9" s="18">
        <x:v>0.10299999999999999</x:v>
      </x:c>
      <x:c r="M9" t="s">
        <x:v>78</x:v>
      </x:c>
      <x:c r="N9" s="18">
        <x:v>1.4710000000000001</x:v>
      </x:c>
      <x:c r="O9" t="s">
        <x:v>88</x:v>
      </x:c>
      <x:c r="P9" s="18">
        <x:v>11</x:v>
      </x:c>
      <x:c r="Q9" s="19" t="s">
        <x:v>75</x:v>
      </x:c>
      <x:c r="R9" s="18">
        <x:v>462.5</x:v>
      </x:c>
      <x:c r="S9" t="s">
        <x:v>76</x:v>
      </x:c>
      <x:c r="T9" s="19">
        <x:f t="shared" si="21"/>
        <x:v>462.5</x:v>
      </x:c>
      <x:c r="U9" s="20">
        <x:v>200</x:v>
      </x:c>
      <x:c r="V9" t="s">
        <x:v>77</x:v>
      </x:c>
      <x:c r="W9" s="19" t="s">
        <x:v>78</x:v>
      </x:c>
      <x:c r="X9" s="21">
        <x:f t="shared" si="0"/>
        <x:v>1.85</x:v>
      </x:c>
      <x:c r="Y9" s="21">
        <x:f t="shared" si="1"/>
        <x:v>6.2437500000000004</x:v>
      </x:c>
      <x:c r="Z9" s="21">
        <x:f t="shared" si="2"/>
        <x:v>6.0125000000000002</x:v>
      </x:c>
      <x:c r="AA9" s="21">
        <x:f t="shared" si="3"/>
        <x:v>0.13875000000000001</x:v>
      </x:c>
      <x:c r="AB9" s="21">
        <x:f t="shared" si="4"/>
        <x:v>0.13875000000000001</x:v>
      </x:c>
      <x:c r="AC9" s="21"/>
      <x:c r="AD9" s="21"/>
      <x:c r="AE9" s="21">
        <x:f t="shared" si="5"/>
        <x:v>9.2499999999999999E-2</x:v>
      </x:c>
      <x:c r="AF9" s="21"/>
      <x:c r="AG9" s="19" t="s">
        <x:v>78</x:v>
      </x:c>
      <x:c r="AH9" t="s">
        <x:v>78</x:v>
      </x:c>
      <x:c r="AI9" t="s">
        <x:v>78</x:v>
      </x:c>
      <x:c r="AJ9" s="19"/>
      <x:c r="AK9" s="19" t="s">
        <x:v>78</x:v>
      </x:c>
      <x:c r="AL9" t="s">
        <x:v>78</x:v>
      </x:c>
      <x:c r="AM9" s="19" t="s">
        <x:v>78</x:v>
      </x:c>
      <x:c r="AN9" s="21"/>
      <x:c r="AO9" s="21"/>
      <x:c r="AP9" s="21"/>
      <x:c r="AQ9" s="21"/>
      <x:c r="AR9" s="21"/>
      <x:c r="AS9" s="21"/>
      <x:c r="AT9" s="21"/>
      <x:c r="AU9" s="21"/>
      <x:c r="AV9" s="21"/>
      <x:c r="AW9" t="s">
        <x:v>78</x:v>
      </x:c>
      <x:c r="AX9" s="19"/>
      <x:c r="AY9" s="21"/>
      <x:c r="AZ9" s="21"/>
      <x:c r="BA9" s="21"/>
      <x:c r="BB9" s="21"/>
      <x:c r="BC9" s="21"/>
      <x:c r="BD9" s="21"/>
      <x:c r="BE9" s="21"/>
      <x:c r="BF9" s="21"/>
      <x:c r="BG9" s="21"/>
      <x:c r="BH9" t="s">
        <x:v>83</x:v>
      </x:c>
      <x:c r="BI9" s="18">
        <x:v>113</x:v>
      </x:c>
      <x:c r="BJ9" s="18">
        <x:v>29</x:v>
      </x:c>
      <x:c r="BK9" s="18">
        <x:v>8.1300000000000008</x:v>
      </x:c>
      <x:c r="BL9" s="18">
        <x:v>23</x:v>
      </x:c>
      <x:c r="BM9" s="18">
        <x:v>17</x:v>
      </x:c>
      <x:c r="BN9" s="18">
        <x:v>19.190000000000001</x:v>
      </x:c>
      <x:c r="BO9" s="22">
        <x:v>113.48559166666701</x:v>
      </x:c>
      <x:c r="BP9" s="22">
        <x:v>23.288663888888902</x:v>
      </x:c>
      <x:c r="BQ9" s="18">
        <x:v>15</x:v>
      </x:c>
      <x:c r="BR9" s="18">
        <x:v>3615.09</x:v>
      </x:c>
      <x:c r="BS9" s="18">
        <x:v>0.32700000000000001</x:v>
      </x:c>
      <x:c r="BT9" s="18">
        <x:v>0.32700000000000001</x:v>
      </x:c>
      <x:c r="BU9" s="18">
        <x:v>7.8159999999999998</x:v>
      </x:c>
      <x:c r="BV9" s="18">
        <x:v>7.8159999999999998</x:v>
      </x:c>
      <x:c r="BW9" s="18">
        <x:v>0.48099999999999998</x:v>
      </x:c>
      <x:c r="BX9" s="18">
        <x:v>0.48099999999999998</x:v>
      </x:c>
      <x:c r="BY9" t="s">
        <x:v>78</x:v>
      </x:c>
      <x:c r="BZ9" t="s">
        <x:v>78</x:v>
      </x:c>
      <x:c r="CA9" s="23">
        <x:f t="shared" si="6"/>
        <x:v>1.85</x:v>
      </x:c>
      <x:c r="CB9" s="23">
        <x:f t="shared" si="7"/>
        <x:v>6.2437500000000004</x:v>
      </x:c>
      <x:c r="CC9" s="23">
        <x:f t="shared" si="8"/>
        <x:v>6.0125000000000002</x:v>
      </x:c>
      <x:c r="CD9" s="23">
        <x:f t="shared" si="9"/>
        <x:v>0.13875000000000001</x:v>
      </x:c>
      <x:c r="CE9" s="23">
        <x:f t="shared" si="10"/>
        <x:v>0.13875000000000001</x:v>
      </x:c>
      <x:c r="CF9" s="23">
        <x:f t="shared" si="11"/>
        <x:v>0</x:v>
      </x:c>
      <x:c r="CG9" s="23">
        <x:f t="shared" si="12"/>
        <x:v>0</x:v>
      </x:c>
      <x:c r="CH9" s="23">
        <x:f t="shared" si="13"/>
        <x:v>9.2499999999999999E-2</x:v>
      </x:c>
      <x:c r="CI9" s="23">
        <x:f t="shared" si="14"/>
        <x:v>0</x:v>
      </x:c>
      <x:c r="CJ9" s="24" t="s">
        <x:v>78</x:v>
      </x:c>
      <x:c r="CK9" s="25">
        <x:v>0</x:v>
      </x:c>
      <x:c r="CL9" s="26" t="s">
        <x:v>78</x:v>
      </x:c>
      <x:c r="CM9" s="26">
        <x:v>42</x:v>
      </x:c>
      <x:c r="CN9" s="27" t="s">
        <x:v>78</x:v>
      </x:c>
      <x:c r="CO9" s="27">
        <x:v>0</x:v>
      </x:c>
      <x:c r="CP9" s="27">
        <x:v>0</x:v>
      </x:c>
      <x:c r="CQ9" s="26">
        <x:f t="shared" si="15"/>
        <x:v>1.85</x:v>
      </x:c>
      <x:c r="CR9" s="26">
        <x:f t="shared" si="16"/>
        <x:v>3.6213750000000005</x:v>
      </x:c>
      <x:c r="CS9" s="26">
        <x:f t="shared" si="22"/>
        <x:v>6.0125000000000002</x:v>
      </x:c>
      <x:c r="CT9" s="26">
        <x:f t="shared" si="17"/>
        <x:v>0.13875000000000001</x:v>
      </x:c>
      <x:c r="CU9" s="26">
        <x:f t="shared" si="18"/>
        <x:v>0.13875000000000001</x:v>
      </x:c>
      <x:c r="CV9" s="26">
        <x:f t="shared" si="19"/>
        <x:v>0</x:v>
      </x:c>
      <x:c r="CW9" s="26">
        <x:f t="shared" si="20"/>
        <x:v>0</x:v>
      </x:c>
      <x:c r="CX9" s="26">
        <x:f t="shared" si="23"/>
        <x:v>9.2499999999999999E-2</x:v>
      </x:c>
      <x:c r="CY9" s="26">
        <x:f t="shared" si="24"/>
        <x:v>0</x:v>
      </x:c>
    </x:row>
    <x:row r="10">
      <x:c r="A10" s="18">
        <x:v>2022</x:v>
      </x:c>
      <x:c r="B10" t="s">
        <x:v>84</x:v>
      </x:c>
      <x:c r="C10" t="s">
        <x:v>85</x:v>
      </x:c>
      <x:c r="D10" t="s">
        <x:v>86</x:v>
      </x:c>
      <x:c r="E10" s="18">
        <x:v>440111</x:v>
      </x:c>
      <x:c r="F10" t="s">
        <x:v>68</x:v>
      </x:c>
      <x:c r="G10" t="s">
        <x:v>69</x:v>
      </x:c>
      <x:c r="H10" s="18">
        <x:v>4417</x:v>
      </x:c>
      <x:c r="I10" t="s">
        <x:v>70</x:v>
      </x:c>
      <x:c r="J10" t="s">
        <x:v>87</x:v>
      </x:c>
      <x:c r="K10" t="s">
        <x:v>80</x:v>
      </x:c>
      <x:c r="L10" s="18">
        <x:v>0.106</x:v>
      </x:c>
      <x:c r="M10" t="s">
        <x:v>78</x:v>
      </x:c>
      <x:c r="N10" s="18">
        <x:v>1.514</x:v>
      </x:c>
      <x:c r="O10" t="s">
        <x:v>88</x:v>
      </x:c>
      <x:c r="P10" s="18">
        <x:v>11</x:v>
      </x:c>
      <x:c r="Q10" s="19" t="s">
        <x:v>75</x:v>
      </x:c>
      <x:c r="R10" s="18">
        <x:v>424.54</x:v>
      </x:c>
      <x:c r="S10" t="s">
        <x:v>76</x:v>
      </x:c>
      <x:c r="T10" s="19">
        <x:f t="shared" si="21"/>
        <x:v>424.54</x:v>
      </x:c>
      <x:c r="U10" s="20">
        <x:v>200</x:v>
      </x:c>
      <x:c r="V10" t="s">
        <x:v>77</x:v>
      </x:c>
      <x:c r="W10" s="19" t="s">
        <x:v>78</x:v>
      </x:c>
      <x:c r="X10" s="21">
        <x:f t="shared" si="0"/>
        <x:v>1.6981599999999999</x:v>
      </x:c>
      <x:c r="Y10" s="21">
        <x:f t="shared" si="1"/>
        <x:v>5.7312900000000004</x:v>
      </x:c>
      <x:c r="Z10" s="21">
        <x:f t="shared" si="2"/>
        <x:v>5.5190200000000003</x:v>
      </x:c>
      <x:c r="AA10" s="21">
        <x:f t="shared" si="3"/>
        <x:v>0.127362</x:v>
      </x:c>
      <x:c r="AB10" s="21">
        <x:f t="shared" si="4"/>
        <x:v>0.127362</x:v>
      </x:c>
      <x:c r="AC10" s="21"/>
      <x:c r="AD10" s="21"/>
      <x:c r="AE10" s="21">
        <x:f t="shared" si="5"/>
        <x:v>8.4907999999999997E-2</x:v>
      </x:c>
      <x:c r="AF10" s="21"/>
      <x:c r="AG10" s="19" t="s">
        <x:v>78</x:v>
      </x:c>
      <x:c r="AH10" t="s">
        <x:v>78</x:v>
      </x:c>
      <x:c r="AI10" t="s">
        <x:v>78</x:v>
      </x:c>
      <x:c r="AJ10" s="19"/>
      <x:c r="AK10" s="19" t="s">
        <x:v>78</x:v>
      </x:c>
      <x:c r="AL10" t="s">
        <x:v>78</x:v>
      </x:c>
      <x:c r="AM10" s="19" t="s">
        <x:v>78</x:v>
      </x:c>
      <x:c r="AN10" s="21"/>
      <x:c r="AO10" s="21"/>
      <x:c r="AP10" s="21"/>
      <x:c r="AQ10" s="21"/>
      <x:c r="AR10" s="21"/>
      <x:c r="AS10" s="21"/>
      <x:c r="AT10" s="21"/>
      <x:c r="AU10" s="21"/>
      <x:c r="AV10" s="21"/>
      <x:c r="AW10" t="s">
        <x:v>78</x:v>
      </x:c>
      <x:c r="AX10" s="19"/>
      <x:c r="AY10" s="21"/>
      <x:c r="AZ10" s="21"/>
      <x:c r="BA10" s="21"/>
      <x:c r="BB10" s="21"/>
      <x:c r="BC10" s="21"/>
      <x:c r="BD10" s="21"/>
      <x:c r="BE10" s="21"/>
      <x:c r="BF10" s="21"/>
      <x:c r="BG10" s="21"/>
      <x:c r="BH10" t="s">
        <x:v>89</x:v>
      </x:c>
      <x:c r="BI10" s="18">
        <x:v>113</x:v>
      </x:c>
      <x:c r="BJ10" s="18">
        <x:v>29</x:v>
      </x:c>
      <x:c r="BK10" s="18">
        <x:v>8.15</x:v>
      </x:c>
      <x:c r="BL10" s="18">
        <x:v>23</x:v>
      </x:c>
      <x:c r="BM10" s="18">
        <x:v>17</x:v>
      </x:c>
      <x:c r="BN10" s="18">
        <x:v>19.21</x:v>
      </x:c>
      <x:c r="BO10" s="22">
        <x:v>113.485597222222</x:v>
      </x:c>
      <x:c r="BP10" s="22">
        <x:v>23.288669444444398</x:v>
      </x:c>
      <x:c r="BQ10" s="18">
        <x:v>15</x:v>
      </x:c>
      <x:c r="BR10" s="18">
        <x:v>2999.35</x:v>
      </x:c>
      <x:c r="BS10" s="18">
        <x:v>0.3</x:v>
      </x:c>
      <x:c r="BT10" s="18">
        <x:v>0.3</x:v>
      </x:c>
      <x:c r="BU10" s="18">
        <x:v>7.1749999999999998</x:v>
      </x:c>
      <x:c r="BV10" s="18">
        <x:v>7.1749999999999998</x:v>
      </x:c>
      <x:c r="BW10" s="18">
        <x:v>0.441</x:v>
      </x:c>
      <x:c r="BX10" s="18">
        <x:v>0.441</x:v>
      </x:c>
      <x:c r="BY10" t="s">
        <x:v>78</x:v>
      </x:c>
      <x:c r="BZ10" t="s">
        <x:v>78</x:v>
      </x:c>
      <x:c r="CA10" s="23">
        <x:f t="shared" si="6"/>
        <x:v>1.6981599999999999</x:v>
      </x:c>
      <x:c r="CB10" s="23">
        <x:f t="shared" si="7"/>
        <x:v>5.7312900000000004</x:v>
      </x:c>
      <x:c r="CC10" s="23">
        <x:f t="shared" si="8"/>
        <x:v>5.5190200000000003</x:v>
      </x:c>
      <x:c r="CD10" s="23">
        <x:f t="shared" si="9"/>
        <x:v>0.127362</x:v>
      </x:c>
      <x:c r="CE10" s="23">
        <x:f t="shared" si="10"/>
        <x:v>0.127362</x:v>
      </x:c>
      <x:c r="CF10" s="23">
        <x:f t="shared" si="11"/>
        <x:v>0</x:v>
      </x:c>
      <x:c r="CG10" s="23">
        <x:f t="shared" si="12"/>
        <x:v>0</x:v>
      </x:c>
      <x:c r="CH10" s="23">
        <x:f t="shared" si="13"/>
        <x:v>8.4907999999999997E-2</x:v>
      </x:c>
      <x:c r="CI10" s="23">
        <x:f t="shared" si="14"/>
        <x:v>0</x:v>
      </x:c>
      <x:c r="CJ10" s="24" t="s">
        <x:v>78</x:v>
      </x:c>
      <x:c r="CK10" s="25">
        <x:v>0</x:v>
      </x:c>
      <x:c r="CL10" s="26" t="s">
        <x:v>78</x:v>
      </x:c>
      <x:c r="CM10" s="26">
        <x:v>42</x:v>
      </x:c>
      <x:c r="CN10" s="27" t="s">
        <x:v>78</x:v>
      </x:c>
      <x:c r="CO10" s="27">
        <x:v>0</x:v>
      </x:c>
      <x:c r="CP10" s="27">
        <x:v>0</x:v>
      </x:c>
      <x:c r="CQ10" s="26">
        <x:f t="shared" si="15"/>
        <x:v>1.6981599999999999</x:v>
      </x:c>
      <x:c r="CR10" s="26">
        <x:f t="shared" si="16"/>
        <x:v>3.3241482000000007</x:v>
      </x:c>
      <x:c r="CS10" s="26">
        <x:f t="shared" si="22"/>
        <x:v>5.5190200000000003</x:v>
      </x:c>
      <x:c r="CT10" s="26">
        <x:f t="shared" si="17"/>
        <x:v>0.127362</x:v>
      </x:c>
      <x:c r="CU10" s="26">
        <x:f t="shared" si="18"/>
        <x:v>0.127362</x:v>
      </x:c>
      <x:c r="CV10" s="26">
        <x:f t="shared" si="19"/>
        <x:v>0</x:v>
      </x:c>
      <x:c r="CW10" s="26">
        <x:f t="shared" si="20"/>
        <x:v>0</x:v>
      </x:c>
      <x:c r="CX10" s="26">
        <x:f t="shared" si="23"/>
        <x:v>8.4907999999999997E-2</x:v>
      </x:c>
      <x:c r="CY10" s="26">
        <x:f t="shared" si="24"/>
        <x:v>0</x:v>
      </x:c>
    </x:row>
    <x:row r="11">
      <x:c r="A11" s="18">
        <x:v>2022</x:v>
      </x:c>
      <x:c r="B11" t="s">
        <x:v>84</x:v>
      </x:c>
      <x:c r="C11" t="s">
        <x:v>85</x:v>
      </x:c>
      <x:c r="D11" t="s">
        <x:v>86</x:v>
      </x:c>
      <x:c r="E11" s="18">
        <x:v>440111</x:v>
      </x:c>
      <x:c r="F11" t="s">
        <x:v>68</x:v>
      </x:c>
      <x:c r="G11" t="s">
        <x:v>69</x:v>
      </x:c>
      <x:c r="H11" s="18">
        <x:v>4417</x:v>
      </x:c>
      <x:c r="I11" t="s">
        <x:v>70</x:v>
      </x:c>
      <x:c r="J11" t="s">
        <x:v>87</x:v>
      </x:c>
      <x:c r="K11" t="s">
        <x:v>80</x:v>
      </x:c>
      <x:c r="L11" s="18">
        <x:v>0.106</x:v>
      </x:c>
      <x:c r="M11" t="s">
        <x:v>78</x:v>
      </x:c>
      <x:c r="N11" s="18">
        <x:v>1.514</x:v>
      </x:c>
      <x:c r="O11" t="s">
        <x:v>88</x:v>
      </x:c>
      <x:c r="P11" s="18">
        <x:v>11</x:v>
      </x:c>
      <x:c r="Q11" s="19" t="s">
        <x:v>75</x:v>
      </x:c>
      <x:c r="R11" s="18">
        <x:v>452.27</x:v>
      </x:c>
      <x:c r="S11" t="s">
        <x:v>76</x:v>
      </x:c>
      <x:c r="T11" s="19">
        <x:f t="shared" si="21"/>
        <x:v>452.27</x:v>
      </x:c>
      <x:c r="U11" s="20">
        <x:v>200</x:v>
      </x:c>
      <x:c r="V11" t="s">
        <x:v>77</x:v>
      </x:c>
      <x:c r="W11" s="19" t="s">
        <x:v>78</x:v>
      </x:c>
      <x:c r="X11" s="21">
        <x:f t="shared" si="0"/>
        <x:v>1.80908</x:v>
      </x:c>
      <x:c r="Y11" s="21">
        <x:f t="shared" si="1"/>
        <x:v>6.1056450000000009</x:v>
      </x:c>
      <x:c r="Z11" s="21">
        <x:f t="shared" si="2"/>
        <x:v>5.8795099999999998</x:v>
      </x:c>
      <x:c r="AA11" s="21">
        <x:f t="shared" si="3"/>
        <x:v>0.135681</x:v>
      </x:c>
      <x:c r="AB11" s="21">
        <x:f t="shared" si="4"/>
        <x:v>0.135681</x:v>
      </x:c>
      <x:c r="AC11" s="21"/>
      <x:c r="AD11" s="21"/>
      <x:c r="AE11" s="21">
        <x:f t="shared" si="5"/>
        <x:v>9.0453999999999979E-2</x:v>
      </x:c>
      <x:c r="AF11" s="21"/>
      <x:c r="AG11" s="19" t="s">
        <x:v>78</x:v>
      </x:c>
      <x:c r="AH11" t="s">
        <x:v>78</x:v>
      </x:c>
      <x:c r="AI11" t="s">
        <x:v>78</x:v>
      </x:c>
      <x:c r="AJ11" s="19"/>
      <x:c r="AK11" s="19" t="s">
        <x:v>78</x:v>
      </x:c>
      <x:c r="AL11" t="s">
        <x:v>78</x:v>
      </x:c>
      <x:c r="AM11" s="19" t="s">
        <x:v>78</x:v>
      </x:c>
      <x:c r="AN11" s="21"/>
      <x:c r="AO11" s="21"/>
      <x:c r="AP11" s="21"/>
      <x:c r="AQ11" s="21"/>
      <x:c r="AR11" s="21"/>
      <x:c r="AS11" s="21"/>
      <x:c r="AT11" s="21"/>
      <x:c r="AU11" s="21"/>
      <x:c r="AV11" s="21"/>
      <x:c r="AW11" t="s">
        <x:v>78</x:v>
      </x:c>
      <x:c r="AX11" s="19"/>
      <x:c r="AY11" s="21"/>
      <x:c r="AZ11" s="21"/>
      <x:c r="BA11" s="21"/>
      <x:c r="BB11" s="21"/>
      <x:c r="BC11" s="21"/>
      <x:c r="BD11" s="21"/>
      <x:c r="BE11" s="21"/>
      <x:c r="BF11" s="21"/>
      <x:c r="BG11" s="21"/>
      <x:c r="BH11" t="s">
        <x:v>90</x:v>
      </x:c>
      <x:c r="BI11" s="18">
        <x:v>113</x:v>
      </x:c>
      <x:c r="BJ11" s="18">
        <x:v>29</x:v>
      </x:c>
      <x:c r="BK11" s="18">
        <x:v>8.27</x:v>
      </x:c>
      <x:c r="BL11" s="18">
        <x:v>23</x:v>
      </x:c>
      <x:c r="BM11" s="18">
        <x:v>17</x:v>
      </x:c>
      <x:c r="BN11" s="18">
        <x:v>19.25</x:v>
      </x:c>
      <x:c r="BO11" s="22">
        <x:v>113.485630555556</x:v>
      </x:c>
      <x:c r="BP11" s="22">
        <x:v>23.288680555555601</x:v>
      </x:c>
      <x:c r="BQ11" s="18">
        <x:v>15</x:v>
      </x:c>
      <x:c r="BR11" s="18">
        <x:v>4042.22</x:v>
      </x:c>
      <x:c r="BS11" s="18">
        <x:v>0.32</x:v>
      </x:c>
      <x:c r="BT11" s="18">
        <x:v>0.32</x:v>
      </x:c>
      <x:c r="BU11" s="18">
        <x:v>7.6429999999999998</x:v>
      </x:c>
      <x:c r="BV11" s="18">
        <x:v>7.6429999999999998</x:v>
      </x:c>
      <x:c r="BW11" s="18">
        <x:v>0.47</x:v>
      </x:c>
      <x:c r="BX11" s="18">
        <x:v>0.47</x:v>
      </x:c>
      <x:c r="BY11" t="s">
        <x:v>78</x:v>
      </x:c>
      <x:c r="BZ11" t="s">
        <x:v>78</x:v>
      </x:c>
      <x:c r="CA11" s="23">
        <x:f t="shared" si="6"/>
        <x:v>1.80908</x:v>
      </x:c>
      <x:c r="CB11" s="23">
        <x:f t="shared" si="7"/>
        <x:v>6.1056450000000009</x:v>
      </x:c>
      <x:c r="CC11" s="23">
        <x:f t="shared" si="8"/>
        <x:v>5.8795099999999998</x:v>
      </x:c>
      <x:c r="CD11" s="23">
        <x:f t="shared" si="9"/>
        <x:v>0.135681</x:v>
      </x:c>
      <x:c r="CE11" s="23">
        <x:f t="shared" si="10"/>
        <x:v>0.135681</x:v>
      </x:c>
      <x:c r="CF11" s="23">
        <x:f t="shared" si="11"/>
        <x:v>0</x:v>
      </x:c>
      <x:c r="CG11" s="23">
        <x:f t="shared" si="12"/>
        <x:v>0</x:v>
      </x:c>
      <x:c r="CH11" s="23">
        <x:f t="shared" si="13"/>
        <x:v>9.0453999999999979E-2</x:v>
      </x:c>
      <x:c r="CI11" s="23">
        <x:f t="shared" si="14"/>
        <x:v>0</x:v>
      </x:c>
      <x:c r="CJ11" s="24" t="s">
        <x:v>78</x:v>
      </x:c>
      <x:c r="CK11" s="25">
        <x:v>0</x:v>
      </x:c>
      <x:c r="CL11" s="26" t="s">
        <x:v>78</x:v>
      </x:c>
      <x:c r="CM11" s="26">
        <x:v>42</x:v>
      </x:c>
      <x:c r="CN11" s="27" t="s">
        <x:v>78</x:v>
      </x:c>
      <x:c r="CO11" s="27">
        <x:v>0</x:v>
      </x:c>
      <x:c r="CP11" s="27">
        <x:v>0</x:v>
      </x:c>
      <x:c r="CQ11" s="26">
        <x:f t="shared" si="15"/>
        <x:v>1.80908</x:v>
      </x:c>
      <x:c r="CR11" s="26">
        <x:f t="shared" si="16"/>
        <x:v>3.5412741000000008</x:v>
      </x:c>
      <x:c r="CS11" s="26">
        <x:f t="shared" si="22"/>
        <x:v>5.8795099999999998</x:v>
      </x:c>
      <x:c r="CT11" s="26">
        <x:f t="shared" si="17"/>
        <x:v>0.135681</x:v>
      </x:c>
      <x:c r="CU11" s="26">
        <x:f t="shared" si="18"/>
        <x:v>0.135681</x:v>
      </x:c>
      <x:c r="CV11" s="26">
        <x:f t="shared" si="19"/>
        <x:v>0</x:v>
      </x:c>
      <x:c r="CW11" s="26">
        <x:f t="shared" si="20"/>
        <x:v>0</x:v>
      </x:c>
      <x:c r="CX11" s="26">
        <x:f t="shared" si="23"/>
        <x:v>9.0453999999999979E-2</x:v>
      </x:c>
      <x:c r="CY11" s="26">
        <x:f t="shared" si="24"/>
        <x:v>0</x:v>
      </x:c>
    </x:row>
    <x:row r="12">
      <x:c r="A12" s="18">
        <x:v>2022</x:v>
      </x:c>
      <x:c r="B12" t="s">
        <x:v>84</x:v>
      </x:c>
      <x:c r="C12" t="s">
        <x:v>85</x:v>
      </x:c>
      <x:c r="D12" t="s">
        <x:v>86</x:v>
      </x:c>
      <x:c r="E12" s="18">
        <x:v>440111</x:v>
      </x:c>
      <x:c r="F12" t="s">
        <x:v>68</x:v>
      </x:c>
      <x:c r="G12" t="s">
        <x:v>69</x:v>
      </x:c>
      <x:c r="H12" s="18">
        <x:v>4417</x:v>
      </x:c>
      <x:c r="I12" t="s">
        <x:v>70</x:v>
      </x:c>
      <x:c r="J12" t="s">
        <x:v>87</x:v>
      </x:c>
      <x:c r="K12" t="s">
        <x:v>80</x:v>
      </x:c>
      <x:c r="L12" s="18">
        <x:v>0.106</x:v>
      </x:c>
      <x:c r="M12" t="s">
        <x:v>78</x:v>
      </x:c>
      <x:c r="N12" s="18">
        <x:v>1.514</x:v>
      </x:c>
      <x:c r="O12" t="s">
        <x:v>74</x:v>
      </x:c>
      <x:c r="P12" s="18">
        <x:v>11</x:v>
      </x:c>
      <x:c r="Q12" s="19" t="s">
        <x:v>75</x:v>
      </x:c>
      <x:c r="R12" s="18">
        <x:v>451.68</x:v>
      </x:c>
      <x:c r="S12" t="s">
        <x:v>76</x:v>
      </x:c>
      <x:c r="T12" s="19">
        <x:f t="shared" si="21"/>
        <x:v>451.68</x:v>
      </x:c>
      <x:c r="U12" s="20">
        <x:v>200</x:v>
      </x:c>
      <x:c r="V12" t="s">
        <x:v>77</x:v>
      </x:c>
      <x:c r="W12" s="19" t="s">
        <x:v>78</x:v>
      </x:c>
      <x:c r="X12" s="21">
        <x:f t="shared" si="0"/>
        <x:v>1.8067200000000001</x:v>
      </x:c>
      <x:c r="Y12" s="21">
        <x:f t="shared" si="1"/>
        <x:v>6.0976800000000004</x:v>
      </x:c>
      <x:c r="Z12" s="21">
        <x:f t="shared" si="2"/>
        <x:v>5.8718400000000006</x:v>
      </x:c>
      <x:c r="AA12" s="21">
        <x:f t="shared" si="3"/>
        <x:v>0.13550400000000001</x:v>
      </x:c>
      <x:c r="AB12" s="21">
        <x:f t="shared" si="4"/>
        <x:v>0.13550400000000001</x:v>
      </x:c>
      <x:c r="AC12" s="21"/>
      <x:c r="AD12" s="21"/>
      <x:c r="AE12" s="21">
        <x:f t="shared" si="5"/>
        <x:v>9.0336E-2</x:v>
      </x:c>
      <x:c r="AF12" s="21"/>
      <x:c r="AG12" s="19" t="s">
        <x:v>78</x:v>
      </x:c>
      <x:c r="AH12" t="s">
        <x:v>78</x:v>
      </x:c>
      <x:c r="AI12" t="s">
        <x:v>78</x:v>
      </x:c>
      <x:c r="AJ12" s="19"/>
      <x:c r="AK12" s="19" t="s">
        <x:v>78</x:v>
      </x:c>
      <x:c r="AL12" t="s">
        <x:v>78</x:v>
      </x:c>
      <x:c r="AM12" s="19" t="s">
        <x:v>78</x:v>
      </x:c>
      <x:c r="AN12" s="21"/>
      <x:c r="AO12" s="21"/>
      <x:c r="AP12" s="21"/>
      <x:c r="AQ12" s="21"/>
      <x:c r="AR12" s="21"/>
      <x:c r="AS12" s="21"/>
      <x:c r="AT12" s="21"/>
      <x:c r="AU12" s="21"/>
      <x:c r="AV12" s="21"/>
      <x:c r="AW12" t="s">
        <x:v>78</x:v>
      </x:c>
      <x:c r="AX12" s="19"/>
      <x:c r="AY12" s="21"/>
      <x:c r="AZ12" s="21"/>
      <x:c r="BA12" s="21"/>
      <x:c r="BB12" s="21"/>
      <x:c r="BC12" s="21"/>
      <x:c r="BD12" s="21"/>
      <x:c r="BE12" s="21"/>
      <x:c r="BF12" s="21"/>
      <x:c r="BG12" s="21"/>
      <x:c r="BH12" t="s">
        <x:v>91</x:v>
      </x:c>
      <x:c r="BI12" s="18">
        <x:v>113</x:v>
      </x:c>
      <x:c r="BJ12" s="18">
        <x:v>29</x:v>
      </x:c>
      <x:c r="BK12" s="18">
        <x:v>8.35</x:v>
      </x:c>
      <x:c r="BL12" s="18">
        <x:v>23</x:v>
      </x:c>
      <x:c r="BM12" s="18">
        <x:v>17</x:v>
      </x:c>
      <x:c r="BN12" s="18">
        <x:v>19.3</x:v>
      </x:c>
      <x:c r="BO12" s="22">
        <x:v>113.485652777778</x:v>
      </x:c>
      <x:c r="BP12" s="22">
        <x:v>23.288694444444399</x:v>
      </x:c>
      <x:c r="BQ12" s="18">
        <x:v>15</x:v>
      </x:c>
      <x:c r="BR12" s="18">
        <x:v>5057.99</x:v>
      </x:c>
      <x:c r="BS12" s="18">
        <x:v>0.31900000000000001</x:v>
      </x:c>
      <x:c r="BT12" s="18">
        <x:v>0.31900000000000001</x:v>
      </x:c>
      <x:c r="BU12" s="18">
        <x:v>7.633</x:v>
      </x:c>
      <x:c r="BV12" s="18">
        <x:v>7.633</x:v>
      </x:c>
      <x:c r="BW12" s="18">
        <x:v>0.46899999999999997</x:v>
      </x:c>
      <x:c r="BX12" s="18">
        <x:v>0.46899999999999997</x:v>
      </x:c>
      <x:c r="BY12" t="s">
        <x:v>78</x:v>
      </x:c>
      <x:c r="BZ12" t="s">
        <x:v>78</x:v>
      </x:c>
      <x:c r="CA12" s="23">
        <x:f t="shared" si="6"/>
        <x:v>1.8067200000000001</x:v>
      </x:c>
      <x:c r="CB12" s="23">
        <x:f t="shared" si="7"/>
        <x:v>6.0976800000000004</x:v>
      </x:c>
      <x:c r="CC12" s="23">
        <x:f t="shared" si="8"/>
        <x:v>5.8718400000000006</x:v>
      </x:c>
      <x:c r="CD12" s="23">
        <x:f t="shared" si="9"/>
        <x:v>0.13550400000000001</x:v>
      </x:c>
      <x:c r="CE12" s="23">
        <x:f t="shared" si="10"/>
        <x:v>0.13550400000000001</x:v>
      </x:c>
      <x:c r="CF12" s="23">
        <x:f t="shared" si="11"/>
        <x:v>0</x:v>
      </x:c>
      <x:c r="CG12" s="23">
        <x:f t="shared" si="12"/>
        <x:v>0</x:v>
      </x:c>
      <x:c r="CH12" s="23">
        <x:f t="shared" si="13"/>
        <x:v>9.0336E-2</x:v>
      </x:c>
      <x:c r="CI12" s="23">
        <x:f t="shared" si="14"/>
        <x:v>0</x:v>
      </x:c>
      <x:c r="CJ12" s="24" t="s">
        <x:v>78</x:v>
      </x:c>
      <x:c r="CK12" s="25">
        <x:v>0</x:v>
      </x:c>
      <x:c r="CL12" s="26" t="s">
        <x:v>78</x:v>
      </x:c>
      <x:c r="CM12" s="26" t="n">
        <x:f>(1-BV12/BU12)*100</x:f>
        <x:v>0</x:v>
      </x:c>
      <x:c r="CN12" s="27" t="s">
        <x:v>78</x:v>
      </x:c>
      <x:c r="CO12" s="27">
        <x:v>0</x:v>
      </x:c>
      <x:c r="CP12" s="27">
        <x:v>0</x:v>
      </x:c>
      <x:c r="CQ12" s="26">
        <x:f t="shared" si="15"/>
        <x:v>1.8067200000000001</x:v>
      </x:c>
      <x:c r="CR12" s="26">
        <x:f t="shared" si="16"/>
        <x:v>6.0976800000000004</x:v>
      </x:c>
      <x:c r="CS12" s="26">
        <x:f t="shared" si="22"/>
        <x:v>5.8718400000000006</x:v>
      </x:c>
      <x:c r="CT12" s="26">
        <x:f t="shared" si="17"/>
        <x:v>0.13550400000000001</x:v>
      </x:c>
      <x:c r="CU12" s="26">
        <x:f t="shared" si="18"/>
        <x:v>0.13550400000000001</x:v>
      </x:c>
      <x:c r="CV12" s="26">
        <x:f t="shared" si="19"/>
        <x:v>0</x:v>
      </x:c>
      <x:c r="CW12" s="26">
        <x:f t="shared" si="20"/>
        <x:v>0</x:v>
      </x:c>
      <x:c r="CX12" s="26">
        <x:f t="shared" si="23"/>
        <x:v>9.0336E-2</x:v>
      </x:c>
      <x:c r="CY12" s="26">
        <x:f t="shared" si="24"/>
        <x:v>0</x:v>
      </x:c>
    </x:row>
    <x:row r="13">
      <x:c r="A13" s="18">
        <x:v>2022</x:v>
      </x:c>
      <x:c r="B13" t="s">
        <x:v>84</x:v>
      </x:c>
      <x:c r="C13" t="s">
        <x:v>85</x:v>
      </x:c>
      <x:c r="D13" t="s">
        <x:v>86</x:v>
      </x:c>
      <x:c r="E13" s="18">
        <x:v>440111</x:v>
      </x:c>
      <x:c r="F13" t="s">
        <x:v>68</x:v>
      </x:c>
      <x:c r="G13" t="s">
        <x:v>69</x:v>
      </x:c>
      <x:c r="H13" s="18">
        <x:v>4417</x:v>
      </x:c>
      <x:c r="I13" t="s">
        <x:v>70</x:v>
      </x:c>
      <x:c r="J13" t="s">
        <x:v>87</x:v>
      </x:c>
      <x:c r="K13" t="s">
        <x:v>80</x:v>
      </x:c>
      <x:c r="L13" s="18">
        <x:v>0.19700000000000001</x:v>
      </x:c>
      <x:c r="M13" t="s">
        <x:v>78</x:v>
      </x:c>
      <x:c r="N13" s="18">
        <x:v>2.8140000000000001</x:v>
      </x:c>
      <x:c r="O13" t="s">
        <x:v>88</x:v>
      </x:c>
      <x:c r="P13" s="18">
        <x:v>11</x:v>
      </x:c>
      <x:c r="Q13" s="19" t="s">
        <x:v>75</x:v>
      </x:c>
      <x:c r="R13" s="18">
        <x:v>672.46</x:v>
      </x:c>
      <x:c r="S13" t="s">
        <x:v>76</x:v>
      </x:c>
      <x:c r="T13" s="19">
        <x:f t="shared" si="21"/>
        <x:v>672.46</x:v>
      </x:c>
      <x:c r="U13" s="20">
        <x:v>200</x:v>
      </x:c>
      <x:c r="V13" t="s">
        <x:v>77</x:v>
      </x:c>
      <x:c r="W13" s="19" t="s">
        <x:v>78</x:v>
      </x:c>
      <x:c r="X13" s="21">
        <x:f t="shared" si="0"/>
        <x:v>2.6898399999999998</x:v>
      </x:c>
      <x:c r="Y13" s="21">
        <x:f t="shared" si="1"/>
        <x:v>9.0782100000000021</x:v>
      </x:c>
      <x:c r="Z13" s="21">
        <x:f t="shared" si="2"/>
        <x:v>8.7419799999999999</x:v>
      </x:c>
      <x:c r="AA13" s="21">
        <x:f t="shared" si="3"/>
        <x:v>0.201738</x:v>
      </x:c>
      <x:c r="AB13" s="21">
        <x:f t="shared" si="4"/>
        <x:v>0.201738</x:v>
      </x:c>
      <x:c r="AC13" s="21"/>
      <x:c r="AD13" s="21"/>
      <x:c r="AE13" s="21">
        <x:f t="shared" si="5"/>
        <x:v>0.134492</x:v>
      </x:c>
      <x:c r="AF13" s="21"/>
      <x:c r="AG13" s="19" t="s">
        <x:v>78</x:v>
      </x:c>
      <x:c r="AH13" t="s">
        <x:v>78</x:v>
      </x:c>
      <x:c r="AI13" t="s">
        <x:v>78</x:v>
      </x:c>
      <x:c r="AJ13" s="19"/>
      <x:c r="AK13" s="19" t="s">
        <x:v>78</x:v>
      </x:c>
      <x:c r="AL13" t="s">
        <x:v>78</x:v>
      </x:c>
      <x:c r="AM13" s="19" t="s">
        <x:v>78</x:v>
      </x:c>
      <x:c r="AN13" s="21"/>
      <x:c r="AO13" s="21"/>
      <x:c r="AP13" s="21"/>
      <x:c r="AQ13" s="21"/>
      <x:c r="AR13" s="21"/>
      <x:c r="AS13" s="21"/>
      <x:c r="AT13" s="21"/>
      <x:c r="AU13" s="21"/>
      <x:c r="AV13" s="21"/>
      <x:c r="AW13" t="s">
        <x:v>78</x:v>
      </x:c>
      <x:c r="AX13" s="19"/>
      <x:c r="AY13" s="21"/>
      <x:c r="AZ13" s="21"/>
      <x:c r="BA13" s="21"/>
      <x:c r="BB13" s="21"/>
      <x:c r="BC13" s="21"/>
      <x:c r="BD13" s="21"/>
      <x:c r="BE13" s="21"/>
      <x:c r="BF13" s="21"/>
      <x:c r="BG13" s="21"/>
      <x:c r="BH13" t="s">
        <x:v>92</x:v>
      </x:c>
      <x:c r="BI13" s="18">
        <x:v>113</x:v>
      </x:c>
      <x:c r="BJ13" s="18">
        <x:v>29</x:v>
      </x:c>
      <x:c r="BK13" s="18">
        <x:v>8.48</x:v>
      </x:c>
      <x:c r="BL13" s="18">
        <x:v>23</x:v>
      </x:c>
      <x:c r="BM13" s="18">
        <x:v>17</x:v>
      </x:c>
      <x:c r="BN13" s="18">
        <x:v>19.36</x:v>
      </x:c>
      <x:c r="BO13" s="22">
        <x:v>113.485688888889</x:v>
      </x:c>
      <x:c r="BP13" s="22">
        <x:v>23.288711111111098</x:v>
      </x:c>
      <x:c r="BQ13" s="18">
        <x:v>15</x:v>
      </x:c>
      <x:c r="BR13" s="18">
        <x:v>4422.2</x:v>
      </x:c>
      <x:c r="BS13" s="18">
        <x:v>0.47499999999999998</x:v>
      </x:c>
      <x:c r="BT13" s="18">
        <x:v>0.47499999999999998</x:v>
      </x:c>
      <x:c r="BU13" s="18">
        <x:v>11.365</x:v>
      </x:c>
      <x:c r="BV13" s="18">
        <x:v>11.365</x:v>
      </x:c>
      <x:c r="BW13" s="18">
        <x:v>0.69899999999999995</x:v>
      </x:c>
      <x:c r="BX13" s="18">
        <x:v>0.69899999999999995</x:v>
      </x:c>
      <x:c r="BY13" t="s">
        <x:v>78</x:v>
      </x:c>
      <x:c r="BZ13" t="s">
        <x:v>78</x:v>
      </x:c>
      <x:c r="CA13" s="23">
        <x:f t="shared" si="6"/>
        <x:v>2.6898399999999998</x:v>
      </x:c>
      <x:c r="CB13" s="23">
        <x:f t="shared" si="7"/>
        <x:v>9.0782100000000021</x:v>
      </x:c>
      <x:c r="CC13" s="23">
        <x:f t="shared" si="8"/>
        <x:v>8.7419799999999999</x:v>
      </x:c>
      <x:c r="CD13" s="23">
        <x:f t="shared" si="9"/>
        <x:v>0.201738</x:v>
      </x:c>
      <x:c r="CE13" s="23">
        <x:f t="shared" si="10"/>
        <x:v>0.201738</x:v>
      </x:c>
      <x:c r="CF13" s="23">
        <x:f t="shared" si="11"/>
        <x:v>0</x:v>
      </x:c>
      <x:c r="CG13" s="23">
        <x:f t="shared" si="12"/>
        <x:v>0</x:v>
      </x:c>
      <x:c r="CH13" s="23">
        <x:f t="shared" si="13"/>
        <x:v>0.134492</x:v>
      </x:c>
      <x:c r="CI13" s="23">
        <x:f t="shared" si="14"/>
        <x:v>0</x:v>
      </x:c>
      <x:c r="CJ13" s="24" t="s">
        <x:v>78</x:v>
      </x:c>
      <x:c r="CK13" s="25">
        <x:v>0</x:v>
      </x:c>
      <x:c r="CL13" s="26" t="s">
        <x:v>78</x:v>
      </x:c>
      <x:c r="CM13" s="26">
        <x:v>42</x:v>
      </x:c>
      <x:c r="CN13" s="27" t="s">
        <x:v>78</x:v>
      </x:c>
      <x:c r="CO13" s="27">
        <x:v>0</x:v>
      </x:c>
      <x:c r="CP13" s="27">
        <x:v>0</x:v>
      </x:c>
      <x:c r="CQ13" s="26">
        <x:f t="shared" si="15"/>
        <x:v>2.6898399999999998</x:v>
      </x:c>
      <x:c r="CR13" s="26">
        <x:f t="shared" si="16"/>
        <x:v>5.2653618000000018</x:v>
      </x:c>
      <x:c r="CS13" s="26">
        <x:f t="shared" si="22"/>
        <x:v>8.7419799999999999</x:v>
      </x:c>
      <x:c r="CT13" s="26">
        <x:f t="shared" si="17"/>
        <x:v>0.201738</x:v>
      </x:c>
      <x:c r="CU13" s="26">
        <x:f t="shared" si="18"/>
        <x:v>0.201738</x:v>
      </x:c>
      <x:c r="CV13" s="26">
        <x:f t="shared" si="19"/>
        <x:v>0</x:v>
      </x:c>
      <x:c r="CW13" s="26">
        <x:f t="shared" si="20"/>
        <x:v>0</x:v>
      </x:c>
      <x:c r="CX13" s="26">
        <x:f t="shared" si="23"/>
        <x:v>0.134492</x:v>
      </x:c>
      <x:c r="CY13" s="26">
        <x:f t="shared" si="24"/>
        <x:v>0</x:v>
      </x:c>
    </x:row>
    <x:row r="14">
      <x:c r="A14" s="18">
        <x:v>2022</x:v>
      </x:c>
      <x:c r="B14" t="s">
        <x:v>93</x:v>
      </x:c>
      <x:c r="C14" t="s">
        <x:v>94</x:v>
      </x:c>
      <x:c r="D14" t="s">
        <x:v>95</x:v>
      </x:c>
      <x:c r="E14" s="18">
        <x:v>440111</x:v>
      </x:c>
      <x:c r="F14" t="s">
        <x:v>68</x:v>
      </x:c>
      <x:c r="G14" t="s">
        <x:v>69</x:v>
      </x:c>
      <x:c r="H14" s="18">
        <x:v>4417</x:v>
      </x:c>
      <x:c r="I14" t="s">
        <x:v>70</x:v>
      </x:c>
      <x:c r="J14" t="s">
        <x:v>78</x:v>
      </x:c>
      <x:c r="K14" t="s">
        <x:v>80</x:v>
      </x:c>
      <x:c r="L14" s="18">
        <x:v>0.1</x:v>
      </x:c>
      <x:c r="M14" t="s">
        <x:v>78</x:v>
      </x:c>
      <x:c r="N14" s="18">
        <x:v>1.43</x:v>
      </x:c>
      <x:c r="O14" t="s">
        <x:v>88</x:v>
      </x:c>
      <x:c r="P14" s="18">
        <x:v>15</x:v>
      </x:c>
      <x:c r="Q14" s="19" t="s">
        <x:v>96</x:v>
      </x:c>
      <x:c r="R14" s="18">
        <x:v>1000</x:v>
      </x:c>
      <x:c r="S14" t="s">
        <x:v>76</x:v>
      </x:c>
      <x:c r="T14" s="19">
        <x:f t="shared" si="21"/>
        <x:v>1000</x:v>
      </x:c>
      <x:c r="U14" s="20">
        <x:v>1.5</x:v>
      </x:c>
      <x:c r="V14" t="s">
        <x:v>77</x:v>
      </x:c>
      <x:c r="W14" s="19" t="s">
        <x:v>78</x:v>
      </x:c>
      <x:c r="X14" s="21">
        <x:f t="shared" si="0"/>
        <x:v>0.03</x:v>
      </x:c>
      <x:c r="Y14" s="21" t="n">
        <x:f t="shared" ref="Y14:Y21" si="25">1.35*T14*10000/1000000</x:f>
        <x:v>13.5</x:v>
      </x:c>
      <x:c r="Z14" s="21">
        <x:f t="shared" si="2"/>
        <x:v>13</x:v>
      </x:c>
      <x:c r="AA14" s="21">
        <x:f t="shared" si="3"/>
        <x:v>0.3</x:v>
      </x:c>
      <x:c r="AB14" s="21">
        <x:f t="shared" si="4"/>
        <x:v>0.3</x:v>
      </x:c>
      <x:c r="AC14" s="21"/>
      <x:c r="AD14" s="21"/>
      <x:c r="AE14" s="21">
        <x:f t="shared" si="5"/>
        <x:v>0.2</x:v>
      </x:c>
      <x:c r="AF14" s="21"/>
      <x:c r="AG14" s="19" t="s">
        <x:v>78</x:v>
      </x:c>
      <x:c r="AH14" t="s">
        <x:v>78</x:v>
      </x:c>
      <x:c r="AI14" t="s">
        <x:v>78</x:v>
      </x:c>
      <x:c r="AJ14" s="19"/>
      <x:c r="AK14" s="19" t="s">
        <x:v>78</x:v>
      </x:c>
      <x:c r="AL14" t="s">
        <x:v>78</x:v>
      </x:c>
      <x:c r="AM14" s="19" t="s">
        <x:v>78</x:v>
      </x:c>
      <x:c r="AN14" s="21"/>
      <x:c r="AO14" s="21"/>
      <x:c r="AP14" s="21"/>
      <x:c r="AQ14" s="21"/>
      <x:c r="AR14" s="21"/>
      <x:c r="AS14" s="21"/>
      <x:c r="AT14" s="21"/>
      <x:c r="AU14" s="21"/>
      <x:c r="AV14" s="21"/>
      <x:c r="AW14" t="s">
        <x:v>78</x:v>
      </x:c>
      <x:c r="AX14" s="19"/>
      <x:c r="AY14" s="21"/>
      <x:c r="AZ14" s="21"/>
      <x:c r="BA14" s="21"/>
      <x:c r="BB14" s="21"/>
      <x:c r="BC14" s="21"/>
      <x:c r="BD14" s="21"/>
      <x:c r="BE14" s="21"/>
      <x:c r="BF14" s="21"/>
      <x:c r="BG14" s="21"/>
      <x:c r="BH14" t="s">
        <x:v>81</x:v>
      </x:c>
      <x:c r="BI14" s="18">
        <x:v>113</x:v>
      </x:c>
      <x:c r="BJ14" s="18">
        <x:v>29</x:v>
      </x:c>
      <x:c r="BK14" s="18">
        <x:v>13.81</x:v>
      </x:c>
      <x:c r="BL14" s="18">
        <x:v>23</x:v>
      </x:c>
      <x:c r="BM14" s="18">
        <x:v>16</x:v>
      </x:c>
      <x:c r="BN14" s="18">
        <x:v>5.92</x:v>
      </x:c>
      <x:c r="BO14" s="22">
        <x:v>113.48716944444401</x:v>
      </x:c>
      <x:c r="BP14" s="22">
        <x:v>23.2683111111111</x:v>
      </x:c>
      <x:c r="BQ14" s="18">
        <x:v>15</x:v>
      </x:c>
      <x:c r="BR14" s="18">
        <x:v>2640</x:v>
      </x:c>
      <x:c r="BS14" s="18">
        <x:v>0.83599999999999997</x:v>
      </x:c>
      <x:c r="BT14" s="18">
        <x:v>0.83599999999999997</x:v>
      </x:c>
      <x:c r="BU14" s="18">
        <x:v>27.4</x:v>
      </x:c>
      <x:c r="BV14" s="18">
        <x:v>4.1100000000000003</x:v>
      </x:c>
      <x:c r="BW14" s="18">
        <x:v>0.57499999999999996</x:v>
      </x:c>
      <x:c r="BX14" s="18">
        <x:v>0.57499999999999996</x:v>
      </x:c>
      <x:c r="BY14" t="s">
        <x:v>78</x:v>
      </x:c>
      <x:c r="BZ14" t="s">
        <x:v>78</x:v>
      </x:c>
      <x:c r="CA14" s="23">
        <x:f t="shared" si="6"/>
        <x:v>0.03</x:v>
      </x:c>
      <x:c r="CB14" s="23">
        <x:f t="shared" si="7"/>
        <x:v>41</x:v>
      </x:c>
      <x:c r="CC14" s="23">
        <x:f t="shared" si="8"/>
        <x:v>13</x:v>
      </x:c>
      <x:c r="CD14" s="23">
        <x:f t="shared" si="9"/>
        <x:v>0.3</x:v>
      </x:c>
      <x:c r="CE14" s="23">
        <x:f t="shared" si="10"/>
        <x:v>0.3</x:v>
      </x:c>
      <x:c r="CF14" s="23">
        <x:f t="shared" si="11"/>
        <x:v>0</x:v>
      </x:c>
      <x:c r="CG14" s="23">
        <x:f t="shared" si="12"/>
        <x:v>0</x:v>
      </x:c>
      <x:c r="CH14" s="23">
        <x:f t="shared" si="13"/>
        <x:v>0.2</x:v>
      </x:c>
      <x:c r="CI14" s="23">
        <x:f t="shared" si="14"/>
        <x:v>0</x:v>
      </x:c>
      <x:c r="CJ14" s="24" t="s">
        <x:v>78</x:v>
      </x:c>
      <x:c r="CK14" s="25">
        <x:v>0</x:v>
      </x:c>
      <x:c r="CL14" s="26" t="s">
        <x:v>97</x:v>
      </x:c>
      <x:c r="CM14" s="28">
        <x:v>87.5</x:v>
      </x:c>
      <x:c r="CN14" s="27" t="s">
        <x:v>78</x:v>
      </x:c>
      <x:c r="CO14" s="27">
        <x:v>0</x:v>
      </x:c>
      <x:c r="CP14" s="27">
        <x:v>0</x:v>
      </x:c>
      <x:c r="CQ14" s="26">
        <x:f t="shared" si="15"/>
        <x:v>0.03</x:v>
      </x:c>
      <x:c r="CR14" s="26">
        <x:f t="shared" si="16"/>
        <x:v>5.125</x:v>
      </x:c>
      <x:c r="CS14" s="26">
        <x:f t="shared" si="22"/>
        <x:v>13</x:v>
      </x:c>
      <x:c r="CT14" s="26">
        <x:f t="shared" si="17"/>
        <x:v>0.3</x:v>
      </x:c>
      <x:c r="CU14" s="26">
        <x:f t="shared" si="18"/>
        <x:v>0.3</x:v>
      </x:c>
      <x:c r="CV14" s="26">
        <x:f t="shared" si="19"/>
        <x:v>0</x:v>
      </x:c>
      <x:c r="CW14" s="26">
        <x:f t="shared" si="20"/>
        <x:v>0</x:v>
      </x:c>
      <x:c r="CX14" s="26">
        <x:f t="shared" si="23"/>
        <x:v>0.2</x:v>
      </x:c>
      <x:c r="CY14" s="26">
        <x:f t="shared" si="24"/>
        <x:v>0</x:v>
      </x:c>
    </x:row>
    <x:row r="15">
      <x:c r="A15" s="18">
        <x:v>2022</x:v>
      </x:c>
      <x:c r="B15" t="s">
        <x:v>93</x:v>
      </x:c>
      <x:c r="C15" t="s">
        <x:v>94</x:v>
      </x:c>
      <x:c r="D15" t="s">
        <x:v>95</x:v>
      </x:c>
      <x:c r="E15" s="18">
        <x:v>440111</x:v>
      </x:c>
      <x:c r="F15" t="s">
        <x:v>68</x:v>
      </x:c>
      <x:c r="G15" t="s">
        <x:v>69</x:v>
      </x:c>
      <x:c r="H15" s="18">
        <x:v>4417</x:v>
      </x:c>
      <x:c r="I15" t="s">
        <x:v>70</x:v>
      </x:c>
      <x:c r="J15" t="s">
        <x:v>78</x:v>
      </x:c>
      <x:c r="K15" t="s">
        <x:v>80</x:v>
      </x:c>
      <x:c r="L15" s="18">
        <x:v>0.1</x:v>
      </x:c>
      <x:c r="M15" t="s">
        <x:v>78</x:v>
      </x:c>
      <x:c r="N15" s="18">
        <x:v>1.43</x:v>
      </x:c>
      <x:c r="O15" t="s">
        <x:v>88</x:v>
      </x:c>
      <x:c r="P15" s="18">
        <x:v>15</x:v>
      </x:c>
      <x:c r="Q15" s="19" t="s">
        <x:v>96</x:v>
      </x:c>
      <x:c r="R15" s="18">
        <x:v>1000</x:v>
      </x:c>
      <x:c r="S15" t="s">
        <x:v>76</x:v>
      </x:c>
      <x:c r="T15" s="19" t="n">
        <x:f t="shared" ref="T15:T22" si="26">R15</x:f>
        <x:v>1000</x:v>
      </x:c>
      <x:c r="U15" s="20">
        <x:v>1.5</x:v>
      </x:c>
      <x:c r="V15" t="s">
        <x:v>77</x:v>
      </x:c>
      <x:c r="W15" s="19" t="s">
        <x:v>78</x:v>
      </x:c>
      <x:c r="X15" s="21">
        <x:f t="shared" si="0"/>
        <x:v>0.03</x:v>
      </x:c>
      <x:c r="Y15" s="21">
        <x:f t="shared" si="25"/>
        <x:v>41</x:v>
      </x:c>
      <x:c r="Z15" s="21">
        <x:f t="shared" si="2"/>
        <x:v>13</x:v>
      </x:c>
      <x:c r="AA15" s="21">
        <x:f t="shared" si="3"/>
        <x:v>0.3</x:v>
      </x:c>
      <x:c r="AB15" s="21">
        <x:f t="shared" si="4"/>
        <x:v>0.3</x:v>
      </x:c>
      <x:c r="AC15" s="21"/>
      <x:c r="AD15" s="21"/>
      <x:c r="AE15" s="21">
        <x:f t="shared" si="5"/>
        <x:v>0.2</x:v>
      </x:c>
      <x:c r="AF15" s="21"/>
      <x:c r="AG15" s="19" t="s">
        <x:v>78</x:v>
      </x:c>
      <x:c r="AH15" t="s">
        <x:v>78</x:v>
      </x:c>
      <x:c r="AI15" t="s">
        <x:v>78</x:v>
      </x:c>
      <x:c r="AJ15" s="19"/>
      <x:c r="AK15" s="19" t="s">
        <x:v>78</x:v>
      </x:c>
      <x:c r="AL15" t="s">
        <x:v>78</x:v>
      </x:c>
      <x:c r="AM15" s="19" t="s">
        <x:v>78</x:v>
      </x:c>
      <x:c r="AN15" s="21"/>
      <x:c r="AO15" s="21"/>
      <x:c r="AP15" s="21"/>
      <x:c r="AQ15" s="21"/>
      <x:c r="AR15" s="21"/>
      <x:c r="AS15" s="21"/>
      <x:c r="AT15" s="21"/>
      <x:c r="AU15" s="21"/>
      <x:c r="AV15" s="21"/>
      <x:c r="AW15" t="s">
        <x:v>78</x:v>
      </x:c>
      <x:c r="AX15" s="19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t="s">
        <x:v>81</x:v>
      </x:c>
      <x:c r="BI15" s="18">
        <x:v>113</x:v>
      </x:c>
      <x:c r="BJ15" s="18">
        <x:v>29</x:v>
      </x:c>
      <x:c r="BK15" s="18">
        <x:v>13.81</x:v>
      </x:c>
      <x:c r="BL15" s="18">
        <x:v>23</x:v>
      </x:c>
      <x:c r="BM15" s="18">
        <x:v>16</x:v>
      </x:c>
      <x:c r="BN15" s="18">
        <x:v>5.92</x:v>
      </x:c>
      <x:c r="BO15" s="22">
        <x:v>113.48716944444401</x:v>
      </x:c>
      <x:c r="BP15" s="22">
        <x:v>23.2683111111111</x:v>
      </x:c>
      <x:c r="BQ15" s="18">
        <x:v>15</x:v>
      </x:c>
      <x:c r="BR15" s="18">
        <x:v>2640</x:v>
      </x:c>
      <x:c r="BS15" s="18">
        <x:v>0.83599999999999997</x:v>
      </x:c>
      <x:c r="BT15" s="18">
        <x:v>0.83599999999999997</x:v>
      </x:c>
      <x:c r="BU15" s="18">
        <x:v>27.4</x:v>
      </x:c>
      <x:c r="BV15" s="18">
        <x:v>4.1100000000000003</x:v>
      </x:c>
      <x:c r="BW15" s="18">
        <x:v>0.57499999999999996</x:v>
      </x:c>
      <x:c r="BX15" s="18">
        <x:v>0.57499999999999996</x:v>
      </x:c>
      <x:c r="BY15" t="s">
        <x:v>78</x:v>
      </x:c>
      <x:c r="BZ15" t="s">
        <x:v>78</x:v>
      </x:c>
      <x:c r="CA15" s="23">
        <x:f t="shared" si="6"/>
        <x:v>0.03</x:v>
      </x:c>
      <x:c r="CB15" s="23">
        <x:f t="shared" si="7"/>
        <x:v>41</x:v>
      </x:c>
      <x:c r="CC15" s="23">
        <x:f t="shared" si="8"/>
        <x:v>13</x:v>
      </x:c>
      <x:c r="CD15" s="23">
        <x:f t="shared" si="9"/>
        <x:v>0.3</x:v>
      </x:c>
      <x:c r="CE15" s="23">
        <x:f t="shared" si="10"/>
        <x:v>0.3</x:v>
      </x:c>
      <x:c r="CF15" s="23">
        <x:f t="shared" si="11"/>
        <x:v>0</x:v>
      </x:c>
      <x:c r="CG15" s="23">
        <x:f t="shared" si="12"/>
        <x:v>0</x:v>
      </x:c>
      <x:c r="CH15" s="23">
        <x:f t="shared" si="13"/>
        <x:v>0.2</x:v>
      </x:c>
      <x:c r="CI15" s="23">
        <x:f t="shared" si="14"/>
        <x:v>0</x:v>
      </x:c>
      <x:c r="CJ15" s="24" t="s">
        <x:v>78</x:v>
      </x:c>
      <x:c r="CK15" s="25">
        <x:v>0</x:v>
      </x:c>
      <x:c r="CL15" s="26" t="s">
        <x:v>97</x:v>
      </x:c>
      <x:c r="CM15" s="28">
        <x:v>87.5</x:v>
      </x:c>
      <x:c r="CN15" s="27" t="s">
        <x:v>78</x:v>
      </x:c>
      <x:c r="CO15" s="27">
        <x:v>0</x:v>
      </x:c>
      <x:c r="CP15" s="27">
        <x:v>0</x:v>
      </x:c>
      <x:c r="CQ15" s="26">
        <x:f t="shared" si="15"/>
        <x:v>0.03</x:v>
      </x:c>
      <x:c r="CR15" s="26">
        <x:f t="shared" si="16"/>
        <x:v>5.125</x:v>
      </x:c>
      <x:c r="CS15" s="26">
        <x:f t="shared" si="22"/>
        <x:v>13</x:v>
      </x:c>
      <x:c r="CT15" s="26">
        <x:f t="shared" si="17"/>
        <x:v>0.3</x:v>
      </x:c>
      <x:c r="CU15" s="26">
        <x:f t="shared" si="18"/>
        <x:v>0.3</x:v>
      </x:c>
      <x:c r="CV15" s="26">
        <x:f t="shared" si="19"/>
        <x:v>0</x:v>
      </x:c>
      <x:c r="CW15" s="26">
        <x:f t="shared" si="20"/>
        <x:v>0</x:v>
      </x:c>
      <x:c r="CX15" s="26">
        <x:f t="shared" si="23"/>
        <x:v>0.2</x:v>
      </x:c>
      <x:c r="CY15" s="26">
        <x:f t="shared" si="24"/>
        <x:v>0</x:v>
      </x:c>
    </x:row>
    <x:row r="16">
      <x:c r="A16" s="18">
        <x:v>2022</x:v>
      </x:c>
      <x:c r="B16" t="s">
        <x:v>93</x:v>
      </x:c>
      <x:c r="C16" t="s">
        <x:v>94</x:v>
      </x:c>
      <x:c r="D16" t="s">
        <x:v>95</x:v>
      </x:c>
      <x:c r="E16" s="18">
        <x:v>440111</x:v>
      </x:c>
      <x:c r="F16" t="s">
        <x:v>68</x:v>
      </x:c>
      <x:c r="G16" t="s">
        <x:v>69</x:v>
      </x:c>
      <x:c r="H16" s="18">
        <x:v>4417</x:v>
      </x:c>
      <x:c r="I16" t="s">
        <x:v>70</x:v>
      </x:c>
      <x:c r="J16" t="s">
        <x:v>78</x:v>
      </x:c>
      <x:c r="K16" t="s">
        <x:v>80</x:v>
      </x:c>
      <x:c r="L16" s="18">
        <x:v>0.1</x:v>
      </x:c>
      <x:c r="M16" t="s">
        <x:v>78</x:v>
      </x:c>
      <x:c r="N16" s="18">
        <x:v>1.43</x:v>
      </x:c>
      <x:c r="O16" t="s">
        <x:v>88</x:v>
      </x:c>
      <x:c r="P16" s="18">
        <x:v>15</x:v>
      </x:c>
      <x:c r="Q16" s="19" t="s">
        <x:v>96</x:v>
      </x:c>
      <x:c r="R16" s="18">
        <x:v>1000</x:v>
      </x:c>
      <x:c r="S16" t="s">
        <x:v>76</x:v>
      </x:c>
      <x:c r="T16" s="19">
        <x:f t="shared" si="26"/>
        <x:v>1000</x:v>
      </x:c>
      <x:c r="U16" s="20">
        <x:v>1.5</x:v>
      </x:c>
      <x:c r="V16" t="s">
        <x:v>77</x:v>
      </x:c>
      <x:c r="W16" s="19" t="s">
        <x:v>78</x:v>
      </x:c>
      <x:c r="X16" s="21">
        <x:f t="shared" si="0"/>
        <x:v>0.03</x:v>
      </x:c>
      <x:c r="Y16" s="21">
        <x:f t="shared" si="25"/>
        <x:v>41</x:v>
      </x:c>
      <x:c r="Z16" s="21">
        <x:f t="shared" si="2"/>
        <x:v>13</x:v>
      </x:c>
      <x:c r="AA16" s="21">
        <x:f t="shared" si="3"/>
        <x:v>0.3</x:v>
      </x:c>
      <x:c r="AB16" s="21">
        <x:f t="shared" si="4"/>
        <x:v>0.3</x:v>
      </x:c>
      <x:c r="AC16" s="21"/>
      <x:c r="AD16" s="21"/>
      <x:c r="AE16" s="21">
        <x:f t="shared" si="5"/>
        <x:v>0.2</x:v>
      </x:c>
      <x:c r="AF16" s="21"/>
      <x:c r="AG16" s="19" t="s">
        <x:v>78</x:v>
      </x:c>
      <x:c r="AH16" t="s">
        <x:v>78</x:v>
      </x:c>
      <x:c r="AI16" t="s">
        <x:v>78</x:v>
      </x:c>
      <x:c r="AJ16" s="19"/>
      <x:c r="AK16" s="19" t="s">
        <x:v>78</x:v>
      </x:c>
      <x:c r="AL16" t="s">
        <x:v>78</x:v>
      </x:c>
      <x:c r="AM16" s="19" t="s">
        <x:v>78</x:v>
      </x:c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t="s">
        <x:v>78</x:v>
      </x:c>
      <x:c r="AX16" s="19"/>
      <x:c r="AY16" s="21"/>
      <x:c r="AZ16" s="21"/>
      <x:c r="BA16" s="21"/>
      <x:c r="BB16" s="21"/>
      <x:c r="BC16" s="21"/>
      <x:c r="BD16" s="21"/>
      <x:c r="BE16" s="21"/>
      <x:c r="BF16" s="21"/>
      <x:c r="BG16" s="21"/>
      <x:c r="BH16" t="s">
        <x:v>81</x:v>
      </x:c>
      <x:c r="BI16" s="18">
        <x:v>113</x:v>
      </x:c>
      <x:c r="BJ16" s="18">
        <x:v>29</x:v>
      </x:c>
      <x:c r="BK16" s="18">
        <x:v>13.81</x:v>
      </x:c>
      <x:c r="BL16" s="18">
        <x:v>23</x:v>
      </x:c>
      <x:c r="BM16" s="18">
        <x:v>16</x:v>
      </x:c>
      <x:c r="BN16" s="18">
        <x:v>5.92</x:v>
      </x:c>
      <x:c r="BO16" s="22">
        <x:v>113.48716944444401</x:v>
      </x:c>
      <x:c r="BP16" s="22">
        <x:v>23.2683111111111</x:v>
      </x:c>
      <x:c r="BQ16" s="18">
        <x:v>15</x:v>
      </x:c>
      <x:c r="BR16" s="18">
        <x:v>2640</x:v>
      </x:c>
      <x:c r="BS16" s="18">
        <x:v>0.83599999999999997</x:v>
      </x:c>
      <x:c r="BT16" s="18">
        <x:v>0.83599999999999997</x:v>
      </x:c>
      <x:c r="BU16" s="18">
        <x:v>27.4</x:v>
      </x:c>
      <x:c r="BV16" s="18">
        <x:v>4.1100000000000003</x:v>
      </x:c>
      <x:c r="BW16" s="18">
        <x:v>0.57499999999999996</x:v>
      </x:c>
      <x:c r="BX16" s="18">
        <x:v>0.57499999999999996</x:v>
      </x:c>
      <x:c r="BY16" t="s">
        <x:v>78</x:v>
      </x:c>
      <x:c r="BZ16" t="s">
        <x:v>78</x:v>
      </x:c>
      <x:c r="CA16" s="23">
        <x:f t="shared" si="6"/>
        <x:v>0.03</x:v>
      </x:c>
      <x:c r="CB16" s="23">
        <x:f t="shared" si="7"/>
        <x:v>41</x:v>
      </x:c>
      <x:c r="CC16" s="23">
        <x:f t="shared" si="8"/>
        <x:v>13</x:v>
      </x:c>
      <x:c r="CD16" s="23">
        <x:f t="shared" si="9"/>
        <x:v>0.3</x:v>
      </x:c>
      <x:c r="CE16" s="23">
        <x:f t="shared" si="10"/>
        <x:v>0.3</x:v>
      </x:c>
      <x:c r="CF16" s="23">
        <x:f t="shared" si="11"/>
        <x:v>0</x:v>
      </x:c>
      <x:c r="CG16" s="23">
        <x:f t="shared" si="12"/>
        <x:v>0</x:v>
      </x:c>
      <x:c r="CH16" s="23">
        <x:f t="shared" si="13"/>
        <x:v>0.2</x:v>
      </x:c>
      <x:c r="CI16" s="23">
        <x:f t="shared" si="14"/>
        <x:v>0</x:v>
      </x:c>
      <x:c r="CJ16" s="24" t="s">
        <x:v>78</x:v>
      </x:c>
      <x:c r="CK16" s="25">
        <x:v>0</x:v>
      </x:c>
      <x:c r="CL16" s="26" t="s">
        <x:v>97</x:v>
      </x:c>
      <x:c r="CM16" s="28">
        <x:v>87.5</x:v>
      </x:c>
      <x:c r="CN16" s="27" t="s">
        <x:v>78</x:v>
      </x:c>
      <x:c r="CO16" s="27">
        <x:v>0</x:v>
      </x:c>
      <x:c r="CP16" s="27">
        <x:v>0</x:v>
      </x:c>
      <x:c r="CQ16" s="26">
        <x:f t="shared" si="15"/>
        <x:v>0.03</x:v>
      </x:c>
      <x:c r="CR16" s="26">
        <x:f t="shared" si="16"/>
        <x:v>5.125</x:v>
      </x:c>
      <x:c r="CS16" s="26">
        <x:f t="shared" si="22"/>
        <x:v>13</x:v>
      </x:c>
      <x:c r="CT16" s="26">
        <x:f t="shared" si="17"/>
        <x:v>0.3</x:v>
      </x:c>
      <x:c r="CU16" s="26">
        <x:f t="shared" si="18"/>
        <x:v>0.3</x:v>
      </x:c>
      <x:c r="CV16" s="26">
        <x:f t="shared" si="19"/>
        <x:v>0</x:v>
      </x:c>
      <x:c r="CW16" s="26">
        <x:f t="shared" si="20"/>
        <x:v>0</x:v>
      </x:c>
      <x:c r="CX16" s="26">
        <x:f t="shared" si="23"/>
        <x:v>0.2</x:v>
      </x:c>
      <x:c r="CY16" s="26">
        <x:f t="shared" si="24"/>
        <x:v>0</x:v>
      </x:c>
    </x:row>
    <x:row r="17">
      <x:c r="A17" s="18">
        <x:v>2022</x:v>
      </x:c>
      <x:c r="B17" t="s">
        <x:v>93</x:v>
      </x:c>
      <x:c r="C17" t="s">
        <x:v>94</x:v>
      </x:c>
      <x:c r="D17" t="s">
        <x:v>95</x:v>
      </x:c>
      <x:c r="E17" s="18">
        <x:v>440111</x:v>
      </x:c>
      <x:c r="F17" t="s">
        <x:v>68</x:v>
      </x:c>
      <x:c r="G17" t="s">
        <x:v>69</x:v>
      </x:c>
      <x:c r="H17" s="18">
        <x:v>4417</x:v>
      </x:c>
      <x:c r="I17" t="s">
        <x:v>70</x:v>
      </x:c>
      <x:c r="J17" t="s">
        <x:v>78</x:v>
      </x:c>
      <x:c r="K17" t="s">
        <x:v>80</x:v>
      </x:c>
      <x:c r="L17" s="18">
        <x:v>0.1</x:v>
      </x:c>
      <x:c r="M17" t="s">
        <x:v>78</x:v>
      </x:c>
      <x:c r="N17" s="18">
        <x:v>1.43</x:v>
      </x:c>
      <x:c r="O17" t="s">
        <x:v>88</x:v>
      </x:c>
      <x:c r="P17" s="18">
        <x:v>15</x:v>
      </x:c>
      <x:c r="Q17" s="19" t="s">
        <x:v>96</x:v>
      </x:c>
      <x:c r="R17" s="18">
        <x:v>1000</x:v>
      </x:c>
      <x:c r="S17" t="s">
        <x:v>76</x:v>
      </x:c>
      <x:c r="T17" s="19">
        <x:f t="shared" si="26"/>
        <x:v>1000</x:v>
      </x:c>
      <x:c r="U17" s="20">
        <x:v>1.5</x:v>
      </x:c>
      <x:c r="V17" t="s">
        <x:v>77</x:v>
      </x:c>
      <x:c r="W17" s="19" t="s">
        <x:v>78</x:v>
      </x:c>
      <x:c r="X17" s="21">
        <x:f t="shared" si="0"/>
        <x:v>0.03</x:v>
      </x:c>
      <x:c r="Y17" s="21">
        <x:f t="shared" si="25"/>
        <x:v>41</x:v>
      </x:c>
      <x:c r="Z17" s="21">
        <x:f t="shared" si="2"/>
        <x:v>13</x:v>
      </x:c>
      <x:c r="AA17" s="21">
        <x:f t="shared" si="3"/>
        <x:v>0.3</x:v>
      </x:c>
      <x:c r="AB17" s="21">
        <x:f t="shared" si="4"/>
        <x:v>0.3</x:v>
      </x:c>
      <x:c r="AC17" s="21"/>
      <x:c r="AD17" s="21"/>
      <x:c r="AE17" s="21">
        <x:f t="shared" si="5"/>
        <x:v>0.2</x:v>
      </x:c>
      <x:c r="AF17" s="21"/>
      <x:c r="AG17" s="19" t="s">
        <x:v>78</x:v>
      </x:c>
      <x:c r="AH17" t="s">
        <x:v>78</x:v>
      </x:c>
      <x:c r="AI17" t="s">
        <x:v>78</x:v>
      </x:c>
      <x:c r="AJ17" s="19"/>
      <x:c r="AK17" s="19" t="s">
        <x:v>78</x:v>
      </x:c>
      <x:c r="AL17" t="s">
        <x:v>78</x:v>
      </x:c>
      <x:c r="AM17" s="19" t="s">
        <x:v>78</x:v>
      </x:c>
      <x:c r="AN17" s="21"/>
      <x:c r="AO17" s="21"/>
      <x:c r="AP17" s="21"/>
      <x:c r="AQ17" s="21"/>
      <x:c r="AR17" s="21"/>
      <x:c r="AS17" s="21"/>
      <x:c r="AT17" s="21"/>
      <x:c r="AU17" s="21"/>
      <x:c r="AV17" s="21"/>
      <x:c r="AW17" t="s">
        <x:v>78</x:v>
      </x:c>
      <x:c r="AX17" s="19"/>
      <x:c r="AY17" s="21"/>
      <x:c r="AZ17" s="21"/>
      <x:c r="BA17" s="21"/>
      <x:c r="BB17" s="21"/>
      <x:c r="BC17" s="21"/>
      <x:c r="BD17" s="21"/>
      <x:c r="BE17" s="21"/>
      <x:c r="BF17" s="21"/>
      <x:c r="BG17" s="21"/>
      <x:c r="BH17" t="s">
        <x:v>81</x:v>
      </x:c>
      <x:c r="BI17" s="18">
        <x:v>113</x:v>
      </x:c>
      <x:c r="BJ17" s="18">
        <x:v>29</x:v>
      </x:c>
      <x:c r="BK17" s="18">
        <x:v>13.81</x:v>
      </x:c>
      <x:c r="BL17" s="18">
        <x:v>23</x:v>
      </x:c>
      <x:c r="BM17" s="18">
        <x:v>16</x:v>
      </x:c>
      <x:c r="BN17" s="18">
        <x:v>5.92</x:v>
      </x:c>
      <x:c r="BO17" s="22">
        <x:v>113.48716944444401</x:v>
      </x:c>
      <x:c r="BP17" s="22">
        <x:v>23.2683111111111</x:v>
      </x:c>
      <x:c r="BQ17" s="18">
        <x:v>15</x:v>
      </x:c>
      <x:c r="BR17" s="18">
        <x:v>2640</x:v>
      </x:c>
      <x:c r="BS17" s="18">
        <x:v>0.83599999999999997</x:v>
      </x:c>
      <x:c r="BT17" s="18">
        <x:v>0.83599999999999997</x:v>
      </x:c>
      <x:c r="BU17" s="18">
        <x:v>27.4</x:v>
      </x:c>
      <x:c r="BV17" s="18">
        <x:v>4.1100000000000003</x:v>
      </x:c>
      <x:c r="BW17" s="18">
        <x:v>0.57499999999999996</x:v>
      </x:c>
      <x:c r="BX17" s="18">
        <x:v>0.57499999999999996</x:v>
      </x:c>
      <x:c r="BY17" t="s">
        <x:v>78</x:v>
      </x:c>
      <x:c r="BZ17" t="s">
        <x:v>78</x:v>
      </x:c>
      <x:c r="CA17" s="23">
        <x:f t="shared" si="6"/>
        <x:v>0.03</x:v>
      </x:c>
      <x:c r="CB17" s="23">
        <x:f t="shared" si="7"/>
        <x:v>41</x:v>
      </x:c>
      <x:c r="CC17" s="23">
        <x:f t="shared" si="8"/>
        <x:v>13</x:v>
      </x:c>
      <x:c r="CD17" s="23">
        <x:f t="shared" si="9"/>
        <x:v>0.3</x:v>
      </x:c>
      <x:c r="CE17" s="23">
        <x:f t="shared" si="10"/>
        <x:v>0.3</x:v>
      </x:c>
      <x:c r="CF17" s="23">
        <x:f t="shared" si="11"/>
        <x:v>0</x:v>
      </x:c>
      <x:c r="CG17" s="23">
        <x:f t="shared" si="12"/>
        <x:v>0</x:v>
      </x:c>
      <x:c r="CH17" s="23">
        <x:f t="shared" si="13"/>
        <x:v>0.2</x:v>
      </x:c>
      <x:c r="CI17" s="23">
        <x:f t="shared" si="14"/>
        <x:v>0</x:v>
      </x:c>
      <x:c r="CJ17" s="24" t="s">
        <x:v>78</x:v>
      </x:c>
      <x:c r="CK17" s="25">
        <x:v>0</x:v>
      </x:c>
      <x:c r="CL17" s="26" t="s">
        <x:v>97</x:v>
      </x:c>
      <x:c r="CM17" s="28">
        <x:v>87.5</x:v>
      </x:c>
      <x:c r="CN17" s="27" t="s">
        <x:v>78</x:v>
      </x:c>
      <x:c r="CO17" s="27">
        <x:v>0</x:v>
      </x:c>
      <x:c r="CP17" s="27">
        <x:v>0</x:v>
      </x:c>
      <x:c r="CQ17" s="26">
        <x:f t="shared" si="15"/>
        <x:v>0.03</x:v>
      </x:c>
      <x:c r="CR17" s="26">
        <x:f t="shared" si="16"/>
        <x:v>5.125</x:v>
      </x:c>
      <x:c r="CS17" s="26">
        <x:f t="shared" si="22"/>
        <x:v>13</x:v>
      </x:c>
      <x:c r="CT17" s="26">
        <x:f t="shared" si="17"/>
        <x:v>0.3</x:v>
      </x:c>
      <x:c r="CU17" s="26">
        <x:f t="shared" si="18"/>
        <x:v>0.3</x:v>
      </x:c>
      <x:c r="CV17" s="26">
        <x:f t="shared" si="19"/>
        <x:v>0</x:v>
      </x:c>
      <x:c r="CW17" s="26">
        <x:f t="shared" si="20"/>
        <x:v>0</x:v>
      </x:c>
      <x:c r="CX17" s="26">
        <x:f t="shared" si="23"/>
        <x:v>0.2</x:v>
      </x:c>
      <x:c r="CY17" s="26">
        <x:f t="shared" si="24"/>
        <x:v>0</x:v>
      </x:c>
    </x:row>
    <x:row r="18">
      <x:c r="A18" s="18">
        <x:v>2022</x:v>
      </x:c>
      <x:c r="B18" t="s">
        <x:v>93</x:v>
      </x:c>
      <x:c r="C18" t="s">
        <x:v>94</x:v>
      </x:c>
      <x:c r="D18" t="s">
        <x:v>95</x:v>
      </x:c>
      <x:c r="E18" s="18">
        <x:v>440111</x:v>
      </x:c>
      <x:c r="F18" t="s">
        <x:v>68</x:v>
      </x:c>
      <x:c r="G18" t="s">
        <x:v>69</x:v>
      </x:c>
      <x:c r="H18" s="18">
        <x:v>4417</x:v>
      </x:c>
      <x:c r="I18" t="s">
        <x:v>70</x:v>
      </x:c>
      <x:c r="J18" t="s">
        <x:v>78</x:v>
      </x:c>
      <x:c r="K18" t="s">
        <x:v>80</x:v>
      </x:c>
      <x:c r="L18" s="18">
        <x:v>0.1</x:v>
      </x:c>
      <x:c r="M18" t="s">
        <x:v>78</x:v>
      </x:c>
      <x:c r="N18" s="18">
        <x:v>1.43</x:v>
      </x:c>
      <x:c r="O18" t="s">
        <x:v>88</x:v>
      </x:c>
      <x:c r="P18" s="18">
        <x:v>15</x:v>
      </x:c>
      <x:c r="Q18" s="19" t="s">
        <x:v>96</x:v>
      </x:c>
      <x:c r="R18" s="18">
        <x:v>1000</x:v>
      </x:c>
      <x:c r="S18" t="s">
        <x:v>76</x:v>
      </x:c>
      <x:c r="T18" s="19">
        <x:f t="shared" si="26"/>
        <x:v>1000</x:v>
      </x:c>
      <x:c r="U18" s="20">
        <x:v>1.5</x:v>
      </x:c>
      <x:c r="V18" t="s">
        <x:v>77</x:v>
      </x:c>
      <x:c r="W18" s="19" t="s">
        <x:v>78</x:v>
      </x:c>
      <x:c r="X18" s="21">
        <x:f t="shared" si="0"/>
        <x:v>0.03</x:v>
      </x:c>
      <x:c r="Y18" s="21">
        <x:f t="shared" si="25"/>
        <x:v>41</x:v>
      </x:c>
      <x:c r="Z18" s="21">
        <x:f t="shared" si="2"/>
        <x:v>13</x:v>
      </x:c>
      <x:c r="AA18" s="21">
        <x:f t="shared" si="3"/>
        <x:v>0.3</x:v>
      </x:c>
      <x:c r="AB18" s="21">
        <x:f t="shared" si="4"/>
        <x:v>0.3</x:v>
      </x:c>
      <x:c r="AC18" s="21"/>
      <x:c r="AD18" s="21"/>
      <x:c r="AE18" s="21">
        <x:f t="shared" si="5"/>
        <x:v>0.2</x:v>
      </x:c>
      <x:c r="AF18" s="21"/>
      <x:c r="AG18" s="19" t="s">
        <x:v>78</x:v>
      </x:c>
      <x:c r="AH18" t="s">
        <x:v>78</x:v>
      </x:c>
      <x:c r="AI18" t="s">
        <x:v>78</x:v>
      </x:c>
      <x:c r="AJ18" s="19"/>
      <x:c r="AK18" s="19" t="s">
        <x:v>78</x:v>
      </x:c>
      <x:c r="AL18" t="s">
        <x:v>78</x:v>
      </x:c>
      <x:c r="AM18" s="19" t="s">
        <x:v>78</x:v>
      </x:c>
      <x:c r="AN18" s="21"/>
      <x:c r="AO18" s="21"/>
      <x:c r="AP18" s="21"/>
      <x:c r="AQ18" s="21"/>
      <x:c r="AR18" s="21"/>
      <x:c r="AS18" s="21"/>
      <x:c r="AT18" s="21"/>
      <x:c r="AU18" s="21"/>
      <x:c r="AV18" s="21"/>
      <x:c r="AW18" t="s">
        <x:v>78</x:v>
      </x:c>
      <x:c r="AX18" s="19"/>
      <x:c r="AY18" s="21"/>
      <x:c r="AZ18" s="21"/>
      <x:c r="BA18" s="21"/>
      <x:c r="BB18" s="21"/>
      <x:c r="BC18" s="21"/>
      <x:c r="BD18" s="21"/>
      <x:c r="BE18" s="21"/>
      <x:c r="BF18" s="21"/>
      <x:c r="BG18" s="21"/>
      <x:c r="BH18" t="s">
        <x:v>81</x:v>
      </x:c>
      <x:c r="BI18" s="18">
        <x:v>113</x:v>
      </x:c>
      <x:c r="BJ18" s="18">
        <x:v>29</x:v>
      </x:c>
      <x:c r="BK18" s="18">
        <x:v>13.81</x:v>
      </x:c>
      <x:c r="BL18" s="18">
        <x:v>23</x:v>
      </x:c>
      <x:c r="BM18" s="18">
        <x:v>16</x:v>
      </x:c>
      <x:c r="BN18" s="18">
        <x:v>5.92</x:v>
      </x:c>
      <x:c r="BO18" s="22">
        <x:v>113.48716944444401</x:v>
      </x:c>
      <x:c r="BP18" s="22">
        <x:v>23.2683111111111</x:v>
      </x:c>
      <x:c r="BQ18" s="18">
        <x:v>15</x:v>
      </x:c>
      <x:c r="BR18" s="18">
        <x:v>2640</x:v>
      </x:c>
      <x:c r="BS18" s="18">
        <x:v>0.83599999999999997</x:v>
      </x:c>
      <x:c r="BT18" s="18">
        <x:v>0.83599999999999997</x:v>
      </x:c>
      <x:c r="BU18" s="18">
        <x:v>27.4</x:v>
      </x:c>
      <x:c r="BV18" s="18">
        <x:v>4.1100000000000003</x:v>
      </x:c>
      <x:c r="BW18" s="18">
        <x:v>0.57499999999999996</x:v>
      </x:c>
      <x:c r="BX18" s="18">
        <x:v>0.57499999999999996</x:v>
      </x:c>
      <x:c r="BY18" t="s">
        <x:v>78</x:v>
      </x:c>
      <x:c r="BZ18" t="s">
        <x:v>78</x:v>
      </x:c>
      <x:c r="CA18" s="23">
        <x:f t="shared" si="6"/>
        <x:v>0.03</x:v>
      </x:c>
      <x:c r="CB18" s="23">
        <x:f t="shared" si="7"/>
        <x:v>41</x:v>
      </x:c>
      <x:c r="CC18" s="23">
        <x:f t="shared" si="8"/>
        <x:v>13</x:v>
      </x:c>
      <x:c r="CD18" s="23">
        <x:f t="shared" si="9"/>
        <x:v>0.3</x:v>
      </x:c>
      <x:c r="CE18" s="23">
        <x:f t="shared" si="10"/>
        <x:v>0.3</x:v>
      </x:c>
      <x:c r="CF18" s="23">
        <x:f t="shared" si="11"/>
        <x:v>0</x:v>
      </x:c>
      <x:c r="CG18" s="23">
        <x:f t="shared" si="12"/>
        <x:v>0</x:v>
      </x:c>
      <x:c r="CH18" s="23">
        <x:f t="shared" si="13"/>
        <x:v>0.2</x:v>
      </x:c>
      <x:c r="CI18" s="23">
        <x:f t="shared" si="14"/>
        <x:v>0</x:v>
      </x:c>
      <x:c r="CJ18" s="24" t="s">
        <x:v>78</x:v>
      </x:c>
      <x:c r="CK18" s="25">
        <x:v>0</x:v>
      </x:c>
      <x:c r="CL18" s="26" t="s">
        <x:v>97</x:v>
      </x:c>
      <x:c r="CM18" s="28">
        <x:v>87.5</x:v>
      </x:c>
      <x:c r="CN18" s="27" t="s">
        <x:v>78</x:v>
      </x:c>
      <x:c r="CO18" s="27">
        <x:v>0</x:v>
      </x:c>
      <x:c r="CP18" s="27">
        <x:v>0</x:v>
      </x:c>
      <x:c r="CQ18" s="26">
        <x:f t="shared" si="15"/>
        <x:v>0.03</x:v>
      </x:c>
      <x:c r="CR18" s="26">
        <x:f t="shared" si="16"/>
        <x:v>5.125</x:v>
      </x:c>
      <x:c r="CS18" s="26">
        <x:f t="shared" si="22"/>
        <x:v>13</x:v>
      </x:c>
      <x:c r="CT18" s="26">
        <x:f t="shared" si="17"/>
        <x:v>0.3</x:v>
      </x:c>
      <x:c r="CU18" s="26">
        <x:f t="shared" si="18"/>
        <x:v>0.3</x:v>
      </x:c>
      <x:c r="CV18" s="26">
        <x:f t="shared" si="19"/>
        <x:v>0</x:v>
      </x:c>
      <x:c r="CW18" s="26">
        <x:f t="shared" si="20"/>
        <x:v>0</x:v>
      </x:c>
      <x:c r="CX18" s="26">
        <x:f t="shared" si="23"/>
        <x:v>0.2</x:v>
      </x:c>
      <x:c r="CY18" s="26">
        <x:f t="shared" si="24"/>
        <x:v>0</x:v>
      </x:c>
    </x:row>
    <x:row r="19">
      <x:c r="A19" s="18">
        <x:v>2022</x:v>
      </x:c>
      <x:c r="B19" t="s">
        <x:v>93</x:v>
      </x:c>
      <x:c r="C19" t="s">
        <x:v>94</x:v>
      </x:c>
      <x:c r="D19" t="s">
        <x:v>95</x:v>
      </x:c>
      <x:c r="E19" s="18">
        <x:v>440111</x:v>
      </x:c>
      <x:c r="F19" t="s">
        <x:v>68</x:v>
      </x:c>
      <x:c r="G19" t="s">
        <x:v>69</x:v>
      </x:c>
      <x:c r="H19" s="18">
        <x:v>4417</x:v>
      </x:c>
      <x:c r="I19" t="s">
        <x:v>70</x:v>
      </x:c>
      <x:c r="J19" t="s">
        <x:v>78</x:v>
      </x:c>
      <x:c r="K19" t="s">
        <x:v>80</x:v>
      </x:c>
      <x:c r="L19" s="18">
        <x:v>0.1</x:v>
      </x:c>
      <x:c r="M19" t="s">
        <x:v>78</x:v>
      </x:c>
      <x:c r="N19" s="18">
        <x:v>1.43</x:v>
      </x:c>
      <x:c r="O19" t="s">
        <x:v>88</x:v>
      </x:c>
      <x:c r="P19" s="18">
        <x:v>15</x:v>
      </x:c>
      <x:c r="Q19" s="19" t="s">
        <x:v>96</x:v>
      </x:c>
      <x:c r="R19" s="18">
        <x:v>1000</x:v>
      </x:c>
      <x:c r="S19" t="s">
        <x:v>76</x:v>
      </x:c>
      <x:c r="T19" s="19">
        <x:f t="shared" si="26"/>
        <x:v>1000</x:v>
      </x:c>
      <x:c r="U19" s="20">
        <x:v>1.5</x:v>
      </x:c>
      <x:c r="V19" t="s">
        <x:v>77</x:v>
      </x:c>
      <x:c r="W19" s="19" t="s">
        <x:v>78</x:v>
      </x:c>
      <x:c r="X19" s="21">
        <x:f t="shared" si="0"/>
        <x:v>0.03</x:v>
      </x:c>
      <x:c r="Y19" s="21">
        <x:f t="shared" si="25"/>
        <x:v>41</x:v>
      </x:c>
      <x:c r="Z19" s="21">
        <x:f t="shared" si="2"/>
        <x:v>13</x:v>
      </x:c>
      <x:c r="AA19" s="21">
        <x:f t="shared" si="3"/>
        <x:v>0.3</x:v>
      </x:c>
      <x:c r="AB19" s="21">
        <x:f t="shared" si="4"/>
        <x:v>0.3</x:v>
      </x:c>
      <x:c r="AC19" s="21"/>
      <x:c r="AD19" s="21"/>
      <x:c r="AE19" s="21">
        <x:f t="shared" si="5"/>
        <x:v>0.2</x:v>
      </x:c>
      <x:c r="AF19" s="21"/>
      <x:c r="AG19" s="19" t="s">
        <x:v>78</x:v>
      </x:c>
      <x:c r="AH19" t="s">
        <x:v>78</x:v>
      </x:c>
      <x:c r="AI19" t="s">
        <x:v>78</x:v>
      </x:c>
      <x:c r="AJ19" s="19"/>
      <x:c r="AK19" s="19" t="s">
        <x:v>78</x:v>
      </x:c>
      <x:c r="AL19" t="s">
        <x:v>78</x:v>
      </x:c>
      <x:c r="AM19" s="19" t="s">
        <x:v>78</x:v>
      </x:c>
      <x:c r="AN19" s="21"/>
      <x:c r="AO19" s="21"/>
      <x:c r="AP19" s="21"/>
      <x:c r="AQ19" s="21"/>
      <x:c r="AR19" s="21"/>
      <x:c r="AS19" s="21"/>
      <x:c r="AT19" s="21"/>
      <x:c r="AU19" s="21"/>
      <x:c r="AV19" s="21"/>
      <x:c r="AW19" t="s">
        <x:v>78</x:v>
      </x:c>
      <x:c r="AX19" s="19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t="s">
        <x:v>81</x:v>
      </x:c>
      <x:c r="BI19" s="18">
        <x:v>113</x:v>
      </x:c>
      <x:c r="BJ19" s="18">
        <x:v>29</x:v>
      </x:c>
      <x:c r="BK19" s="18">
        <x:v>13.81</x:v>
      </x:c>
      <x:c r="BL19" s="18">
        <x:v>23</x:v>
      </x:c>
      <x:c r="BM19" s="18">
        <x:v>16</x:v>
      </x:c>
      <x:c r="BN19" s="18">
        <x:v>5.92</x:v>
      </x:c>
      <x:c r="BO19" s="22">
        <x:v>113.48716944444401</x:v>
      </x:c>
      <x:c r="BP19" s="22">
        <x:v>23.2683111111111</x:v>
      </x:c>
      <x:c r="BQ19" s="18">
        <x:v>15</x:v>
      </x:c>
      <x:c r="BR19" s="18">
        <x:v>2640</x:v>
      </x:c>
      <x:c r="BS19" s="18">
        <x:v>0.83599999999999997</x:v>
      </x:c>
      <x:c r="BT19" s="18">
        <x:v>0.83599999999999997</x:v>
      </x:c>
      <x:c r="BU19" s="18">
        <x:v>27.4</x:v>
      </x:c>
      <x:c r="BV19" s="18">
        <x:v>4.1100000000000003</x:v>
      </x:c>
      <x:c r="BW19" s="18">
        <x:v>0.57499999999999996</x:v>
      </x:c>
      <x:c r="BX19" s="18">
        <x:v>0.57499999999999996</x:v>
      </x:c>
      <x:c r="BY19" t="s">
        <x:v>78</x:v>
      </x:c>
      <x:c r="BZ19" t="s">
        <x:v>78</x:v>
      </x:c>
      <x:c r="CA19" s="23">
        <x:f t="shared" si="6"/>
        <x:v>0.03</x:v>
      </x:c>
      <x:c r="CB19" s="23">
        <x:f t="shared" si="7"/>
        <x:v>41</x:v>
      </x:c>
      <x:c r="CC19" s="23">
        <x:f t="shared" si="8"/>
        <x:v>13</x:v>
      </x:c>
      <x:c r="CD19" s="23">
        <x:f t="shared" si="9"/>
        <x:v>0.3</x:v>
      </x:c>
      <x:c r="CE19" s="23">
        <x:f t="shared" si="10"/>
        <x:v>0.3</x:v>
      </x:c>
      <x:c r="CF19" s="23">
        <x:f t="shared" si="11"/>
        <x:v>0</x:v>
      </x:c>
      <x:c r="CG19" s="23">
        <x:f t="shared" si="12"/>
        <x:v>0</x:v>
      </x:c>
      <x:c r="CH19" s="23">
        <x:f t="shared" si="13"/>
        <x:v>0.2</x:v>
      </x:c>
      <x:c r="CI19" s="23">
        <x:f t="shared" si="14"/>
        <x:v>0</x:v>
      </x:c>
      <x:c r="CJ19" s="24" t="s">
        <x:v>78</x:v>
      </x:c>
      <x:c r="CK19" s="25">
        <x:v>0</x:v>
      </x:c>
      <x:c r="CL19" s="26" t="s">
        <x:v>97</x:v>
      </x:c>
      <x:c r="CM19" s="28">
        <x:v>87.5</x:v>
      </x:c>
      <x:c r="CN19" s="27" t="s">
        <x:v>78</x:v>
      </x:c>
      <x:c r="CO19" s="27">
        <x:v>0</x:v>
      </x:c>
      <x:c r="CP19" s="27">
        <x:v>0</x:v>
      </x:c>
      <x:c r="CQ19" s="26">
        <x:f t="shared" si="15"/>
        <x:v>0.03</x:v>
      </x:c>
      <x:c r="CR19" s="26">
        <x:f t="shared" si="16"/>
        <x:v>5.125</x:v>
      </x:c>
      <x:c r="CS19" s="26">
        <x:f t="shared" si="22"/>
        <x:v>13</x:v>
      </x:c>
      <x:c r="CT19" s="26">
        <x:f t="shared" si="17"/>
        <x:v>0.3</x:v>
      </x:c>
      <x:c r="CU19" s="26">
        <x:f t="shared" si="18"/>
        <x:v>0.3</x:v>
      </x:c>
      <x:c r="CV19" s="26">
        <x:f t="shared" si="19"/>
        <x:v>0</x:v>
      </x:c>
      <x:c r="CW19" s="26">
        <x:f t="shared" si="20"/>
        <x:v>0</x:v>
      </x:c>
      <x:c r="CX19" s="26">
        <x:f t="shared" si="23"/>
        <x:v>0.2</x:v>
      </x:c>
      <x:c r="CY19" s="26">
        <x:f t="shared" si="24"/>
        <x:v>0</x:v>
      </x:c>
    </x:row>
    <x:row r="20">
      <x:c r="A20" s="18">
        <x:v>2022</x:v>
      </x:c>
      <x:c r="B20" t="s">
        <x:v>98</x:v>
      </x:c>
      <x:c r="C20" t="s">
        <x:v>99</x:v>
      </x:c>
      <x:c r="D20" t="s">
        <x:v>100</x:v>
      </x:c>
      <x:c r="E20" s="18">
        <x:v>440112</x:v>
      </x:c>
      <x:c r="F20" t="s">
        <x:v>101</x:v>
      </x:c>
      <x:c r="G20" t="s">
        <x:v>69</x:v>
      </x:c>
      <x:c r="H20" s="18">
        <x:v>4411</x:v>
      </x:c>
      <x:c r="I20" t="s">
        <x:v>102</x:v>
      </x:c>
      <x:c r="J20" t="s">
        <x:v>103</x:v>
      </x:c>
      <x:c r="K20" t="s">
        <x:v>80</x:v>
      </x:c>
      <x:c r="L20" s="18">
        <x:v>42.3</x:v>
      </x:c>
      <x:c r="M20" t="s">
        <x:v>78</x:v>
      </x:c>
      <x:c r="N20" s="18">
        <x:v>2481</x:v>
      </x:c>
      <x:c r="O20" t="s">
        <x:v>88</x:v>
      </x:c>
      <x:c r="P20" s="18">
        <x:v>15</x:v>
      </x:c>
      <x:c r="Q20" s="19" t="s">
        <x:v>96</x:v>
      </x:c>
      <x:c r="R20" s="18">
        <x:v>21907.331999999999</x:v>
      </x:c>
      <x:c r="S20" t="s">
        <x:v>76</x:v>
      </x:c>
      <x:c r="T20" s="19">
        <x:f t="shared" si="26"/>
        <x:v>21907.331999999999</x:v>
      </x:c>
      <x:c r="U20" s="20">
        <x:v>0.4</x:v>
      </x:c>
      <x:c r="V20" t="s">
        <x:v>77</x:v>
      </x:c>
      <x:c r="W20" s="20">
        <x:v>0</x:v>
      </x:c>
      <x:c r="X20" s="21">
        <x:f t="shared" si="0"/>
        <x:v>0.17525865600000001</x:v>
      </x:c>
      <x:c r="Y20" s="21">
        <x:f t="shared" si="25"/>
        <x:v>898.20061199999975</x:v>
      </x:c>
      <x:c r="Z20" s="21">
        <x:f t="shared" si="2"/>
        <x:v>284.79531600000001</x:v>
      </x:c>
      <x:c r="AA20" s="21">
        <x:f t="shared" si="3"/>
        <x:v>6.5721995999999985</x:v>
      </x:c>
      <x:c r="AB20" s="21">
        <x:f t="shared" si="4"/>
        <x:v>6.5721995999999985</x:v>
      </x:c>
      <x:c r="AC20" s="21"/>
      <x:c r="AD20" s="21"/>
      <x:c r="AE20" s="21">
        <x:f t="shared" si="5"/>
        <x:v>4.3814664000000008</x:v>
      </x:c>
      <x:c r="AF20" s="21"/>
      <x:c r="AG20" s="19" t="s">
        <x:v>78</x:v>
      </x:c>
      <x:c r="AH20" t="s">
        <x:v>78</x:v>
      </x:c>
      <x:c r="AI20" t="s">
        <x:v>78</x:v>
      </x:c>
      <x:c r="AJ20" s="19"/>
      <x:c r="AK20" s="19" t="s">
        <x:v>78</x:v>
      </x:c>
      <x:c r="AL20" t="s">
        <x:v>78</x:v>
      </x:c>
      <x:c r="AM20" s="19" t="s">
        <x:v>78</x:v>
      </x:c>
      <x:c r="AN20" s="21"/>
      <x:c r="AO20" s="21"/>
      <x:c r="AP20" s="21"/>
      <x:c r="AQ20" s="21"/>
      <x:c r="AR20" s="21"/>
      <x:c r="AS20" s="21"/>
      <x:c r="AT20" s="21"/>
      <x:c r="AU20" s="21"/>
      <x:c r="AV20" s="21"/>
      <x:c r="AW20" t="s">
        <x:v>78</x:v>
      </x:c>
      <x:c r="AX20" s="19"/>
      <x:c r="AY20" s="21"/>
      <x:c r="AZ20" s="21"/>
      <x:c r="BA20" s="21"/>
      <x:c r="BB20" s="21"/>
      <x:c r="BC20" s="21"/>
      <x:c r="BD20" s="21"/>
      <x:c r="BE20" s="21"/>
      <x:c r="BF20" s="21"/>
      <x:c r="BG20" s="21"/>
      <x:c r="BH20" t="s">
        <x:v>79</x:v>
      </x:c>
      <x:c r="BI20" s="18">
        <x:v>113</x:v>
      </x:c>
      <x:c r="BJ20" s="18">
        <x:v>30</x:v>
      </x:c>
      <x:c r="BK20" s="18">
        <x:v>3.6</x:v>
      </x:c>
      <x:c r="BL20" s="18">
        <x:v>23</x:v>
      </x:c>
      <x:c r="BM20" s="18">
        <x:v>4</x:v>
      </x:c>
      <x:c r="BN20" s="18">
        <x:v>43.68</x:v>
      </x:c>
      <x:c r="BO20" s="22">
        <x:v>113.501</x:v>
      </x:c>
      <x:c r="BP20" s="22">
        <x:v>23.078800000000001</x:v>
      </x:c>
      <x:c r="BQ20" s="18">
        <x:v>60</x:v>
      </x:c>
      <x:c r="BR20" s="18">
        <x:v>648481.76800000004</x:v>
      </x:c>
      <x:c r="BS20" s="18">
        <x:v>0.16200000000000001</x:v>
      </x:c>
      <x:c r="BT20" s="18">
        <x:v>7.8E-2</x:v>
      </x:c>
      <x:c r="BU20" s="18">
        <x:v>278.95699999999999</x:v>
      </x:c>
      <x:c r="BV20" s="18">
        <x:v>251.07900000000001</x:v>
      </x:c>
      <x:c r="BW20" s="18">
        <x:v>0</x:v>
      </x:c>
      <x:c r="BX20" s="18">
        <x:v>0</x:v>
      </x:c>
      <x:c r="BY20" t="s">
        <x:v>78</x:v>
      </x:c>
      <x:c r="BZ20" t="s">
        <x:v>78</x:v>
      </x:c>
      <x:c r="CA20" s="23">
        <x:f t="shared" si="6"/>
        <x:v>0.17525865600000001</x:v>
      </x:c>
      <x:c r="CB20" s="23">
        <x:f t="shared" si="7"/>
        <x:v>898.20061199999975</x:v>
      </x:c>
      <x:c r="CC20" s="23">
        <x:f t="shared" si="8"/>
        <x:v>284.79531600000001</x:v>
      </x:c>
      <x:c r="CD20" s="23">
        <x:f t="shared" si="9"/>
        <x:v>6.5721995999999985</x:v>
      </x:c>
      <x:c r="CE20" s="23">
        <x:f t="shared" si="10"/>
        <x:v>6.5721995999999985</x:v>
      </x:c>
      <x:c r="CF20" s="23">
        <x:f t="shared" si="11"/>
        <x:v>0</x:v>
      </x:c>
      <x:c r="CG20" s="23">
        <x:f t="shared" si="12"/>
        <x:v>0</x:v>
      </x:c>
      <x:c r="CH20" s="23">
        <x:f t="shared" si="13"/>
        <x:v>4.3814664000000008</x:v>
      </x:c>
      <x:c r="CI20" s="23">
        <x:f t="shared" si="14"/>
        <x:v>0</x:v>
      </x:c>
      <x:c r="CJ20" s="24"/>
      <x:c r="CK20" s="25">
        <x:v>0</x:v>
      </x:c>
      <x:c r="CL20" s="26" t="s">
        <x:v>104</x:v>
      </x:c>
      <x:c r="CM20" s="28">
        <x:v>65</x:v>
      </x:c>
      <x:c r="CN20" s="27" t="s">
        <x:v>78</x:v>
      </x:c>
      <x:c r="CO20" s="27">
        <x:v>0</x:v>
      </x:c>
      <x:c r="CP20" s="27">
        <x:v>0</x:v>
      </x:c>
      <x:c r="CQ20" s="26">
        <x:f t="shared" si="15"/>
        <x:v>0.17525865600000001</x:v>
      </x:c>
      <x:c r="CR20" s="26">
        <x:f t="shared" si="16"/>
        <x:v>314.37021419999991</x:v>
      </x:c>
      <x:c r="CS20" s="26">
        <x:f t="shared" si="22"/>
        <x:v>284.79531600000001</x:v>
      </x:c>
      <x:c r="CT20" s="26">
        <x:f t="shared" si="17"/>
        <x:v>6.5721995999999985</x:v>
      </x:c>
      <x:c r="CU20" s="26">
        <x:f t="shared" si="18"/>
        <x:v>6.5721995999999985</x:v>
      </x:c>
      <x:c r="CV20" s="26">
        <x:f t="shared" si="19"/>
        <x:v>0</x:v>
      </x:c>
      <x:c r="CW20" s="26">
        <x:f t="shared" si="20"/>
        <x:v>0</x:v>
      </x:c>
      <x:c r="CX20" s="26">
        <x:f t="shared" si="23"/>
        <x:v>4.3814664000000008</x:v>
      </x:c>
      <x:c r="CY20" s="26">
        <x:f t="shared" si="24"/>
        <x:v>0</x:v>
      </x:c>
    </x:row>
    <x:row r="21">
      <x:c r="A21" s="18">
        <x:v>2022</x:v>
      </x:c>
      <x:c r="B21" t="s">
        <x:v>98</x:v>
      </x:c>
      <x:c r="C21" t="s">
        <x:v>99</x:v>
      </x:c>
      <x:c r="D21" t="s">
        <x:v>100</x:v>
      </x:c>
      <x:c r="E21" s="18">
        <x:v>440112</x:v>
      </x:c>
      <x:c r="F21" t="s">
        <x:v>101</x:v>
      </x:c>
      <x:c r="G21" t="s">
        <x:v>69</x:v>
      </x:c>
      <x:c r="H21" s="18">
        <x:v>4411</x:v>
      </x:c>
      <x:c r="I21" t="s">
        <x:v>102</x:v>
      </x:c>
      <x:c r="J21" t="s">
        <x:v>103</x:v>
      </x:c>
      <x:c r="K21" t="s">
        <x:v>80</x:v>
      </x:c>
      <x:c r="L21" s="18">
        <x:v>42.3</x:v>
      </x:c>
      <x:c r="M21" t="s">
        <x:v>78</x:v>
      </x:c>
      <x:c r="N21" s="18">
        <x:v>2481</x:v>
      </x:c>
      <x:c r="O21" t="s">
        <x:v>88</x:v>
      </x:c>
      <x:c r="P21" s="18">
        <x:v>15</x:v>
      </x:c>
      <x:c r="Q21" s="19" t="s">
        <x:v>96</x:v>
      </x:c>
      <x:c r="R21" s="18">
        <x:v>15579.237999999999</x:v>
      </x:c>
      <x:c r="S21" t="s">
        <x:v>76</x:v>
      </x:c>
      <x:c r="T21" s="19">
        <x:f t="shared" si="26"/>
        <x:v>15579.237999999999</x:v>
      </x:c>
      <x:c r="U21" s="20">
        <x:v>0.4</x:v>
      </x:c>
      <x:c r="V21" t="s">
        <x:v>77</x:v>
      </x:c>
      <x:c r="W21" s="20">
        <x:v>0</x:v>
      </x:c>
      <x:c r="X21" s="21">
        <x:f t="shared" si="0"/>
        <x:v>0.124633904</x:v>
      </x:c>
      <x:c r="Y21" s="21">
        <x:f t="shared" si="25"/>
        <x:v>638.74875799999995</x:v>
      </x:c>
      <x:c r="Z21" s="21">
        <x:f t="shared" si="2"/>
        <x:v>202.53009399999999</x:v>
      </x:c>
      <x:c r="AA21" s="21">
        <x:f t="shared" si="3"/>
        <x:v>4.6737713999999997</x:v>
      </x:c>
      <x:c r="AB21" s="21">
        <x:f t="shared" si="4"/>
        <x:v>4.6737713999999997</x:v>
      </x:c>
      <x:c r="AC21" s="21"/>
      <x:c r="AD21" s="21"/>
      <x:c r="AE21" s="21">
        <x:f t="shared" si="5"/>
        <x:v>3.1158475999999999</x:v>
      </x:c>
      <x:c r="AF21" s="21"/>
      <x:c r="AG21" s="19" t="s">
        <x:v>78</x:v>
      </x:c>
      <x:c r="AH21" t="s">
        <x:v>78</x:v>
      </x:c>
      <x:c r="AI21" t="s">
        <x:v>78</x:v>
      </x:c>
      <x:c r="AJ21" s="19"/>
      <x:c r="AK21" s="19" t="s">
        <x:v>78</x:v>
      </x:c>
      <x:c r="AL21" t="s">
        <x:v>78</x:v>
      </x:c>
      <x:c r="AM21" s="19" t="s">
        <x:v>78</x:v>
      </x:c>
      <x:c r="AN21" s="21"/>
      <x:c r="AO21" s="21"/>
      <x:c r="AP21" s="21"/>
      <x:c r="AQ21" s="21"/>
      <x:c r="AR21" s="21"/>
      <x:c r="AS21" s="21"/>
      <x:c r="AT21" s="21"/>
      <x:c r="AU21" s="21"/>
      <x:c r="AV21" s="21"/>
      <x:c r="AW21" t="s">
        <x:v>78</x:v>
      </x:c>
      <x:c r="AX21" s="19"/>
      <x:c r="AY21" s="21"/>
      <x:c r="AZ21" s="21"/>
      <x:c r="BA21" s="21"/>
      <x:c r="BB21" s="21"/>
      <x:c r="BC21" s="21"/>
      <x:c r="BD21" s="21"/>
      <x:c r="BE21" s="21"/>
      <x:c r="BF21" s="21"/>
      <x:c r="BG21" s="21"/>
      <x:c r="BH21" t="s">
        <x:v>82</x:v>
      </x:c>
      <x:c r="BI21" s="18">
        <x:v>113</x:v>
      </x:c>
      <x:c r="BJ21" s="18">
        <x:v>30</x:v>
      </x:c>
      <x:c r="BK21" s="18">
        <x:v>2.41</x:v>
      </x:c>
      <x:c r="BL21" s="18">
        <x:v>23</x:v>
      </x:c>
      <x:c r="BM21" s="18">
        <x:v>4</x:v>
      </x:c>
      <x:c r="BN21" s="18">
        <x:v>41.99</x:v>
      </x:c>
      <x:c r="BO21" s="22">
        <x:v>113.500669444444</x:v>
      </x:c>
      <x:c r="BP21" s="22">
        <x:v>23.078330555555599</x:v>
      </x:c>
      <x:c r="BQ21" s="18">
        <x:v>60</x:v>
      </x:c>
      <x:c r="BR21" s="18">
        <x:v>435757.20699999999</x:v>
      </x:c>
      <x:c r="BS21" s="18">
        <x:v>0.1</x:v>
      </x:c>
      <x:c r="BT21" s="18">
        <x:v>5.7000000000000002E-2</x:v>
      </x:c>
      <x:c r="BU21" s="18">
        <x:v>179.36199999999999</x:v>
      </x:c>
      <x:c r="BV21" s="18">
        <x:v>159.57</x:v>
      </x:c>
      <x:c r="BW21" s="18">
        <x:v>0</x:v>
      </x:c>
      <x:c r="BX21" s="18">
        <x:v>0</x:v>
      </x:c>
      <x:c r="BY21" t="s">
        <x:v>78</x:v>
      </x:c>
      <x:c r="BZ21" t="s">
        <x:v>78</x:v>
      </x:c>
      <x:c r="CA21" s="23">
        <x:f t="shared" si="6"/>
        <x:v>0.124633904</x:v>
      </x:c>
      <x:c r="CB21" s="23">
        <x:f t="shared" si="7"/>
        <x:v>638.74875799999995</x:v>
      </x:c>
      <x:c r="CC21" s="23">
        <x:f t="shared" si="8"/>
        <x:v>202.53009399999999</x:v>
      </x:c>
      <x:c r="CD21" s="23">
        <x:f t="shared" si="9"/>
        <x:v>4.6737713999999997</x:v>
      </x:c>
      <x:c r="CE21" s="23">
        <x:f t="shared" si="10"/>
        <x:v>4.6737713999999997</x:v>
      </x:c>
      <x:c r="CF21" s="23">
        <x:f t="shared" si="11"/>
        <x:v>0</x:v>
      </x:c>
      <x:c r="CG21" s="23">
        <x:f t="shared" si="12"/>
        <x:v>0</x:v>
      </x:c>
      <x:c r="CH21" s="23">
        <x:f t="shared" si="13"/>
        <x:v>3.1158475999999999</x:v>
      </x:c>
      <x:c r="CI21" s="23">
        <x:f t="shared" si="14"/>
        <x:v>0</x:v>
      </x:c>
      <x:c r="CJ21" s="24"/>
      <x:c r="CK21" s="25">
        <x:v>0</x:v>
      </x:c>
      <x:c r="CL21" s="26" t="s">
        <x:v>104</x:v>
      </x:c>
      <x:c r="CM21" s="28">
        <x:v>65</x:v>
      </x:c>
      <x:c r="CN21" s="27" t="s">
        <x:v>78</x:v>
      </x:c>
      <x:c r="CO21" s="27">
        <x:v>0</x:v>
      </x:c>
      <x:c r="CP21" s="27">
        <x:v>0</x:v>
      </x:c>
      <x:c r="CQ21" s="26">
        <x:f t="shared" si="15"/>
        <x:v>0.124633904</x:v>
      </x:c>
      <x:c r="CR21" s="26">
        <x:f t="shared" si="16"/>
        <x:v>223.56206529999997</x:v>
      </x:c>
      <x:c r="CS21" s="26">
        <x:f t="shared" si="22"/>
        <x:v>202.53009399999999</x:v>
      </x:c>
      <x:c r="CT21" s="26">
        <x:f t="shared" si="17"/>
        <x:v>4.6737713999999997</x:v>
      </x:c>
      <x:c r="CU21" s="26">
        <x:f t="shared" si="18"/>
        <x:v>4.6737713999999997</x:v>
      </x:c>
      <x:c r="CV21" s="26">
        <x:f t="shared" si="19"/>
        <x:v>0</x:v>
      </x:c>
      <x:c r="CW21" s="26">
        <x:f t="shared" si="20"/>
        <x:v>0</x:v>
      </x:c>
      <x:c r="CX21" s="26">
        <x:f t="shared" si="23"/>
        <x:v>3.1158475999999999</x:v>
      </x:c>
      <x:c r="CY21" s="26">
        <x:f t="shared" si="24"/>
        <x:v>0</x:v>
      </x:c>
    </x:row>
    <x:row r="22">
      <x:c r="A22" s="18">
        <x:v>2022</x:v>
      </x:c>
      <x:c r="B22" t="s">
        <x:v>105</x:v>
      </x:c>
      <x:c r="C22" t="s">
        <x:v>106</x:v>
      </x:c>
      <x:c r="D22" t="s">
        <x:v>107</x:v>
      </x:c>
      <x:c r="E22" s="18">
        <x:v>440112</x:v>
      </x:c>
      <x:c r="F22" t="s">
        <x:v>101</x:v>
      </x:c>
      <x:c r="G22" t="s">
        <x:v>69</x:v>
      </x:c>
      <x:c r="H22" s="18">
        <x:v>4412</x:v>
      </x:c>
      <x:c r="I22" t="s">
        <x:v>108</x:v>
      </x:c>
      <x:c r="J22" t="s">
        <x:v>78</x:v>
      </x:c>
      <x:c r="K22" t="s">
        <x:v>109</x:v>
      </x:c>
      <x:c r="L22" s="20">
        <x:v>21</x:v>
      </x:c>
      <x:c r="M22" t="s">
        <x:v>110</x:v>
      </x:c>
      <x:c r="N22" s="18">
        <x:v>680</x:v>
      </x:c>
      <x:c r="O22" t="s">
        <x:v>88</x:v>
      </x:c>
      <x:c r="P22" s="18">
        <x:v>4</x:v>
      </x:c>
      <x:c r="Q22" s="19" t="s">
        <x:v>111</x:v>
      </x:c>
      <x:c r="R22" s="18">
        <x:v>667153</x:v>
      </x:c>
      <x:c r="S22" t="s">
        <x:v>112</x:v>
      </x:c>
      <x:c r="T22" s="19">
        <x:f t="shared" si="26"/>
        <x:v>667153</x:v>
      </x:c>
      <x:c r="U22" s="20">
        <x:v>0.65</x:v>
      </x:c>
      <x:c r="V22" t="s">
        <x:v>113</x:v>
      </x:c>
      <x:c r="W22" s="20">
        <x:v>20.83</x:v>
      </x:c>
      <x:c r="X22" s="21" t="n">
        <x:f t="shared" ref="X22:X29" si="27">2*U22/100*(1-0.15)*T22</x:f>
        <x:v>7372.040650000001</x:v>
      </x:c>
      <x:c r="Y22" s="21" t="n">
        <x:f>8.96*T22/1000</x:f>
        <x:v>5977.690880000001</x:v>
      </x:c>
      <x:c r="Z22" s="21" t="n">
        <x:f t="shared" ref="Z22:Z29" si="28">2*T22/1000</x:f>
        <x:v>1334.306</x:v>
      </x:c>
      <x:c r="AA22" s="21" t="n">
        <x:f>W22/100*(1-0.25)*0.23*T22</x:f>
        <x:v>23971.974807750004</x:v>
      </x:c>
      <x:c r="AB22" s="21" t="n">
        <x:f>W22/100*(1-0.25)*0.06*T22</x:f>
        <x:v>6253.5586455</x:v>
      </x:c>
      <x:c r="AC22" s="21" t="n">
        <x:f>0.002*AB22</x:f>
        <x:v>12.507117291</x:v>
      </x:c>
      <x:c r="AD22" s="21"/>
      <x:c r="AE22" s="21" t="n">
        <x:f t="shared" ref="AE22:AE29" si="29">0.04*T22/1000</x:f>
        <x:v>26.68612</x:v>
      </x:c>
      <x:c r="AF22" s="21"/>
      <x:c r="AG22" s="19" t="s">
        <x:v>78</x:v>
      </x:c>
      <x:c r="AH22" t="s">
        <x:v>78</x:v>
      </x:c>
      <x:c r="AI22" t="s">
        <x:v>78</x:v>
      </x:c>
      <x:c r="AJ22" s="19"/>
      <x:c r="AK22" s="19" t="s">
        <x:v>78</x:v>
      </x:c>
      <x:c r="AL22" t="s">
        <x:v>78</x:v>
      </x:c>
      <x:c r="AM22" s="19" t="s">
        <x:v>78</x:v>
      </x:c>
      <x:c r="AN22" s="21"/>
      <x:c r="AO22" s="21"/>
      <x:c r="AP22" s="21"/>
      <x:c r="AQ22" s="21"/>
      <x:c r="AR22" s="21"/>
      <x:c r="AS22" s="21"/>
      <x:c r="AT22" s="21"/>
      <x:c r="AU22" s="21"/>
      <x:c r="AV22" s="21"/>
      <x:c r="AW22" t="s">
        <x:v>78</x:v>
      </x:c>
      <x:c r="AX22" s="19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t="s">
        <x:v>81</x:v>
      </x:c>
      <x:c r="BI22" s="18">
        <x:v>113</x:v>
      </x:c>
      <x:c r="BJ22" s="18">
        <x:v>29</x:v>
      </x:c>
      <x:c r="BK22" s="18">
        <x:v>53</x:v>
      </x:c>
      <x:c r="BL22" s="18">
        <x:v>23</x:v>
      </x:c>
      <x:c r="BM22" s="18">
        <x:v>3</x:v>
      </x:c>
      <x:c r="BN22" s="18">
        <x:v>55</x:v>
      </x:c>
      <x:c r="BO22" s="22">
        <x:v>113.49805555555599</x:v>
      </x:c>
      <x:c r="BP22" s="22">
        <x:v>23.065277777777801</x:v>
      </x:c>
      <x:c r="BQ22" s="18">
        <x:v>183</x:v>
      </x:c>
      <x:c r="BR22" s="18">
        <x:v>468403.71799999999</x:v>
      </x:c>
      <x:c r="BS22" s="18">
        <x:v>7354.6949999999997</x:v>
      </x:c>
      <x:c r="BT22" s="18">
        <x:v>82.480999999999995</x:v>
      </x:c>
      <x:c r="BU22" s="18">
        <x:v>1988.116</x:v>
      </x:c>
      <x:c r="BV22" s="18">
        <x:v>178.172</x:v>
      </x:c>
      <x:c r="BW22" s="18">
        <x:v>134840.89499999999</x:v>
      </x:c>
      <x:c r="BX22" s="18">
        <x:v>24.433</x:v>
      </x:c>
      <x:c r="BY22" s="18">
        <x:v>7872.4049999999997</x:v>
      </x:c>
      <x:c r="BZ22" s="18">
        <x:v>7872.4049999999997</x:v>
      </x:c>
      <x:c r="CA22" s="23">
        <x:f t="shared" si="6"/>
        <x:v>7372.0406500000008</x:v>
      </x:c>
      <x:c r="CB22" s="23">
        <x:f t="shared" si="7"/>
        <x:v>5463.9830699999993</x:v>
      </x:c>
      <x:c r="CC22" s="23">
        <x:f t="shared" si="8"/>
        <x:v>1334.306</x:v>
      </x:c>
      <x:c r="CD22" s="23">
        <x:f t="shared" si="9"/>
        <x:v>23971.974807750004</x:v>
      </x:c>
      <x:c r="CE22" s="23">
        <x:f t="shared" si="10"/>
        <x:v>6253.5586455000002</x:v>
      </x:c>
      <x:c r="CF22" s="23">
        <x:f t="shared" si="11"/>
        <x:v>12.507117291</x:v>
      </x:c>
      <x:c r="CG22" s="23">
        <x:f t="shared" si="12"/>
        <x:v>0</x:v>
      </x:c>
      <x:c r="CH22" s="23">
        <x:f t="shared" si="13"/>
        <x:v>26.686119999999999</x:v>
      </x:c>
      <x:c r="CI22" s="23">
        <x:f t="shared" si="14"/>
        <x:v>0</x:v>
      </x:c>
      <x:c r="CJ22" s="24" t="s">
        <x:v>114</x:v>
      </x:c>
      <x:c r="CK22" s="29">
        <x:v>99.11</x:v>
      </x:c>
      <x:c r="CL22" s="26" t="s">
        <x:v>104</x:v>
      </x:c>
      <x:c r="CM22" s="28">
        <x:v>85</x:v>
      </x:c>
      <x:c r="CN22" s="30" t="s">
        <x:v>115</x:v>
      </x:c>
      <x:c r="CO22" s="27">
        <x:v>99.4</x:v>
      </x:c>
      <x:c r="CP22" s="27">
        <x:v>98.3</x:v>
      </x:c>
      <x:c r="CQ22" s="26">
        <x:f t="shared" si="15"/>
        <x:v>65.611161785000149</x:v>
      </x:c>
      <x:c r="CR22" s="26">
        <x:f t="shared" si="16"/>
        <x:v>819.59746050000001</x:v>
      </x:c>
      <x:c r="CS22" s="26">
        <x:f t="shared" si="22"/>
        <x:v>1334.306</x:v>
      </x:c>
      <x:c r="CT22" s="26">
        <x:f t="shared" si="17"/>
        <x:v>143.83184884649748</x:v>
      </x:c>
      <x:c r="CU22" s="26">
        <x:f t="shared" si="18"/>
        <x:v>106.31049697350009</x:v>
      </x:c>
      <x:c r="CV22" s="26">
        <x:f t="shared" si="19"/>
        <x:v>0.21262099394700018</x:v>
      </x:c>
      <x:c r="CW22" s="26">
        <x:f t="shared" si="20"/>
        <x:v>0</x:v>
      </x:c>
      <x:c r="CX22" s="26">
        <x:f t="shared" si="23"/>
        <x:v>26.686119999999999</x:v>
      </x:c>
      <x:c r="CY22" s="26">
        <x:f t="shared" si="24"/>
        <x:v>0</x:v>
      </x:c>
    </x:row>
    <x:row r="23">
      <x:c r="A23" s="18">
        <x:v>2022</x:v>
      </x:c>
      <x:c r="B23" t="s">
        <x:v>105</x:v>
      </x:c>
      <x:c r="C23" t="s">
        <x:v>106</x:v>
      </x:c>
      <x:c r="D23" t="s">
        <x:v>107</x:v>
      </x:c>
      <x:c r="E23" s="18">
        <x:v>440112</x:v>
      </x:c>
      <x:c r="F23" t="s">
        <x:v>101</x:v>
      </x:c>
      <x:c r="G23" t="s">
        <x:v>69</x:v>
      </x:c>
      <x:c r="H23" s="18">
        <x:v>4412</x:v>
      </x:c>
      <x:c r="I23" t="s">
        <x:v>108</x:v>
      </x:c>
      <x:c r="J23" t="s">
        <x:v>78</x:v>
      </x:c>
      <x:c r="K23" t="s">
        <x:v>109</x:v>
      </x:c>
      <x:c r="L23" s="20">
        <x:v>21</x:v>
      </x:c>
      <x:c r="M23" t="s">
        <x:v>110</x:v>
      </x:c>
      <x:c r="N23" s="18">
        <x:v>680</x:v>
      </x:c>
      <x:c r="O23" t="s">
        <x:v>88</x:v>
      </x:c>
      <x:c r="P23" s="18">
        <x:v>4</x:v>
      </x:c>
      <x:c r="Q23" s="19" t="s">
        <x:v>111</x:v>
      </x:c>
      <x:c r="R23" s="18">
        <x:v>658693</x:v>
      </x:c>
      <x:c r="S23" t="s">
        <x:v>112</x:v>
      </x:c>
      <x:c r="T23" s="19" t="n">
        <x:f t="shared" ref="T23:T39" si="30">R23</x:f>
        <x:v>658693</x:v>
      </x:c>
      <x:c r="U23" s="20">
        <x:v>0.65</x:v>
      </x:c>
      <x:c r="V23" t="s">
        <x:v>113</x:v>
      </x:c>
      <x:c r="W23" s="20">
        <x:v>20.9</x:v>
      </x:c>
      <x:c r="X23" s="21">
        <x:f t="shared" si="27"/>
        <x:v>7278.5576500000006</x:v>
      </x:c>
      <x:c r="Y23" s="21" t="n">
        <x:f>8.19*T23/1000</x:f>
        <x:v>5394.69567</x:v>
      </x:c>
      <x:c r="Z23" s="21">
        <x:f t="shared" si="28"/>
        <x:v>1317.386</x:v>
      </x:c>
      <x:c r="AA23" s="21" t="n">
        <x:f>W23/100*(1-0.25)*0.23*T23</x:f>
        <x:v>23747.5293825</x:v>
      </x:c>
      <x:c r="AB23" s="21" t="n">
        <x:f>W23/100*(1-0.25)*0.06*T23</x:f>
        <x:v>6195.007665</x:v>
      </x:c>
      <x:c r="AC23" s="21" t="n">
        <x:f t="shared" ref="AC23:AC27" si="31">0.002*AB23</x:f>
        <x:v>12.39001533</x:v>
      </x:c>
      <x:c r="AD23" s="21"/>
      <x:c r="AE23" s="21">
        <x:f t="shared" si="29"/>
        <x:v>26.347720000000002</x:v>
      </x:c>
      <x:c r="AF23" s="21"/>
      <x:c r="AG23" s="19" t="s">
        <x:v>78</x:v>
      </x:c>
      <x:c r="AH23" t="s">
        <x:v>78</x:v>
      </x:c>
      <x:c r="AI23" t="s">
        <x:v>78</x:v>
      </x:c>
      <x:c r="AJ23" s="19"/>
      <x:c r="AK23" s="19" t="s">
        <x:v>78</x:v>
      </x:c>
      <x:c r="AL23" t="s">
        <x:v>78</x:v>
      </x:c>
      <x:c r="AM23" s="19" t="s">
        <x:v>78</x:v>
      </x:c>
      <x:c r="AN23" s="21"/>
      <x:c r="AO23" s="21"/>
      <x:c r="AP23" s="21"/>
      <x:c r="AQ23" s="21"/>
      <x:c r="AR23" s="21"/>
      <x:c r="AS23" s="21"/>
      <x:c r="AT23" s="21"/>
      <x:c r="AU23" s="21"/>
      <x:c r="AV23" s="21"/>
      <x:c r="AW23" t="s">
        <x:v>78</x:v>
      </x:c>
      <x:c r="AX23" s="19"/>
      <x:c r="AY23" s="21"/>
      <x:c r="AZ23" s="21"/>
      <x:c r="BA23" s="21"/>
      <x:c r="BB23" s="21"/>
      <x:c r="BC23" s="21"/>
      <x:c r="BD23" s="21"/>
      <x:c r="BE23" s="21"/>
      <x:c r="BF23" s="21"/>
      <x:c r="BG23" s="21"/>
      <x:c r="BH23" t="s">
        <x:v>81</x:v>
      </x:c>
      <x:c r="BI23" s="18">
        <x:v>113</x:v>
      </x:c>
      <x:c r="BJ23" s="18">
        <x:v>29</x:v>
      </x:c>
      <x:c r="BK23" s="18">
        <x:v>53</x:v>
      </x:c>
      <x:c r="BL23" s="18">
        <x:v>23</x:v>
      </x:c>
      <x:c r="BM23" s="18">
        <x:v>3</x:v>
      </x:c>
      <x:c r="BN23" s="18">
        <x:v>55</x:v>
      </x:c>
      <x:c r="BO23" s="22">
        <x:v>113.49805555555599</x:v>
      </x:c>
      <x:c r="BP23" s="22">
        <x:v>23.065277777777801</x:v>
      </x:c>
      <x:c r="BQ23" s="18">
        <x:v>183</x:v>
      </x:c>
      <x:c r="BR23" s="18">
        <x:v>463553.23700000002</x:v>
      </x:c>
      <x:c r="BS23" s="18">
        <x:v>7261.4319999999998</x:v>
      </x:c>
      <x:c r="BT23" s="18">
        <x:v>81.88</x:v>
      </x:c>
      <x:c r="BU23" s="18">
        <x:v>1962.905</x:v>
      </x:c>
      <x:c r="BV23" s="18">
        <x:v>178.82499999999999</x:v>
      </x:c>
      <x:c r="BW23" s="18">
        <x:v>133561.204</x:v>
      </x:c>
      <x:c r="BX23" s="18">
        <x:v>24.344000000000001</x:v>
      </x:c>
      <x:c r="BY23" s="18">
        <x:v>7772.5770000000002</x:v>
      </x:c>
      <x:c r="BZ23" s="18">
        <x:v>7772.5770000000002</x:v>
      </x:c>
      <x:c r="CA23" s="23">
        <x:f t="shared" si="6"/>
        <x:v>7278.5576500000006</x:v>
      </x:c>
      <x:c r="CB23" s="23">
        <x:f t="shared" si="7"/>
        <x:v>5394.6956700000001</x:v>
      </x:c>
      <x:c r="CC23" s="23">
        <x:f t="shared" si="8"/>
        <x:v>1317.386</x:v>
      </x:c>
      <x:c r="CD23" s="23">
        <x:f t="shared" si="9"/>
        <x:v>23747.529382500001</x:v>
      </x:c>
      <x:c r="CE23" s="23">
        <x:f t="shared" si="10"/>
        <x:v>6195.0076650000001</x:v>
      </x:c>
      <x:c r="CF23" s="23">
        <x:f t="shared" si="11"/>
        <x:v>12.390015330000001</x:v>
      </x:c>
      <x:c r="CG23" s="23">
        <x:f t="shared" si="12"/>
        <x:v>0</x:v>
      </x:c>
      <x:c r="CH23" s="23">
        <x:f t="shared" si="13"/>
        <x:v>26.347720000000002</x:v>
      </x:c>
      <x:c r="CI23" s="23">
        <x:f t="shared" si="14"/>
        <x:v>0</x:v>
      </x:c>
      <x:c r="CJ23" s="24" t="s">
        <x:v>114</x:v>
      </x:c>
      <x:c r="CK23" s="29">
        <x:v>99.11</x:v>
      </x:c>
      <x:c r="CL23" s="26" t="s">
        <x:v>104</x:v>
      </x:c>
      <x:c r="CM23" s="28">
        <x:v>85</x:v>
      </x:c>
      <x:c r="CN23" s="30" t="s">
        <x:v>115</x:v>
      </x:c>
      <x:c r="CO23" s="27">
        <x:v>99.4</x:v>
      </x:c>
      <x:c r="CP23" s="27">
        <x:v>98.3</x:v>
      </x:c>
      <x:c r="CQ23" s="26">
        <x:f t="shared" si="15"/>
        <x:v>64.77916308500015</x:v>
      </x:c>
      <x:c r="CR23" s="26">
        <x:f t="shared" si="16"/>
        <x:v>809.20435050000015</x:v>
      </x:c>
      <x:c r="CS23" s="26">
        <x:f t="shared" si="22"/>
        <x:v>1317.386</x:v>
      </x:c>
      <x:c r="CT23" s="26" t="n">
        <x:f t="shared" ref="CT23:CT29" si="32">CD23*(1-CO23/100)</x:f>
        <x:v>142.4851762949975</x:v>
      </x:c>
      <x:c r="CU23" s="26" t="n">
        <x:f t="shared" ref="CU23:CU29" si="33">CE23*(1-CP23/100)</x:f>
        <x:v>105.3151303050001</x:v>
      </x:c>
      <x:c r="CV23" s="26" t="n">
        <x:f t="shared" ref="CV23:CV29" si="34">CF23*(1-CP23/100)</x:f>
        <x:v>0.2106302606100002</x:v>
      </x:c>
      <x:c r="CW23" s="26" t="n">
        <x:f t="shared" ref="CW23:CW29" si="35">CG23*(1-CP23/100)</x:f>
        <x:v>0</x:v>
      </x:c>
      <x:c r="CX23" s="26">
        <x:f t="shared" si="23"/>
        <x:v>26.347720000000002</x:v>
      </x:c>
      <x:c r="CY23" s="26">
        <x:f t="shared" si="24"/>
        <x:v>0</x:v>
      </x:c>
    </x:row>
    <x:row r="24">
      <x:c r="A24" s="18">
        <x:v>2022</x:v>
      </x:c>
      <x:c r="B24" t="s">
        <x:v>116</x:v>
      </x:c>
      <x:c r="C24" t="s">
        <x:v>117</x:v>
      </x:c>
      <x:c r="D24" t="s">
        <x:v>118</x:v>
      </x:c>
      <x:c r="E24" s="18">
        <x:v>440112</x:v>
      </x:c>
      <x:c r="F24" t="s">
        <x:v>101</x:v>
      </x:c>
      <x:c r="G24" t="s">
        <x:v>69</x:v>
      </x:c>
      <x:c r="H24" s="18">
        <x:v>2511</x:v>
      </x:c>
      <x:c r="I24" t="s">
        <x:v>119</x:v>
      </x:c>
      <x:c r="J24" t="s">
        <x:v>120</x:v>
      </x:c>
      <x:c r="K24" t="s">
        <x:v>109</x:v>
      </x:c>
      <x:c r="L24" s="20">
        <x:v>2.5</x:v>
      </x:c>
      <x:c r="M24" t="s">
        <x:v>110</x:v>
      </x:c>
      <x:c r="N24" s="18">
        <x:v>220</x:v>
      </x:c>
      <x:c r="O24" t="s">
        <x:v>88</x:v>
      </x:c>
      <x:c r="P24" s="18">
        <x:v>1</x:v>
      </x:c>
      <x:c r="Q24" s="19" t="s">
        <x:v>121</x:v>
      </x:c>
      <x:c r="R24" s="18">
        <x:v>168854</x:v>
      </x:c>
      <x:c r="S24" t="s">
        <x:v>112</x:v>
      </x:c>
      <x:c r="T24" s="19">
        <x:f t="shared" si="30"/>
        <x:v>168854</x:v>
      </x:c>
      <x:c r="U24" s="20">
        <x:v>0.55000000000000004</x:v>
      </x:c>
      <x:c r="V24" t="s">
        <x:v>113</x:v>
      </x:c>
      <x:c r="W24" s="20">
        <x:v>22.17</x:v>
      </x:c>
      <x:c r="X24" s="21">
        <x:f t="shared" si="27"/>
        <x:v>1578.7849000000001</x:v>
      </x:c>
      <x:c r="Y24" s="21" t="n">
        <x:f>8.96*T24/1000</x:f>
        <x:v>1512.9318400000002</x:v>
      </x:c>
      <x:c r="Z24" s="21">
        <x:f t="shared" si="28"/>
        <x:v>337.70800000000003</x:v>
      </x:c>
      <x:c r="AA24" s="21" t="n">
        <x:f>W24/100*(1-0.25)*0.23*T24</x:f>
        <x:v>6457.525735500001</x:v>
      </x:c>
      <x:c r="AB24" s="21" t="n">
        <x:f>W24/100*(1-0.25)*0.06*T24</x:f>
        <x:v>1684.571931</x:v>
      </x:c>
      <x:c r="AC24" s="21">
        <x:f t="shared" si="31"/>
        <x:v>3.369143862</x:v>
      </x:c>
      <x:c r="AD24" s="21"/>
      <x:c r="AE24" s="21">
        <x:f t="shared" si="29"/>
        <x:v>6.7541599999999997</x:v>
      </x:c>
      <x:c r="AF24" s="21"/>
      <x:c r="AG24" s="19" t="s">
        <x:v>78</x:v>
      </x:c>
      <x:c r="AH24" t="s">
        <x:v>78</x:v>
      </x:c>
      <x:c r="AI24" t="s">
        <x:v>78</x:v>
      </x:c>
      <x:c r="AJ24" s="19"/>
      <x:c r="AK24" s="19" t="s">
        <x:v>78</x:v>
      </x:c>
      <x:c r="AL24" t="s">
        <x:v>78</x:v>
      </x:c>
      <x:c r="AM24" s="19" t="s">
        <x:v>78</x:v>
      </x:c>
      <x:c r="AN24" s="21"/>
      <x:c r="AO24" s="21"/>
      <x:c r="AP24" s="21"/>
      <x:c r="AQ24" s="21"/>
      <x:c r="AR24" s="21"/>
      <x:c r="AS24" s="21"/>
      <x:c r="AT24" s="21"/>
      <x:c r="AU24" s="21"/>
      <x:c r="AV24" s="21"/>
      <x:c r="AW24" t="s">
        <x:v>78</x:v>
      </x:c>
      <x:c r="AX24" s="19"/>
      <x:c r="AY24" s="21"/>
      <x:c r="AZ24" s="21"/>
      <x:c r="BA24" s="21"/>
      <x:c r="BB24" s="21"/>
      <x:c r="BC24" s="21"/>
      <x:c r="BD24" s="21"/>
      <x:c r="BE24" s="21"/>
      <x:c r="BF24" s="21"/>
      <x:c r="BG24" s="21"/>
      <x:c r="BH24" t="s">
        <x:v>81</x:v>
      </x:c>
      <x:c r="BI24" s="18">
        <x:v>113</x:v>
      </x:c>
      <x:c r="BJ24" s="18">
        <x:v>28</x:v>
      </x:c>
      <x:c r="BK24" s="18">
        <x:v>13.19</x:v>
      </x:c>
      <x:c r="BL24" s="18">
        <x:v>23</x:v>
      </x:c>
      <x:c r="BM24" s="18">
        <x:v>7</x:v>
      </x:c>
      <x:c r="BN24" s="18">
        <x:v>4.04</x:v>
      </x:c>
      <x:c r="BO24" s="22">
        <x:v>113.470330555556</x:v>
      </x:c>
      <x:c r="BP24" s="22">
        <x:v>23.117788888888899</x:v>
      </x:c>
      <x:c r="BQ24" s="18">
        <x:v>150</x:v>
      </x:c>
      <x:c r="BR24" s="18">
        <x:v>134440.06</x:v>
      </x:c>
      <x:c r="BS24" s="18">
        <x:v>1570.6569999999999</x:v>
      </x:c>
      <x:c r="BT24" s="18">
        <x:v>0.38600000000000001</x:v>
      </x:c>
      <x:c r="BU24" s="18">
        <x:v>521.75900000000001</x:v>
      </x:c>
      <x:c r="BV24" s="18">
        <x:v>15.643000000000001</x:v>
      </x:c>
      <x:c r="BW24" s="18">
        <x:v>4679.366</x:v>
      </x:c>
      <x:c r="BX24" s="18">
        <x:v>1.155</x:v>
      </x:c>
      <x:c r="BY24" s="18">
        <x:v>1166.7809999999999</x:v>
      </x:c>
      <x:c r="BZ24" s="18">
        <x:v>1166.7809999999999</x:v>
      </x:c>
      <x:c r="CA24" s="23">
        <x:f t="shared" si="6"/>
        <x:v>1578.7849000000001</x:v>
      </x:c>
      <x:c r="CB24" s="23">
        <x:f t="shared" si="7"/>
        <x:v>1512.9318400000002</x:v>
      </x:c>
      <x:c r="CC24" s="23">
        <x:f t="shared" si="8"/>
        <x:v>337.70800000000003</x:v>
      </x:c>
      <x:c r="CD24" s="23">
        <x:f t="shared" si="9"/>
        <x:v>6457.5257355000012</x:v>
      </x:c>
      <x:c r="CE24" s="23">
        <x:f t="shared" si="10"/>
        <x:v>1684.5719309999999</x:v>
      </x:c>
      <x:c r="CF24" s="23">
        <x:f t="shared" si="11"/>
        <x:v>3.369143862</x:v>
      </x:c>
      <x:c r="CG24" s="23">
        <x:f t="shared" si="12"/>
        <x:v>0</x:v>
      </x:c>
      <x:c r="CH24" s="23">
        <x:f t="shared" si="13"/>
        <x:v>6.7541599999999997</x:v>
      </x:c>
      <x:c r="CI24" s="23">
        <x:f t="shared" si="14"/>
        <x:v>0</x:v>
      </x:c>
      <x:c r="CJ24" s="24" t="s">
        <x:v>122</x:v>
      </x:c>
      <x:c r="CK24" s="25">
        <x:v>95</x:v>
      </x:c>
      <x:c r="CL24" s="26" t="s">
        <x:v>123</x:v>
      </x:c>
      <x:c r="CM24" s="26">
        <x:v>94.9</x:v>
      </x:c>
      <x:c r="CN24" s="27" t="s">
        <x:v>124</x:v>
      </x:c>
      <x:c r="CO24" s="27">
        <x:v>99.8</x:v>
      </x:c>
      <x:c r="CP24" s="27">
        <x:v>99.6</x:v>
      </x:c>
      <x:c r="CQ24" s="26">
        <x:f t="shared" si="15"/>
        <x:v>78.939245000000071</x:v>
      </x:c>
      <x:c r="CR24" s="26">
        <x:f t="shared" si="16"/>
        <x:v>77.159523839999906</x:v>
      </x:c>
      <x:c r="CS24" s="26">
        <x:f t="shared" si="22"/>
        <x:v>337.70800000000003</x:v>
      </x:c>
      <x:c r="CT24" s="26">
        <x:f t="shared" si="32"/>
        <x:v>12.915051471000014</x:v>
      </x:c>
      <x:c r="CU24" s="26">
        <x:f t="shared" si="33"/>
        <x:v>6.7382877240000054</x:v>
      </x:c>
      <x:c r="CV24" s="26">
        <x:f t="shared" si="34"/>
        <x:v>1.3476575448000011E-2</x:v>
      </x:c>
      <x:c r="CW24" s="26">
        <x:f t="shared" si="35"/>
        <x:v>0</x:v>
      </x:c>
      <x:c r="CX24" s="26">
        <x:f t="shared" si="23"/>
        <x:v>6.7541599999999997</x:v>
      </x:c>
      <x:c r="CY24" s="26">
        <x:f t="shared" si="24"/>
        <x:v>0</x:v>
      </x:c>
    </x:row>
    <x:row r="25">
      <x:c r="A25" s="18">
        <x:v>2022</x:v>
      </x:c>
      <x:c r="B25" t="s">
        <x:v>116</x:v>
      </x:c>
      <x:c r="C25" t="s">
        <x:v>117</x:v>
      </x:c>
      <x:c r="D25" t="s">
        <x:v>118</x:v>
      </x:c>
      <x:c r="E25" s="18">
        <x:v>440112</x:v>
      </x:c>
      <x:c r="F25" t="s">
        <x:v>101</x:v>
      </x:c>
      <x:c r="G25" t="s">
        <x:v>69</x:v>
      </x:c>
      <x:c r="H25" s="18">
        <x:v>2511</x:v>
      </x:c>
      <x:c r="I25" t="s">
        <x:v>119</x:v>
      </x:c>
      <x:c r="J25" t="s">
        <x:v>120</x:v>
      </x:c>
      <x:c r="K25" t="s">
        <x:v>109</x:v>
      </x:c>
      <x:c r="L25" s="20">
        <x:v>1.2</x:v>
      </x:c>
      <x:c r="M25" t="s">
        <x:v>110</x:v>
      </x:c>
      <x:c r="N25" s="18">
        <x:v>220</x:v>
      </x:c>
      <x:c r="O25" t="s">
        <x:v>88</x:v>
      </x:c>
      <x:c r="P25" s="18">
        <x:v>1</x:v>
      </x:c>
      <x:c r="Q25" s="19" t="s">
        <x:v>121</x:v>
      </x:c>
      <x:c r="R25" s="18">
        <x:v>116816</x:v>
      </x:c>
      <x:c r="S25" t="s">
        <x:v>112</x:v>
      </x:c>
      <x:c r="T25" s="19">
        <x:f t="shared" si="30"/>
        <x:v>116816</x:v>
      </x:c>
      <x:c r="U25" s="20">
        <x:v>0.55000000000000004</x:v>
      </x:c>
      <x:c r="V25" t="s">
        <x:v>113</x:v>
      </x:c>
      <x:c r="W25" s="20">
        <x:v>22.17</x:v>
      </x:c>
      <x:c r="X25" s="21">
        <x:f t="shared" si="27"/>
        <x:v>1092.2296000000001</x:v>
      </x:c>
      <x:c r="Y25" s="21" t="n">
        <x:f>8.96*T25/1000</x:f>
        <x:v>1046.67136</x:v>
      </x:c>
      <x:c r="Z25" s="21">
        <x:f t="shared" si="28"/>
        <x:v>233.63200000000001</x:v>
      </x:c>
      <x:c r="AA25" s="21" t="n">
        <x:f>W25/100*(1-0.25)*0.23*T25</x:f>
        <x:v>4467.423492000001</x:v>
      </x:c>
      <x:c r="AB25" s="21" t="n">
        <x:f>W25/100*(1-0.25)*0.06*T25</x:f>
        <x:v>1165.414824</x:v>
      </x:c>
      <x:c r="AC25" s="21">
        <x:f t="shared" si="31"/>
        <x:v>2.3308296479999999</x:v>
      </x:c>
      <x:c r="AD25" s="21"/>
      <x:c r="AE25" s="21">
        <x:f t="shared" si="29"/>
        <x:v>4.6726400000000003</x:v>
      </x:c>
      <x:c r="AF25" s="21"/>
      <x:c r="AG25" s="19" t="s">
        <x:v>78</x:v>
      </x:c>
      <x:c r="AH25" t="s">
        <x:v>78</x:v>
      </x:c>
      <x:c r="AI25" t="s">
        <x:v>78</x:v>
      </x:c>
      <x:c r="AJ25" s="19"/>
      <x:c r="AK25" s="19" t="s">
        <x:v>78</x:v>
      </x:c>
      <x:c r="AL25" t="s">
        <x:v>78</x:v>
      </x:c>
      <x:c r="AM25" s="19" t="s">
        <x:v>78</x:v>
      </x:c>
      <x:c r="AN25" s="21"/>
      <x:c r="AO25" s="21"/>
      <x:c r="AP25" s="21"/>
      <x:c r="AQ25" s="21"/>
      <x:c r="AR25" s="21"/>
      <x:c r="AS25" s="21"/>
      <x:c r="AT25" s="21"/>
      <x:c r="AU25" s="21"/>
      <x:c r="AV25" s="21"/>
      <x:c r="AW25" t="s">
        <x:v>78</x:v>
      </x:c>
      <x:c r="AX25" s="19"/>
      <x:c r="AY25" s="21"/>
      <x:c r="AZ25" s="21"/>
      <x:c r="BA25" s="21"/>
      <x:c r="BB25" s="21"/>
      <x:c r="BC25" s="21"/>
      <x:c r="BD25" s="21"/>
      <x:c r="BE25" s="21"/>
      <x:c r="BF25" s="21"/>
      <x:c r="BG25" s="21"/>
      <x:c r="BH25" t="s">
        <x:v>79</x:v>
      </x:c>
      <x:c r="BI25" s="18">
        <x:v>113</x:v>
      </x:c>
      <x:c r="BJ25" s="18">
        <x:v>28</x:v>
      </x:c>
      <x:c r="BK25" s="18">
        <x:v>13.19</x:v>
      </x:c>
      <x:c r="BL25" s="18">
        <x:v>23</x:v>
      </x:c>
      <x:c r="BM25" s="18">
        <x:v>7</x:v>
      </x:c>
      <x:c r="BN25" s="18">
        <x:v>4.04</x:v>
      </x:c>
      <x:c r="BO25" s="22">
        <x:v>113.470330555556</x:v>
      </x:c>
      <x:c r="BP25" s="22">
        <x:v>23.117788888888899</x:v>
      </x:c>
      <x:c r="BQ25" s="18">
        <x:v>150</x:v>
      </x:c>
      <x:c r="BR25" s="18">
        <x:v>106230.086</x:v>
      </x:c>
      <x:c r="BS25" s="18">
        <x:v>1200.184</x:v>
      </x:c>
      <x:c r="BT25" s="18">
        <x:v>0.08</x:v>
      </x:c>
      <x:c r="BU25" s="18">
        <x:v>360.96100000000001</x:v>
      </x:c>
      <x:c r="BV25" s="18">
        <x:v>13.553000000000001</x:v>
      </x:c>
      <x:c r="BW25" s="18">
        <x:v>3237.2629999999999</x:v>
      </x:c>
      <x:c r="BX25" s="18">
        <x:v>1.657</x:v>
      </x:c>
      <x:c r="BY25" s="18">
        <x:v>807.19899999999996</x:v>
      </x:c>
      <x:c r="BZ25" s="18">
        <x:v>807.19899999999996</x:v>
      </x:c>
      <x:c r="CA25" s="23">
        <x:f t="shared" si="6"/>
        <x:v>1092.2296000000001</x:v>
      </x:c>
      <x:c r="CB25" s="23">
        <x:f t="shared" si="7"/>
        <x:v>1046.67136</x:v>
      </x:c>
      <x:c r="CC25" s="23">
        <x:f t="shared" si="8"/>
        <x:v>233.63200000000001</x:v>
      </x:c>
      <x:c r="CD25" s="23">
        <x:f t="shared" si="9"/>
        <x:v>4467.4234920000008</x:v>
      </x:c>
      <x:c r="CE25" s="23">
        <x:f t="shared" si="10"/>
        <x:v>1165.414824</x:v>
      </x:c>
      <x:c r="CF25" s="23">
        <x:f t="shared" si="11"/>
        <x:v>2.3308296479999999</x:v>
      </x:c>
      <x:c r="CG25" s="23">
        <x:f t="shared" si="12"/>
        <x:v>0</x:v>
      </x:c>
      <x:c r="CH25" s="23">
        <x:f t="shared" si="13"/>
        <x:v>4.6726400000000003</x:v>
      </x:c>
      <x:c r="CI25" s="23">
        <x:f t="shared" si="14"/>
        <x:v>0</x:v>
      </x:c>
      <x:c r="CJ25" s="24" t="s">
        <x:v>122</x:v>
      </x:c>
      <x:c r="CK25" s="25">
        <x:v>95</x:v>
      </x:c>
      <x:c r="CL25" s="26" t="s">
        <x:v>123</x:v>
      </x:c>
      <x:c r="CM25" s="26">
        <x:v>94.9</x:v>
      </x:c>
      <x:c r="CN25" s="27" t="s">
        <x:v>124</x:v>
      </x:c>
      <x:c r="CO25" s="27">
        <x:v>99.8</x:v>
      </x:c>
      <x:c r="CP25" s="27">
        <x:v>99.6</x:v>
      </x:c>
      <x:c r="CQ25" s="26">
        <x:f t="shared" si="15"/>
        <x:v>54.611480000000057</x:v>
      </x:c>
      <x:c r="CR25" s="26">
        <x:f t="shared" si="16"/>
        <x:v>53.380239359999933</x:v>
      </x:c>
      <x:c r="CS25" s="26">
        <x:f t="shared" si="22"/>
        <x:v>233.63200000000001</x:v>
      </x:c>
      <x:c r="CT25" s="26">
        <x:f t="shared" si="32"/>
        <x:v>8.9348469840000089</x:v>
      </x:c>
      <x:c r="CU25" s="26">
        <x:f t="shared" si="33"/>
        <x:v>4.6616592960000043</x:v>
      </x:c>
      <x:c r="CV25" s="26">
        <x:f t="shared" si="34"/>
        <x:v>9.3233185920000086E-3</x:v>
      </x:c>
      <x:c r="CW25" s="26">
        <x:f t="shared" si="35"/>
        <x:v>0</x:v>
      </x:c>
      <x:c r="CX25" s="26">
        <x:f t="shared" si="23"/>
        <x:v>4.6726400000000003</x:v>
      </x:c>
      <x:c r="CY25" s="26">
        <x:f t="shared" si="24"/>
        <x:v>0</x:v>
      </x:c>
    </x:row>
    <x:row r="26">
      <x:c r="A26" s="18">
        <x:v>2022</x:v>
      </x:c>
      <x:c r="B26" t="s">
        <x:v>116</x:v>
      </x:c>
      <x:c r="C26" t="s">
        <x:v>117</x:v>
      </x:c>
      <x:c r="D26" t="s">
        <x:v>118</x:v>
      </x:c>
      <x:c r="E26" s="18">
        <x:v>440112</x:v>
      </x:c>
      <x:c r="F26" t="s">
        <x:v>101</x:v>
      </x:c>
      <x:c r="G26" t="s">
        <x:v>69</x:v>
      </x:c>
      <x:c r="H26" s="18">
        <x:v>2511</x:v>
      </x:c>
      <x:c r="I26" t="s">
        <x:v>119</x:v>
      </x:c>
      <x:c r="J26" t="s">
        <x:v>120</x:v>
      </x:c>
      <x:c r="K26" t="s">
        <x:v>109</x:v>
      </x:c>
      <x:c r="L26" s="20">
        <x:v>10</x:v>
      </x:c>
      <x:c r="M26" t="s">
        <x:v>125</x:v>
      </x:c>
      <x:c r="N26" s="18">
        <x:v>420</x:v>
      </x:c>
      <x:c r="O26" t="s">
        <x:v>88</x:v>
      </x:c>
      <x:c r="P26" s="18">
        <x:v>1</x:v>
      </x:c>
      <x:c r="Q26" s="19" t="s">
        <x:v>121</x:v>
      </x:c>
      <x:c r="R26" s="18">
        <x:v>35776</x:v>
      </x:c>
      <x:c r="S26" t="s">
        <x:v>112</x:v>
      </x:c>
      <x:c r="T26" s="19">
        <x:f t="shared" si="30"/>
        <x:v>35776</x:v>
      </x:c>
      <x:c r="U26" s="20">
        <x:v>0.56000000000000005</x:v>
      </x:c>
      <x:c r="V26" t="s">
        <x:v>113</x:v>
      </x:c>
      <x:c r="W26" s="20">
        <x:v>22.53</x:v>
      </x:c>
      <x:c r="X26" s="21">
        <x:f t="shared" si="27"/>
        <x:v>340.58752000000004</x:v>
      </x:c>
      <x:c r="Y26" s="21" t="n">
        <x:f>8.96*T26/1000</x:f>
        <x:v>320.55296000000004</x:v>
      </x:c>
      <x:c r="Z26" s="21">
        <x:f t="shared" si="28"/>
        <x:v>71.552000000000007</x:v>
      </x:c>
      <x:c r="AA26" s="21" t="n">
        <x:f>W26/100*(1-0.44)*0.29*T26</x:f>
        <x:v>1308.99804672</x:v>
      </x:c>
      <x:c r="AB26" s="21" t="n">
        <x:f>W26/100*(1-0.44)*0.07*T26</x:f>
        <x:v>315.96504576</x:v>
      </x:c>
      <x:c r="AC26" s="21">
        <x:f t="shared" si="31"/>
        <x:v>0.63193009152000001</x:v>
      </x:c>
      <x:c r="AD26" s="21"/>
      <x:c r="AE26" s="21">
        <x:f t="shared" si="29"/>
        <x:v>1.4310399999999999</x:v>
      </x:c>
      <x:c r="AF26" s="21"/>
      <x:c r="AG26" s="19" t="s">
        <x:v>126</x:v>
      </x:c>
      <x:c r="AH26" s="18">
        <x:v>223153</x:v>
      </x:c>
      <x:c r="AI26" t="s">
        <x:v>112</x:v>
      </x:c>
      <x:c r="AJ26" s="19" t="n">
        <x:f>AH26</x:f>
        <x:v>223153</x:v>
      </x:c>
      <x:c r="AK26" s="20">
        <x:v>5.66</x:v>
      </x:c>
      <x:c r="AL26" t="s">
        <x:v>113</x:v>
      </x:c>
      <x:c r="AM26" s="20">
        <x:v>1.89</x:v>
      </x:c>
      <x:c r="AN26" s="21" t="n">
        <x:f>2*AK26/100*(1-0.15)*AJ26</x:f>
        <x:v>21471.78166</x:v>
      </x:c>
      <x:c r="AO26" s="21" t="n">
        <x:f>8.85*AJ26/1000</x:f>
        <x:v>1974.9040499999999</x:v>
      </x:c>
      <x:c r="AP26" s="21" t="n">
        <x:f>2*AJ26/1000</x:f>
        <x:v>446.306</x:v>
      </x:c>
      <x:c r="AQ26" s="21" t="n">
        <x:f>AM26/100*(1-0.44)*0.29*AJ26</x:f>
        <x:v>684.93689208</x:v>
      </x:c>
      <x:c r="AR26" s="21" t="n">
        <x:f>AM26/100*(1-0.44)*0.07*AJ26</x:f>
        <x:v>165.32959464000004</x:v>
      </x:c>
      <x:c r="AS26" s="21" t="n">
        <x:f>0.002*AR26</x:f>
        <x:v>0.3306591892800001</x:v>
      </x:c>
      <x:c r="AT26" s="21"/>
      <x:c r="AU26" s="21" t="n">
        <x:f>0.04*AJ26/1000</x:f>
        <x:v>8.926120000000001</x:v>
      </x:c>
      <x:c r="AV26" s="21"/>
      <x:c r="AW26" t="s">
        <x:v>78</x:v>
      </x:c>
      <x:c r="AX26" s="19"/>
      <x:c r="AY26" s="21"/>
      <x:c r="AZ26" s="21"/>
      <x:c r="BA26" s="21"/>
      <x:c r="BB26" s="21"/>
      <x:c r="BC26" s="21"/>
      <x:c r="BD26" s="21"/>
      <x:c r="BE26" s="21"/>
      <x:c r="BF26" s="21"/>
      <x:c r="BG26" s="21"/>
      <x:c r="BH26" t="s">
        <x:v>82</x:v>
      </x:c>
      <x:c r="BI26" s="18">
        <x:v>113</x:v>
      </x:c>
      <x:c r="BJ26" s="18">
        <x:v>28</x:v>
      </x:c>
      <x:c r="BK26" s="18">
        <x:v>6.6</x:v>
      </x:c>
      <x:c r="BL26" s="18">
        <x:v>23</x:v>
      </x:c>
      <x:c r="BM26" s="18">
        <x:v>7</x:v>
      </x:c>
      <x:c r="BN26" s="18">
        <x:v>12.79</x:v>
      </x:c>
      <x:c r="BO26" s="22">
        <x:v>113.46850000000001</x:v>
      </x:c>
      <x:c r="BP26" s="22">
        <x:v>23.120219444444398</x:v>
      </x:c>
      <x:c r="BQ26" s="18">
        <x:v>150</x:v>
      </x:c>
      <x:c r="BR26" s="18">
        <x:v>389202.54399999999</x:v>
      </x:c>
      <x:c r="BS26" s="18">
        <x:v>5023.9620000000004</x:v>
      </x:c>
      <x:c r="BT26" s="18">
        <x:v>2.9460000000000002</x:v>
      </x:c>
      <x:c r="BU26" s="18">
        <x:v>290.92200000000003</x:v>
      </x:c>
      <x:c r="BV26" s="18">
        <x:v>57.73</x:v>
      </x:c>
      <x:c r="BW26" s="18">
        <x:v>42799.635000000002</x:v>
      </x:c>
      <x:c r="BX26" s="18">
        <x:v>2.1480000000000001</x:v>
      </x:c>
      <x:c r="BY26" s="18">
        <x:v>1769.683</x:v>
      </x:c>
      <x:c r="BZ26" s="18">
        <x:v>1769.683</x:v>
      </x:c>
      <x:c r="CA26" s="23">
        <x:f t="shared" si="6"/>
        <x:v>21812.369180000002</x:v>
      </x:c>
      <x:c r="CB26" s="23">
        <x:f t="shared" si="7"/>
        <x:v>2295.4570100000001</x:v>
      </x:c>
      <x:c r="CC26" s="23">
        <x:f t="shared" si="8"/>
        <x:v>517.85799999999995</x:v>
      </x:c>
      <x:c r="CD26" s="23">
        <x:f t="shared" si="9"/>
        <x:v>1993.9349388000001</x:v>
      </x:c>
      <x:c r="CE26" s="23">
        <x:f t="shared" si="10"/>
        <x:v>481.29464040000005</x:v>
      </x:c>
      <x:c r="CF26" s="23">
        <x:f t="shared" si="11"/>
        <x:v>0.96258928080000006</x:v>
      </x:c>
      <x:c r="CG26" s="23">
        <x:f t="shared" si="12"/>
        <x:v>0</x:v>
      </x:c>
      <x:c r="CH26" s="23">
        <x:f t="shared" si="13"/>
        <x:v>10.35716</x:v>
      </x:c>
      <x:c r="CI26" s="23">
        <x:f t="shared" si="14"/>
        <x:v>0</x:v>
      </x:c>
      <x:c r="CJ26" s="24" t="s">
        <x:v>122</x:v>
      </x:c>
      <x:c r="CK26" s="25">
        <x:v>95</x:v>
      </x:c>
      <x:c r="CL26" s="26" t="s">
        <x:v>127</x:v>
      </x:c>
      <x:c r="CM26" s="26">
        <x:v>92.79</x:v>
      </x:c>
      <x:c r="CN26" s="27" t="s">
        <x:v>124</x:v>
      </x:c>
      <x:c r="CO26" s="27">
        <x:v>99.8</x:v>
      </x:c>
      <x:c r="CP26" s="27">
        <x:v>99.6</x:v>
      </x:c>
      <x:c r="CQ26" s="26">
        <x:f t="shared" si="15"/>
        <x:v>1090.6184590000009</x:v>
      </x:c>
      <x:c r="CR26" s="26">
        <x:f t="shared" si="16"/>
        <x:v>165.50245042099988</x:v>
      </x:c>
      <x:c r="CS26" s="26">
        <x:f t="shared" si="22"/>
        <x:v>517.85799999999995</x:v>
      </x:c>
      <x:c r="CT26" s="26">
        <x:f t="shared" si="32"/>
        <x:v>3.9878698776000037</x:v>
      </x:c>
      <x:c r="CU26" s="26">
        <x:f t="shared" si="33"/>
        <x:v>1.9251785616000019</x:v>
      </x:c>
      <x:c r="CV26" s="26">
        <x:f t="shared" si="34"/>
        <x:v>3.8503571232000036E-3</x:v>
      </x:c>
      <x:c r="CW26" s="26">
        <x:f t="shared" si="35"/>
        <x:v>0</x:v>
      </x:c>
      <x:c r="CX26" s="26">
        <x:f t="shared" si="23"/>
        <x:v>10.35716</x:v>
      </x:c>
      <x:c r="CY26" s="26">
        <x:f t="shared" si="24"/>
        <x:v>0</x:v>
      </x:c>
    </x:row>
    <x:row r="27">
      <x:c r="A27" s="18">
        <x:v>2022</x:v>
      </x:c>
      <x:c r="B27" t="s">
        <x:v>116</x:v>
      </x:c>
      <x:c r="C27" t="s">
        <x:v>117</x:v>
      </x:c>
      <x:c r="D27" t="s">
        <x:v>118</x:v>
      </x:c>
      <x:c r="E27" s="18">
        <x:v>440112</x:v>
      </x:c>
      <x:c r="F27" t="s">
        <x:v>101</x:v>
      </x:c>
      <x:c r="G27" t="s">
        <x:v>69</x:v>
      </x:c>
      <x:c r="H27" s="18">
        <x:v>2511</x:v>
      </x:c>
      <x:c r="I27" t="s">
        <x:v>119</x:v>
      </x:c>
      <x:c r="J27" t="s">
        <x:v>120</x:v>
      </x:c>
      <x:c r="K27" t="s">
        <x:v>109</x:v>
      </x:c>
      <x:c r="L27" s="20">
        <x:v>10</x:v>
      </x:c>
      <x:c r="M27" t="s">
        <x:v>125</x:v>
      </x:c>
      <x:c r="N27" s="18">
        <x:v>420</x:v>
      </x:c>
      <x:c r="O27" t="s">
        <x:v>88</x:v>
      </x:c>
      <x:c r="P27" s="18">
        <x:v>1</x:v>
      </x:c>
      <x:c r="Q27" s="19" t="s">
        <x:v>121</x:v>
      </x:c>
      <x:c r="R27" s="18">
        <x:v>27578</x:v>
      </x:c>
      <x:c r="S27" t="s">
        <x:v>112</x:v>
      </x:c>
      <x:c r="T27" s="19">
        <x:f t="shared" si="30"/>
        <x:v>27578</x:v>
      </x:c>
      <x:c r="U27" s="20">
        <x:v>0.56000000000000005</x:v>
      </x:c>
      <x:c r="V27" t="s">
        <x:v>113</x:v>
      </x:c>
      <x:c r="W27" s="20">
        <x:v>22.53</x:v>
      </x:c>
      <x:c r="X27" s="21">
        <x:f t="shared" si="27"/>
        <x:v>262.54256000000004</x:v>
      </x:c>
      <x:c r="Y27" s="21" t="n">
        <x:f>8.96*T27/1000</x:f>
        <x:v>247.09888000000004</x:v>
      </x:c>
      <x:c r="Z27" s="21">
        <x:f t="shared" si="28"/>
        <x:v>55.155999999999999</x:v>
      </x:c>
      <x:c r="AA27" s="21" t="n">
        <x:f>W27/100*(1-0.44)*0.29*T27</x:f>
        <x:v>1009.0437201599999</x:v>
      </x:c>
      <x:c r="AB27" s="21" t="n">
        <x:f>W27/100*(1-0.44)*0.07*T27</x:f>
        <x:v>243.56227728000002</x:v>
      </x:c>
      <x:c r="AC27" s="21">
        <x:f t="shared" si="31"/>
        <x:v>0.48712455456000003</x:v>
      </x:c>
      <x:c r="AD27" s="21"/>
      <x:c r="AE27" s="21">
        <x:f t="shared" si="29"/>
        <x:v>1.1031200000000001</x:v>
      </x:c>
      <x:c r="AF27" s="21"/>
      <x:c r="AG27" s="19" t="s">
        <x:v>126</x:v>
      </x:c>
      <x:c r="AH27" s="18">
        <x:v>188804</x:v>
      </x:c>
      <x:c r="AI27" t="s">
        <x:v>112</x:v>
      </x:c>
      <x:c r="AJ27" s="19" t="n">
        <x:f>AH27</x:f>
        <x:v>188804</x:v>
      </x:c>
      <x:c r="AK27" s="20">
        <x:v>5.66</x:v>
      </x:c>
      <x:c r="AL27" t="s">
        <x:v>113</x:v>
      </x:c>
      <x:c r="AM27" s="20">
        <x:v>1.89</x:v>
      </x:c>
      <x:c r="AN27" s="21" t="n">
        <x:f>2*AK27/100*(1-0.15)*AJ27</x:f>
        <x:v>18166.72088</x:v>
      </x:c>
      <x:c r="AO27" s="21" t="n">
        <x:f>8.85*AJ27/1000</x:f>
        <x:v>1670.9153999999999</x:v>
      </x:c>
      <x:c r="AP27" s="21" t="n">
        <x:f>2*AJ27/1000</x:f>
        <x:v>377.608</x:v>
      </x:c>
      <x:c r="AQ27" s="21" t="n">
        <x:f>AM27/100*(1-0.44)*0.29*AJ27</x:f>
        <x:v>579.5074454400001</x:v>
      </x:c>
      <x:c r="AR27" s="21" t="n">
        <x:f>AM27/100*(1-0.44)*0.07*AJ27</x:f>
        <x:v>139.88110752000003</x:v>
      </x:c>
      <x:c r="AS27" s="21" t="n">
        <x:f>0.002*AR27</x:f>
        <x:v>0.27976221504000004</x:v>
      </x:c>
      <x:c r="AT27" s="21"/>
      <x:c r="AU27" s="21" t="n">
        <x:f>0.04*AJ27/1000</x:f>
        <x:v>7.55216</x:v>
      </x:c>
      <x:c r="AV27" s="21"/>
      <x:c r="AW27" t="s">
        <x:v>78</x:v>
      </x:c>
      <x:c r="AX27" s="19"/>
      <x:c r="AY27" s="21"/>
      <x:c r="AZ27" s="21"/>
      <x:c r="BA27" s="21"/>
      <x:c r="BB27" s="21"/>
      <x:c r="BC27" s="21"/>
      <x:c r="BD27" s="21"/>
      <x:c r="BE27" s="21"/>
      <x:c r="BF27" s="21"/>
      <x:c r="BG27" s="21"/>
      <x:c r="BH27" t="s">
        <x:v>82</x:v>
      </x:c>
      <x:c r="BI27" s="18">
        <x:v>113</x:v>
      </x:c>
      <x:c r="BJ27" s="18">
        <x:v>28</x:v>
      </x:c>
      <x:c r="BK27" s="18">
        <x:v>6.6</x:v>
      </x:c>
      <x:c r="BL27" s="18">
        <x:v>23</x:v>
      </x:c>
      <x:c r="BM27" s="18">
        <x:v>7</x:v>
      </x:c>
      <x:c r="BN27" s="18">
        <x:v>12.79</x:v>
      </x:c>
      <x:c r="BO27" s="22">
        <x:v>113.46850000000001</x:v>
      </x:c>
      <x:c r="BP27" s="22">
        <x:v>23.120219444444398</x:v>
      </x:c>
      <x:c r="BQ27" s="18">
        <x:v>150</x:v>
      </x:c>
      <x:c r="BR27" s="18">
        <x:v>326703.08799999999</x:v>
      </x:c>
      <x:c r="BS27" s="18">
        <x:v>4233.7659999999996</x:v>
      </x:c>
      <x:c r="BT27" s="18">
        <x:v>2.5379999999999998</x:v>
      </x:c>
      <x:c r="BU27" s="18">
        <x:v>242.05099999999999</x:v>
      </x:c>
      <x:c r="BV27" s="18">
        <x:v>47.021999999999998</x:v>
      </x:c>
      <x:c r="BW27" s="18">
        <x:v>36135.879000000001</x:v>
      </x:c>
      <x:c r="BX27" s="18">
        <x:v>1.66</x:v>
      </x:c>
      <x:c r="BY27" s="18">
        <x:v>1460.684</x:v>
      </x:c>
      <x:c r="BZ27" s="18">
        <x:v>1460.684</x:v>
      </x:c>
      <x:c r="CA27" s="23">
        <x:f t="shared" si="6"/>
        <x:v>18429.263440000002</x:v>
      </x:c>
      <x:c r="CB27" s="23">
        <x:f t="shared" si="7"/>
        <x:v>1918.0142799999999</x:v>
      </x:c>
      <x:c r="CC27" s="23">
        <x:f t="shared" si="8"/>
        <x:v>432.76400000000001</x:v>
      </x:c>
      <x:c r="CD27" s="23">
        <x:f t="shared" si="9"/>
        <x:v>1588.5511655999999</x:v>
      </x:c>
      <x:c r="CE27" s="23">
        <x:f t="shared" si="10"/>
        <x:v>383.44338480000005</x:v>
      </x:c>
      <x:c r="CF27" s="23">
        <x:f t="shared" si="11"/>
        <x:v>0.76688676960000013</x:v>
      </x:c>
      <x:c r="CG27" s="23">
        <x:f t="shared" si="12"/>
        <x:v>0</x:v>
      </x:c>
      <x:c r="CH27" s="23">
        <x:f t="shared" si="13"/>
        <x:v>8.6552799999999994</x:v>
      </x:c>
      <x:c r="CI27" s="23">
        <x:f t="shared" si="14"/>
        <x:v>0</x:v>
      </x:c>
      <x:c r="CJ27" s="24" t="s">
        <x:v>122</x:v>
      </x:c>
      <x:c r="CK27" s="25">
        <x:v>95</x:v>
      </x:c>
      <x:c r="CL27" s="26" t="s">
        <x:v>127</x:v>
      </x:c>
      <x:c r="CM27" s="26">
        <x:v>92.73</x:v>
      </x:c>
      <x:c r="CN27" s="27" t="s">
        <x:v>124</x:v>
      </x:c>
      <x:c r="CO27" s="27">
        <x:v>99.8</x:v>
      </x:c>
      <x:c r="CP27" s="27">
        <x:v>99.6</x:v>
      </x:c>
      <x:c r="CQ27" s="26">
        <x:f t="shared" si="15"/>
        <x:v>921.4631720000009</x:v>
      </x:c>
      <x:c r="CR27" s="26">
        <x:f t="shared" si="16"/>
        <x:v>139.43963815599997</x:v>
      </x:c>
      <x:c r="CS27" s="26">
        <x:f t="shared" si="22"/>
        <x:v>432.76400000000001</x:v>
      </x:c>
      <x:c r="CT27" s="26">
        <x:f t="shared" si="32"/>
        <x:v>3.1771023312000026</x:v>
      </x:c>
      <x:c r="CU27" s="26">
        <x:f t="shared" si="33"/>
        <x:v>1.5337735392000016</x:v>
      </x:c>
      <x:c r="CV27" s="26">
        <x:f t="shared" si="34"/>
        <x:v>3.0675470784000034E-3</x:v>
      </x:c>
      <x:c r="CW27" s="26">
        <x:f t="shared" si="35"/>
        <x:v>0</x:v>
      </x:c>
      <x:c r="CX27" s="26">
        <x:f t="shared" si="23"/>
        <x:v>8.6552799999999994</x:v>
      </x:c>
      <x:c r="CY27" s="26">
        <x:f t="shared" si="24"/>
        <x:v>0</x:v>
      </x:c>
    </x:row>
    <x:row r="28">
      <x:c r="A28" s="18">
        <x:v>2022</x:v>
      </x:c>
      <x:c r="B28" t="s">
        <x:v>128</x:v>
      </x:c>
      <x:c r="C28" t="s">
        <x:v>129</x:v>
      </x:c>
      <x:c r="D28" t="s">
        <x:v>130</x:v>
      </x:c>
      <x:c r="E28" s="18">
        <x:v>440112</x:v>
      </x:c>
      <x:c r="F28" t="s">
        <x:v>101</x:v>
      </x:c>
      <x:c r="G28" t="s">
        <x:v>69</x:v>
      </x:c>
      <x:c r="H28" s="18">
        <x:v>4412</x:v>
      </x:c>
      <x:c r="I28" t="s">
        <x:v>108</x:v>
      </x:c>
      <x:c r="J28" t="s">
        <x:v>131</x:v>
      </x:c>
      <x:c r="K28" t="s">
        <x:v>109</x:v>
      </x:c>
      <x:c r="L28" s="20">
        <x:v>33</x:v>
      </x:c>
      <x:c r="M28" t="s">
        <x:v>110</x:v>
      </x:c>
      <x:c r="N28" s="18">
        <x:v>1025</x:v>
      </x:c>
      <x:c r="O28" t="s">
        <x:v>88</x:v>
      </x:c>
      <x:c r="P28" s="18">
        <x:v>4</x:v>
      </x:c>
      <x:c r="Q28" s="19" t="s">
        <x:v>111</x:v>
      </x:c>
      <x:c r="R28" s="18">
        <x:v>1090165</x:v>
      </x:c>
      <x:c r="S28" t="s">
        <x:v>112</x:v>
      </x:c>
      <x:c r="T28" s="19">
        <x:f t="shared" si="30"/>
        <x:v>1090165</x:v>
      </x:c>
      <x:c r="U28" s="20">
        <x:v>0.75</x:v>
      </x:c>
      <x:c r="V28" t="s">
        <x:v>113</x:v>
      </x:c>
      <x:c r="W28" s="20">
        <x:v>21.34</x:v>
      </x:c>
      <x:c r="X28" s="21">
        <x:f t="shared" si="27"/>
        <x:v>13899.603749999998</x:v>
      </x:c>
      <x:c r="Y28" s="21" t="n">
        <x:f>7.21*T28/1000</x:f>
        <x:v>7860.089650000001</x:v>
      </x:c>
      <x:c r="Z28" s="21">
        <x:f t="shared" si="28"/>
        <x:v>2180.33</x:v>
      </x:c>
      <x:c r="AA28" s="21" t="n">
        <x:f>W28/100*(1-0.25)*0.23*T28</x:f>
        <x:v>40130.6088975</x:v>
      </x:c>
      <x:c r="AB28" s="21" t="n">
        <x:f>W28/100*(1-0.25)*0.06*T28</x:f>
        <x:v>10468.854494999998</x:v>
      </x:c>
      <x:c r="AC28" s="21" t="n">
        <x:f t="shared" ref="AC28:AC29" si="36">0.002*AB28</x:f>
        <x:v>20.937708989999997</x:v>
      </x:c>
      <x:c r="AD28" s="21"/>
      <x:c r="AE28" s="21">
        <x:f t="shared" si="29"/>
        <x:v>43.6066</x:v>
      </x:c>
      <x:c r="AF28" s="21"/>
      <x:c r="AG28" s="19" t="s">
        <x:v>78</x:v>
      </x:c>
      <x:c r="AH28" t="s">
        <x:v>78</x:v>
      </x:c>
      <x:c r="AI28" t="s">
        <x:v>78</x:v>
      </x:c>
      <x:c r="AJ28" s="19"/>
      <x:c r="AK28" s="19" t="s">
        <x:v>78</x:v>
      </x:c>
      <x:c r="AL28" t="s">
        <x:v>78</x:v>
      </x:c>
      <x:c r="AM28" s="19" t="s">
        <x:v>78</x:v>
      </x:c>
      <x:c r="AN28" s="21"/>
      <x:c r="AO28" s="21"/>
      <x:c r="AP28" s="21"/>
      <x:c r="AQ28" s="21"/>
      <x:c r="AR28" s="21"/>
      <x:c r="AS28" s="21"/>
      <x:c r="AT28" s="21"/>
      <x:c r="AU28" s="21"/>
      <x:c r="AV28" s="21"/>
      <x:c r="AW28" t="s">
        <x:v>78</x:v>
      </x:c>
      <x:c r="AX28" s="19"/>
      <x:c r="AY28" s="21"/>
      <x:c r="AZ28" s="21"/>
      <x:c r="BA28" s="21"/>
      <x:c r="BB28" s="21"/>
      <x:c r="BC28" s="21"/>
      <x:c r="BD28" s="21"/>
      <x:c r="BE28" s="21"/>
      <x:c r="BF28" s="21"/>
      <x:c r="BG28" s="21"/>
      <x:c r="BH28" t="s">
        <x:v>81</x:v>
      </x:c>
      <x:c r="BI28" s="18">
        <x:v>113</x:v>
      </x:c>
      <x:c r="BJ28" s="18">
        <x:v>30</x:v>
      </x:c>
      <x:c r="BK28" s="18">
        <x:v>0.36</x:v>
      </x:c>
      <x:c r="BL28" s="18">
        <x:v>23</x:v>
      </x:c>
      <x:c r="BM28" s="18">
        <x:v>3</x:v>
      </x:c>
      <x:c r="BN28" s="18">
        <x:v>47.27</x:v>
      </x:c>
      <x:c r="BO28" s="22">
        <x:v>113.5001</x:v>
      </x:c>
      <x:c r="BP28" s="22">
        <x:v>23.063130555555599</x:v>
      </x:c>
      <x:c r="BQ28" s="18">
        <x:v>213</x:v>
      </x:c>
      <x:c r="BR28" s="18">
        <x:v>808536.09100000001</x:v>
      </x:c>
      <x:c r="BS28" s="18">
        <x:v>13883.251</x:v>
      </x:c>
      <x:c r="BT28" s="18">
        <x:v>97.119</x:v>
      </x:c>
      <x:c r="BU28" s="18">
        <x:v>3052.462</x:v>
      </x:c>
      <x:c r="BV28" s="18">
        <x:v>291.67200000000003</x:v>
      </x:c>
      <x:c r="BW28" s="18">
        <x:v>226396.092</x:v>
      </x:c>
      <x:c r="BX28" s="18">
        <x:v>16.021999999999998</x:v>
      </x:c>
      <x:c r="BY28" s="18">
        <x:v>12863.947</x:v>
      </x:c>
      <x:c r="BZ28" s="18">
        <x:v>12863.947</x:v>
      </x:c>
      <x:c r="CA28" s="23">
        <x:f t="shared" si="6"/>
        <x:v>13899.603749999998</x:v>
      </x:c>
      <x:c r="CB28" s="23">
        <x:f t="shared" si="7"/>
        <x:v>7860.0896500000008</x:v>
      </x:c>
      <x:c r="CC28" s="23">
        <x:f t="shared" si="8"/>
        <x:v>2180.33</x:v>
      </x:c>
      <x:c r="CD28" s="23">
        <x:f t="shared" si="9"/>
        <x:v>40130.608897500002</x:v>
      </x:c>
      <x:c r="CE28" s="23">
        <x:f t="shared" si="10"/>
        <x:v>10468.854494999998</x:v>
      </x:c>
      <x:c r="CF28" s="23">
        <x:f t="shared" si="11"/>
        <x:v>20.937708989999997</x:v>
      </x:c>
      <x:c r="CG28" s="23">
        <x:f t="shared" si="12"/>
        <x:v>0</x:v>
      </x:c>
      <x:c r="CH28" s="23">
        <x:f t="shared" si="13"/>
        <x:v>43.6066</x:v>
      </x:c>
      <x:c r="CI28" s="23">
        <x:f t="shared" si="14"/>
        <x:v>0</x:v>
      </x:c>
      <x:c r="CJ28" s="24" t="s">
        <x:v>114</x:v>
      </x:c>
      <x:c r="CK28" s="29">
        <x:v>99.41</x:v>
      </x:c>
      <x:c r="CL28" s="26" t="s">
        <x:v>104</x:v>
      </x:c>
      <x:c r="CM28" s="28">
        <x:v>85</x:v>
      </x:c>
      <x:c r="CN28" s="30" t="s">
        <x:v>132</x:v>
      </x:c>
      <x:c r="CO28" s="27">
        <x:v>99.4</x:v>
      </x:c>
      <x:c r="CP28" s="27">
        <x:v>98.3</x:v>
      </x:c>
      <x:c r="CQ28" s="26">
        <x:f t="shared" si="15"/>
        <x:v>82.007662125000223</x:v>
      </x:c>
      <x:c r="CR28" s="26">
        <x:f t="shared" si="16"/>
        <x:v>1179.0134475000002</x:v>
      </x:c>
      <x:c r="CS28" s="26">
        <x:f t="shared" si="22"/>
        <x:v>2180.33</x:v>
      </x:c>
      <x:c r="CT28" s="26">
        <x:f t="shared" si="32"/>
        <x:v>240.78365338499577</x:v>
      </x:c>
      <x:c r="CU28" s="26">
        <x:f t="shared" si="33"/>
        <x:v>177.97052641500011</x:v>
      </x:c>
      <x:c r="CV28" s="26">
        <x:f t="shared" si="34"/>
        <x:v>0.35594105283000027</x:v>
      </x:c>
      <x:c r="CW28" s="26">
        <x:f t="shared" si="35"/>
        <x:v>0</x:v>
      </x:c>
      <x:c r="CX28" s="26">
        <x:f t="shared" si="23"/>
        <x:v>43.6066</x:v>
      </x:c>
      <x:c r="CY28" s="26">
        <x:f t="shared" si="24"/>
        <x:v>0</x:v>
      </x:c>
    </x:row>
    <x:row r="29">
      <x:c r="A29" s="18">
        <x:v>2022</x:v>
      </x:c>
      <x:c r="B29" t="s">
        <x:v>128</x:v>
      </x:c>
      <x:c r="C29" t="s">
        <x:v>129</x:v>
      </x:c>
      <x:c r="D29" t="s">
        <x:v>130</x:v>
      </x:c>
      <x:c r="E29" s="18">
        <x:v>440112</x:v>
      </x:c>
      <x:c r="F29" t="s">
        <x:v>101</x:v>
      </x:c>
      <x:c r="G29" t="s">
        <x:v>69</x:v>
      </x:c>
      <x:c r="H29" s="18">
        <x:v>4412</x:v>
      </x:c>
      <x:c r="I29" t="s">
        <x:v>108</x:v>
      </x:c>
      <x:c r="J29" t="s">
        <x:v>131</x:v>
      </x:c>
      <x:c r="K29" t="s">
        <x:v>109</x:v>
      </x:c>
      <x:c r="L29" s="20">
        <x:v>33</x:v>
      </x:c>
      <x:c r="M29" t="s">
        <x:v>110</x:v>
      </x:c>
      <x:c r="N29" s="18">
        <x:v>1025</x:v>
      </x:c>
      <x:c r="O29" t="s">
        <x:v>88</x:v>
      </x:c>
      <x:c r="P29" s="18">
        <x:v>4</x:v>
      </x:c>
      <x:c r="Q29" s="19" t="s">
        <x:v>111</x:v>
      </x:c>
      <x:c r="R29" s="18">
        <x:v>1025625</x:v>
      </x:c>
      <x:c r="S29" t="s">
        <x:v>112</x:v>
      </x:c>
      <x:c r="T29" s="19">
        <x:f t="shared" si="30"/>
        <x:v>1025625</x:v>
      </x:c>
      <x:c r="U29" s="20">
        <x:v>0.75</x:v>
      </x:c>
      <x:c r="V29" t="s">
        <x:v>113</x:v>
      </x:c>
      <x:c r="W29" s="20">
        <x:v>21.18</x:v>
      </x:c>
      <x:c r="X29" s="21">
        <x:f t="shared" si="27"/>
        <x:v>13076.71875</x:v>
      </x:c>
      <x:c r="Y29" s="21" t="n">
        <x:f>7.21*T29/1000</x:f>
        <x:v>7394.75625</x:v>
      </x:c>
      <x:c r="Z29" s="21">
        <x:f t="shared" si="28"/>
        <x:v>2051.25</x:v>
      </x:c>
      <x:c r="AA29" s="21" t="n">
        <x:f>W29/100*(1-0.25)*0.23*T29</x:f>
        <x:v>37471.722187499996</x:v>
      </x:c>
      <x:c r="AB29" s="21" t="n">
        <x:f>W29/100*(1-0.25)*0.06*T29</x:f>
        <x:v>9775.231875</x:v>
      </x:c>
      <x:c r="AC29" s="21">
        <x:f t="shared" si="36"/>
        <x:v>19.550463749999999</x:v>
      </x:c>
      <x:c r="AD29" s="21"/>
      <x:c r="AE29" s="21">
        <x:f t="shared" si="29"/>
        <x:v>41.024999999999999</x:v>
      </x:c>
      <x:c r="AF29" s="21"/>
      <x:c r="AG29" s="19" t="s">
        <x:v>78</x:v>
      </x:c>
      <x:c r="AH29" t="s">
        <x:v>78</x:v>
      </x:c>
      <x:c r="AI29" t="s">
        <x:v>78</x:v>
      </x:c>
      <x:c r="AJ29" s="19"/>
      <x:c r="AK29" s="19" t="s">
        <x:v>78</x:v>
      </x:c>
      <x:c r="AL29" t="s">
        <x:v>78</x:v>
      </x:c>
      <x:c r="AM29" s="19" t="s">
        <x:v>78</x:v>
      </x:c>
      <x:c r="AN29" s="21"/>
      <x:c r="AO29" s="21"/>
      <x:c r="AP29" s="21"/>
      <x:c r="AQ29" s="21"/>
      <x:c r="AR29" s="21"/>
      <x:c r="AS29" s="21"/>
      <x:c r="AT29" s="21"/>
      <x:c r="AU29" s="21"/>
      <x:c r="AV29" s="21"/>
      <x:c r="AW29" t="s">
        <x:v>78</x:v>
      </x:c>
      <x:c r="AX29" s="19"/>
      <x:c r="AY29" s="21"/>
      <x:c r="AZ29" s="21"/>
      <x:c r="BA29" s="21"/>
      <x:c r="BB29" s="21"/>
      <x:c r="BC29" s="21"/>
      <x:c r="BD29" s="21"/>
      <x:c r="BE29" s="21"/>
      <x:c r="BF29" s="21"/>
      <x:c r="BG29" s="21"/>
      <x:c r="BH29" t="s">
        <x:v>81</x:v>
      </x:c>
      <x:c r="BI29" s="18">
        <x:v>113</x:v>
      </x:c>
      <x:c r="BJ29" s="18">
        <x:v>30</x:v>
      </x:c>
      <x:c r="BK29" s="18">
        <x:v>0.36</x:v>
      </x:c>
      <x:c r="BL29" s="18">
        <x:v>23</x:v>
      </x:c>
      <x:c r="BM29" s="18">
        <x:v>3</x:v>
      </x:c>
      <x:c r="BN29" s="18">
        <x:v>47.27</x:v>
      </x:c>
      <x:c r="BO29" s="22">
        <x:v>113.5001</x:v>
      </x:c>
      <x:c r="BP29" s="22">
        <x:v>23.063130555555599</x:v>
      </x:c>
      <x:c r="BQ29" s="18">
        <x:v>213</x:v>
      </x:c>
      <x:c r="BR29" s="18">
        <x:v>712693.74199999997</x:v>
      </x:c>
      <x:c r="BS29" s="18">
        <x:v>13061.334000000001</x:v>
      </x:c>
      <x:c r="BT29" s="18">
        <x:v>125.727</x:v>
      </x:c>
      <x:c r="BU29" s="18">
        <x:v>2871.75</x:v>
      </x:c>
      <x:c r="BV29" s="18">
        <x:v>330.95499999999998</x:v>
      </x:c>
      <x:c r="BW29" s="18">
        <x:v>211481.61900000001</x:v>
      </x:c>
      <x:c r="BX29" s="18">
        <x:v>16.552</x:v>
      </x:c>
      <x:c r="BY29" s="18">
        <x:v>12102.375</x:v>
      </x:c>
      <x:c r="BZ29" s="18">
        <x:v>12102.375</x:v>
      </x:c>
      <x:c r="CA29" s="23">
        <x:f t="shared" si="6"/>
        <x:v>13076.71875</x:v>
      </x:c>
      <x:c r="CB29" s="23">
        <x:f t="shared" si="7"/>
        <x:v>7394.7562500000004</x:v>
      </x:c>
      <x:c r="CC29" s="23">
        <x:f t="shared" si="8"/>
        <x:v>2051.25</x:v>
      </x:c>
      <x:c r="CD29" s="23">
        <x:f t="shared" si="9"/>
        <x:v>37471.722187499996</x:v>
      </x:c>
      <x:c r="CE29" s="23">
        <x:f t="shared" si="10"/>
        <x:v>9775.2318749999995</x:v>
      </x:c>
      <x:c r="CF29" s="23">
        <x:f t="shared" si="11"/>
        <x:v>19.550463749999999</x:v>
      </x:c>
      <x:c r="CG29" s="23">
        <x:f t="shared" si="12"/>
        <x:v>0</x:v>
      </x:c>
      <x:c r="CH29" s="23">
        <x:f t="shared" si="13"/>
        <x:v>41.024999999999999</x:v>
      </x:c>
      <x:c r="CI29" s="23">
        <x:f t="shared" si="14"/>
        <x:v>0</x:v>
      </x:c>
      <x:c r="CJ29" s="24" t="s">
        <x:v>114</x:v>
      </x:c>
      <x:c r="CK29" s="29">
        <x:v>99.41</x:v>
      </x:c>
      <x:c r="CL29" s="26" t="s">
        <x:v>104</x:v>
      </x:c>
      <x:c r="CM29" s="28">
        <x:v>85</x:v>
      </x:c>
      <x:c r="CN29" s="30" t="s">
        <x:v>132</x:v>
      </x:c>
      <x:c r="CO29" s="27">
        <x:v>99.4</x:v>
      </x:c>
      <x:c r="CP29" s="27">
        <x:v>98.3</x:v>
      </x:c>
      <x:c r="CQ29" s="26">
        <x:f t="shared" si="15"/>
        <x:v>77.152640625000217</x:v>
      </x:c>
      <x:c r="CR29" s="26">
        <x:f t="shared" si="16"/>
        <x:v>1109.2134375000003</x:v>
      </x:c>
      <x:c r="CS29" s="26">
        <x:f t="shared" si="22"/>
        <x:v>2051.25</x:v>
      </x:c>
      <x:c r="CT29" s="26">
        <x:f t="shared" si="32"/>
        <x:v>224.830333124996</x:v>
      </x:c>
      <x:c r="CU29" s="26">
        <x:f t="shared" si="33"/>
        <x:v>166.17894187500013</x:v>
      </x:c>
      <x:c r="CV29" s="26">
        <x:f t="shared" si="34"/>
        <x:v>0.33235788375000025</x:v>
      </x:c>
      <x:c r="CW29" s="26">
        <x:f t="shared" si="35"/>
        <x:v>0</x:v>
      </x:c>
      <x:c r="CX29" s="26">
        <x:f t="shared" si="23"/>
        <x:v>41.024999999999999</x:v>
      </x:c>
      <x:c r="CY29" s="26">
        <x:f t="shared" si="24"/>
        <x:v>0</x:v>
      </x:c>
    </x:row>
    <x:row r="30">
      <x:c r="A30" s="18">
        <x:v>2022</x:v>
      </x:c>
      <x:c r="B30" t="s">
        <x:v>133</x:v>
      </x:c>
      <x:c r="C30" t="s">
        <x:v>134</x:v>
      </x:c>
      <x:c r="D30" t="s">
        <x:v>135</x:v>
      </x:c>
      <x:c r="E30" s="18">
        <x:v>440112</x:v>
      </x:c>
      <x:c r="F30" t="s">
        <x:v>101</x:v>
      </x:c>
      <x:c r="G30" t="s">
        <x:v>69</x:v>
      </x:c>
      <x:c r="H30" s="18">
        <x:v>4412</x:v>
      </x:c>
      <x:c r="I30" t="s">
        <x:v>108</x:v>
      </x:c>
      <x:c r="J30" t="s">
        <x:v>78</x:v>
      </x:c>
      <x:c r="K30" t="s">
        <x:v>72</x:v>
      </x:c>
      <x:c r="L30" s="18">
        <x:v>19.600000000000001</x:v>
      </x:c>
      <x:c r="M30" t="s">
        <x:v>136</x:v>
      </x:c>
      <x:c r="N30" s="18">
        <x:v>191</x:v>
      </x:c>
      <x:c r="O30" t="s">
        <x:v>88</x:v>
      </x:c>
      <x:c r="P30" s="18">
        <x:v>15</x:v>
      </x:c>
      <x:c r="Q30" s="19" t="s">
        <x:v>96</x:v>
      </x:c>
      <x:c r="R30" s="18">
        <x:v>10227.677</x:v>
      </x:c>
      <x:c r="S30" t="s">
        <x:v>76</x:v>
      </x:c>
      <x:c r="T30" s="19">
        <x:f t="shared" si="30"/>
        <x:v>10227.677</x:v>
      </x:c>
      <x:c r="U30" s="20">
        <x:v>0.8</x:v>
      </x:c>
      <x:c r="V30" t="s">
        <x:v>77</x:v>
      </x:c>
      <x:c r="W30" s="19" t="s">
        <x:v>78</x:v>
      </x:c>
      <x:c r="X30" s="21" t="n">
        <x:f t="shared" ref="X30:X39" si="37">2*U30*T30*10000/1000000000</x:f>
        <x:v>0.163642832</x:v>
      </x:c>
      <x:c r="Y30" s="21" t="n">
        <x:f t="shared" ref="Y30:Y39" si="38">4.1*T30*10000/1000000</x:f>
        <x:v>419.33475699999997</x:v>
      </x:c>
      <x:c r="Z30" s="21" t="n">
        <x:f t="shared" ref="Z30:Z39" si="39">1.3*T30*10000/1000000</x:f>
        <x:v>132.959801</x:v>
      </x:c>
      <x:c r="AA30" s="21" t="n">
        <x:f t="shared" ref="AA30:AA39" si="40">0.03*T30*10000/1000000</x:f>
        <x:v>3.0683031</x:v>
      </x:c>
      <x:c r="AB30" s="21" t="n">
        <x:f t="shared" ref="AB30:AB39" si="41">0.03*T30*10000/1000000</x:f>
        <x:v>3.0683031</x:v>
      </x:c>
      <x:c r="AC30" s="21"/>
      <x:c r="AD30" s="21"/>
      <x:c r="AE30" s="21" t="n">
        <x:f t="shared" ref="AE30:AE39" si="42">0.02*T30*10000/1000000</x:f>
        <x:v>2.0455354</x:v>
      </x:c>
      <x:c r="AF30" s="21"/>
      <x:c r="AG30" s="19" t="s">
        <x:v>78</x:v>
      </x:c>
      <x:c r="AH30" t="s">
        <x:v>78</x:v>
      </x:c>
      <x:c r="AI30" t="s">
        <x:v>78</x:v>
      </x:c>
      <x:c r="AJ30" s="19"/>
      <x:c r="AK30" s="19" t="s">
        <x:v>78</x:v>
      </x:c>
      <x:c r="AL30" t="s">
        <x:v>78</x:v>
      </x:c>
      <x:c r="AM30" s="19" t="s">
        <x:v>78</x:v>
      </x:c>
      <x:c r="AN30" s="21"/>
      <x:c r="AO30" s="21"/>
      <x:c r="AP30" s="21"/>
      <x:c r="AQ30" s="21"/>
      <x:c r="AR30" s="21"/>
      <x:c r="AS30" s="21"/>
      <x:c r="AT30" s="21"/>
      <x:c r="AU30" s="21"/>
      <x:c r="AV30" s="21"/>
      <x:c r="AW30" t="s">
        <x:v>78</x:v>
      </x:c>
      <x:c r="AX30" s="19"/>
      <x:c r="AY30" s="21"/>
      <x:c r="AZ30" s="21"/>
      <x:c r="BA30" s="21"/>
      <x:c r="BB30" s="21"/>
      <x:c r="BC30" s="21"/>
      <x:c r="BD30" s="21"/>
      <x:c r="BE30" s="21"/>
      <x:c r="BF30" s="21"/>
      <x:c r="BG30" s="21"/>
      <x:c r="BH30" t="s">
        <x:v>81</x:v>
      </x:c>
      <x:c r="BI30" s="18">
        <x:v>113</x:v>
      </x:c>
      <x:c r="BJ30" s="18">
        <x:v>34</x:v>
      </x:c>
      <x:c r="BK30" s="18">
        <x:v>21.36</x:v>
      </x:c>
      <x:c r="BL30" s="18">
        <x:v>23</x:v>
      </x:c>
      <x:c r="BM30" s="18">
        <x:v>12</x:v>
      </x:c>
      <x:c r="BN30" s="18">
        <x:v>44.4</x:v>
      </x:c>
      <x:c r="BO30" s="22">
        <x:v>113.57259999999999</x:v>
      </x:c>
      <x:c r="BP30" s="22">
        <x:v>23.212333333333302</x:v>
      </x:c>
      <x:c r="BQ30" s="18">
        <x:v>60</x:v>
      </x:c>
      <x:c r="BR30" s="18">
        <x:v>291937.05200000003</x:v>
      </x:c>
      <x:c r="BS30" s="18">
        <x:v>0.16400000000000001</x:v>
      </x:c>
      <x:c r="BT30" s="18">
        <x:v>0.16400000000000001</x:v>
      </x:c>
      <x:c r="BU30" s="18">
        <x:v>129.89099999999999</x:v>
      </x:c>
      <x:c r="BV30" s="18">
        <x:v>129.89099999999999</x:v>
      </x:c>
      <x:c r="BW30" t="s">
        <x:v>78</x:v>
      </x:c>
      <x:c r="BX30" t="s">
        <x:v>78</x:v>
      </x:c>
      <x:c r="BY30" s="18">
        <x:v>17182.496999999999</x:v>
      </x:c>
      <x:c r="BZ30" s="18">
        <x:v>17182.496999999999</x:v>
      </x:c>
      <x:c r="CA30" s="23">
        <x:f t="shared" si="6"/>
        <x:v>0.16364283199999999</x:v>
      </x:c>
      <x:c r="CB30" s="23">
        <x:f t="shared" si="7"/>
        <x:v>419.33475699999997</x:v>
      </x:c>
      <x:c r="CC30" s="23">
        <x:f t="shared" si="8"/>
        <x:v>132.959801</x:v>
      </x:c>
      <x:c r="CD30" s="23">
        <x:f t="shared" si="9"/>
        <x:v>3.0683031000000001</x:v>
      </x:c>
      <x:c r="CE30" s="23">
        <x:f t="shared" si="10"/>
        <x:v>3.0683031000000001</x:v>
      </x:c>
      <x:c r="CF30" s="23">
        <x:f t="shared" si="11"/>
        <x:v>0</x:v>
      </x:c>
      <x:c r="CG30" s="23">
        <x:f t="shared" si="12"/>
        <x:v>0</x:v>
      </x:c>
      <x:c r="CH30" s="23">
        <x:f t="shared" si="13"/>
        <x:v>2.0455353999999999</x:v>
      </x:c>
      <x:c r="CI30" s="23">
        <x:f t="shared" si="14"/>
        <x:v>0</x:v>
      </x:c>
      <x:c r="CJ30" s="24" t="s">
        <x:v>78</x:v>
      </x:c>
      <x:c r="CK30" s="25">
        <x:v>0</x:v>
      </x:c>
      <x:c r="CL30" s="26" t="s">
        <x:v>78</x:v>
      </x:c>
      <x:c r="CM30" s="26">
        <x:v>42</x:v>
      </x:c>
      <x:c r="CN30" s="27" t="s">
        <x:v>78</x:v>
      </x:c>
      <x:c r="CO30" s="27">
        <x:v>0</x:v>
      </x:c>
      <x:c r="CP30" s="27">
        <x:v>0</x:v>
      </x:c>
      <x:c r="CQ30" s="26">
        <x:f t="shared" si="15"/>
        <x:v>0.16364283199999999</x:v>
      </x:c>
      <x:c r="CR30" s="26">
        <x:f t="shared" si="16"/>
        <x:v>243.21415906000001</x:v>
      </x:c>
      <x:c r="CS30" s="26">
        <x:f t="shared" si="22"/>
        <x:v>132.959801</x:v>
      </x:c>
      <x:c r="CT30" s="26" t="n">
        <x:f t="shared" ref="CT30:CT93" si="43">CD30*(1-CO30/100)</x:f>
        <x:v>3.0683031</x:v>
      </x:c>
      <x:c r="CU30" s="26" t="n">
        <x:f t="shared" ref="CU30:CU93" si="44">CE30*(1-CP30/100)</x:f>
        <x:v>3.0683031</x:v>
      </x:c>
      <x:c r="CV30" s="26" t="n">
        <x:f t="shared" ref="CV30:CV93" si="45">CF30*(1-CP30/100)</x:f>
        <x:v>0</x:v>
      </x:c>
      <x:c r="CW30" s="26" t="n">
        <x:f t="shared" ref="CW30:CW93" si="46">CG30*(1-CP30/100)</x:f>
        <x:v>0</x:v>
      </x:c>
      <x:c r="CX30" s="26">
        <x:f t="shared" si="23"/>
        <x:v>2.0455353999999999</x:v>
      </x:c>
      <x:c r="CY30" s="26">
        <x:f t="shared" si="24"/>
        <x:v>0</x:v>
      </x:c>
    </x:row>
    <x:row r="31">
      <x:c r="A31" s="18">
        <x:v>2022</x:v>
      </x:c>
      <x:c r="B31" t="s">
        <x:v>133</x:v>
      </x:c>
      <x:c r="C31" t="s">
        <x:v>134</x:v>
      </x:c>
      <x:c r="D31" t="s">
        <x:v>135</x:v>
      </x:c>
      <x:c r="E31" s="18">
        <x:v>440112</x:v>
      </x:c>
      <x:c r="F31" t="s">
        <x:v>101</x:v>
      </x:c>
      <x:c r="G31" t="s">
        <x:v>69</x:v>
      </x:c>
      <x:c r="H31" s="18">
        <x:v>4412</x:v>
      </x:c>
      <x:c r="I31" t="s">
        <x:v>108</x:v>
      </x:c>
      <x:c r="J31" t="s">
        <x:v>78</x:v>
      </x:c>
      <x:c r="K31" t="s">
        <x:v>72</x:v>
      </x:c>
      <x:c r="L31" s="18">
        <x:v>19.600000000000001</x:v>
      </x:c>
      <x:c r="M31" t="s">
        <x:v>136</x:v>
      </x:c>
      <x:c r="N31" s="18">
        <x:v>191</x:v>
      </x:c>
      <x:c r="O31" t="s">
        <x:v>88</x:v>
      </x:c>
      <x:c r="P31" s="18">
        <x:v>15</x:v>
      </x:c>
      <x:c r="Q31" s="19" t="s">
        <x:v>96</x:v>
      </x:c>
      <x:c r="R31" s="18">
        <x:v>17007.560000000001</x:v>
      </x:c>
      <x:c r="S31" t="s">
        <x:v>76</x:v>
      </x:c>
      <x:c r="T31" s="19">
        <x:f t="shared" si="30"/>
        <x:v>17007.560000000001</x:v>
      </x:c>
      <x:c r="U31" s="20">
        <x:v>0.8</x:v>
      </x:c>
      <x:c r="V31" t="s">
        <x:v>77</x:v>
      </x:c>
      <x:c r="W31" s="19" t="s">
        <x:v>78</x:v>
      </x:c>
      <x:c r="X31" s="21">
        <x:f t="shared" si="37"/>
        <x:v>0.27212096000000008</x:v>
      </x:c>
      <x:c r="Y31" s="21">
        <x:f t="shared" si="38"/>
        <x:v>697.30996000000005</x:v>
      </x:c>
      <x:c r="Z31" s="21">
        <x:f t="shared" si="39"/>
        <x:v>221.09827999999999</x:v>
      </x:c>
      <x:c r="AA31" s="21">
        <x:f t="shared" si="40"/>
        <x:v>5.1022679999999996</x:v>
      </x:c>
      <x:c r="AB31" s="21">
        <x:f t="shared" si="41"/>
        <x:v>5.1022679999999996</x:v>
      </x:c>
      <x:c r="AC31" s="21"/>
      <x:c r="AD31" s="21"/>
      <x:c r="AE31" s="21">
        <x:f t="shared" si="42"/>
        <x:v>3.4015119999999999</x:v>
      </x:c>
      <x:c r="AF31" s="21"/>
      <x:c r="AG31" s="19" t="s">
        <x:v>78</x:v>
      </x:c>
      <x:c r="AH31" t="s">
        <x:v>78</x:v>
      </x:c>
      <x:c r="AI31" t="s">
        <x:v>78</x:v>
      </x:c>
      <x:c r="AJ31" s="19"/>
      <x:c r="AK31" s="19" t="s">
        <x:v>78</x:v>
      </x:c>
      <x:c r="AL31" t="s">
        <x:v>78</x:v>
      </x:c>
      <x:c r="AM31" s="19" t="s">
        <x:v>78</x:v>
      </x:c>
      <x:c r="AN31" s="21"/>
      <x:c r="AO31" s="21"/>
      <x:c r="AP31" s="21"/>
      <x:c r="AQ31" s="21"/>
      <x:c r="AR31" s="21"/>
      <x:c r="AS31" s="21"/>
      <x:c r="AT31" s="21"/>
      <x:c r="AU31" s="21"/>
      <x:c r="AV31" s="21"/>
      <x:c r="AW31" t="s">
        <x:v>78</x:v>
      </x:c>
      <x:c r="AX31" s="19"/>
      <x:c r="AY31" s="21"/>
      <x:c r="AZ31" s="21"/>
      <x:c r="BA31" s="21"/>
      <x:c r="BB31" s="21"/>
      <x:c r="BC31" s="21"/>
      <x:c r="BD31" s="21"/>
      <x:c r="BE31" s="21"/>
      <x:c r="BF31" s="21"/>
      <x:c r="BG31" s="21"/>
      <x:c r="BH31" t="s">
        <x:v>79</x:v>
      </x:c>
      <x:c r="BI31" s="18">
        <x:v>113</x:v>
      </x:c>
      <x:c r="BJ31" s="18">
        <x:v>34</x:v>
      </x:c>
      <x:c r="BK31" s="18">
        <x:v>20.64</x:v>
      </x:c>
      <x:c r="BL31" s="18">
        <x:v>23</x:v>
      </x:c>
      <x:c r="BM31" s="18">
        <x:v>12</x:v>
      </x:c>
      <x:c r="BN31" s="18">
        <x:v>44.42</x:v>
      </x:c>
      <x:c r="BO31" s="22">
        <x:v>113.5724</x:v>
      </x:c>
      <x:c r="BP31" s="22">
        <x:v>23.212338888888901</x:v>
      </x:c>
      <x:c r="BQ31" s="18">
        <x:v>60</x:v>
      </x:c>
      <x:c r="BR31" s="18">
        <x:v>483203.79399999999</x:v>
      </x:c>
      <x:c r="BS31" s="18">
        <x:v>0.27200000000000002</x:v>
      </x:c>
      <x:c r="BT31" s="18">
        <x:v>0.27200000000000002</x:v>
      </x:c>
      <x:c r="BU31" s="18">
        <x:v>215.99600000000001</x:v>
      </x:c>
      <x:c r="BV31" s="18">
        <x:v>215.99600000000001</x:v>
      </x:c>
      <x:c r="BW31" t="s">
        <x:v>78</x:v>
      </x:c>
      <x:c r="BX31" t="s">
        <x:v>78</x:v>
      </x:c>
      <x:c r="BY31" s="18">
        <x:v>28572.701000000001</x:v>
      </x:c>
      <x:c r="BZ31" s="18">
        <x:v>28572.701000000001</x:v>
      </x:c>
      <x:c r="CA31" s="23">
        <x:f t="shared" si="6"/>
        <x:v>0.27212096000000008</x:v>
      </x:c>
      <x:c r="CB31" s="23">
        <x:f t="shared" si="7"/>
        <x:v>697.30996000000005</x:v>
      </x:c>
      <x:c r="CC31" s="23">
        <x:f t="shared" si="8"/>
        <x:v>221.09827999999999</x:v>
      </x:c>
      <x:c r="CD31" s="23">
        <x:f t="shared" si="9"/>
        <x:v>5.1022679999999996</x:v>
      </x:c>
      <x:c r="CE31" s="23">
        <x:f t="shared" si="10"/>
        <x:v>5.1022679999999996</x:v>
      </x:c>
      <x:c r="CF31" s="23">
        <x:f t="shared" si="11"/>
        <x:v>0</x:v>
      </x:c>
      <x:c r="CG31" s="23">
        <x:f t="shared" si="12"/>
        <x:v>0</x:v>
      </x:c>
      <x:c r="CH31" s="23">
        <x:f t="shared" si="13"/>
        <x:v>3.4015119999999999</x:v>
      </x:c>
      <x:c r="CI31" s="23">
        <x:f t="shared" si="14"/>
        <x:v>0</x:v>
      </x:c>
      <x:c r="CJ31" s="24" t="s">
        <x:v>78</x:v>
      </x:c>
      <x:c r="CK31" s="25">
        <x:v>0</x:v>
      </x:c>
      <x:c r="CL31" s="26" t="s">
        <x:v>78</x:v>
      </x:c>
      <x:c r="CM31" s="26">
        <x:v>42</x:v>
      </x:c>
      <x:c r="CN31" s="27" t="s">
        <x:v>78</x:v>
      </x:c>
      <x:c r="CO31" s="27">
        <x:v>0</x:v>
      </x:c>
      <x:c r="CP31" s="27">
        <x:v>0</x:v>
      </x:c>
      <x:c r="CQ31" s="26">
        <x:f t="shared" si="15"/>
        <x:v>0.27212096000000008</x:v>
      </x:c>
      <x:c r="CR31" s="26">
        <x:f t="shared" si="16"/>
        <x:v>404.43977680000006</x:v>
      </x:c>
      <x:c r="CS31" s="26">
        <x:f t="shared" si="22"/>
        <x:v>221.09827999999999</x:v>
      </x:c>
      <x:c r="CT31" s="26">
        <x:f t="shared" si="43"/>
        <x:v>5.1022679999999996</x:v>
      </x:c>
      <x:c r="CU31" s="26">
        <x:f t="shared" si="44"/>
        <x:v>5.1022679999999996</x:v>
      </x:c>
      <x:c r="CV31" s="26">
        <x:f t="shared" si="45"/>
        <x:v>0</x:v>
      </x:c>
      <x:c r="CW31" s="26">
        <x:f t="shared" si="46"/>
        <x:v>0</x:v>
      </x:c>
      <x:c r="CX31" s="26">
        <x:f t="shared" si="23"/>
        <x:v>3.4015119999999999</x:v>
      </x:c>
      <x:c r="CY31" s="26">
        <x:f t="shared" si="24"/>
        <x:v>0</x:v>
      </x:c>
    </x:row>
    <x:row r="32">
      <x:c r="A32" s="18">
        <x:v>2022</x:v>
      </x:c>
      <x:c r="B32" t="s">
        <x:v>137</x:v>
      </x:c>
      <x:c r="C32" t="s">
        <x:v>138</x:v>
      </x:c>
      <x:c r="D32" t="s">
        <x:v>139</x:v>
      </x:c>
      <x:c r="E32" s="18">
        <x:v>440113</x:v>
      </x:c>
      <x:c r="F32" t="s">
        <x:v>140</x:v>
      </x:c>
      <x:c r="G32" t="s">
        <x:v>69</x:v>
      </x:c>
      <x:c r="H32" s="18">
        <x:v>4412</x:v>
      </x:c>
      <x:c r="I32" t="s">
        <x:v>108</x:v>
      </x:c>
      <x:c r="J32" t="s">
        <x:v>78</x:v>
      </x:c>
      <x:c r="K32" t="s">
        <x:v>80</x:v>
      </x:c>
      <x:c r="L32" s="18">
        <x:v>7.8</x:v>
      </x:c>
      <x:c r="M32" t="s">
        <x:v>78</x:v>
      </x:c>
      <x:c r="N32" s="18">
        <x:v>76.8</x:v>
      </x:c>
      <x:c r="O32" t="s">
        <x:v>88</x:v>
      </x:c>
      <x:c r="P32" s="18">
        <x:v>15</x:v>
      </x:c>
      <x:c r="Q32" s="19" t="s">
        <x:v>96</x:v>
      </x:c>
      <x:c r="R32" s="18">
        <x:v>2950.95</x:v>
      </x:c>
      <x:c r="S32" t="s">
        <x:v>76</x:v>
      </x:c>
      <x:c r="T32" s="19">
        <x:f t="shared" si="30"/>
        <x:v>2950.95</x:v>
      </x:c>
      <x:c r="U32" s="20">
        <x:v>7.45</x:v>
      </x:c>
      <x:c r="V32" t="s">
        <x:v>77</x:v>
      </x:c>
      <x:c r="W32" s="19" t="s">
        <x:v>78</x:v>
      </x:c>
      <x:c r="X32" s="21">
        <x:f t="shared" si="37"/>
        <x:v>0.43969154999999999</x:v>
      </x:c>
      <x:c r="Y32" s="21">
        <x:f t="shared" si="38"/>
        <x:v>120.98894999999999</x:v>
      </x:c>
      <x:c r="Z32" s="21">
        <x:f t="shared" si="39"/>
        <x:v>38.362349999999999</x:v>
      </x:c>
      <x:c r="AA32" s="21">
        <x:f t="shared" si="40"/>
        <x:v>0.88528499999999988</x:v>
      </x:c>
      <x:c r="AB32" s="21">
        <x:f t="shared" si="41"/>
        <x:v>0.88528499999999988</x:v>
      </x:c>
      <x:c r="AC32" s="21"/>
      <x:c r="AD32" s="21"/>
      <x:c r="AE32" s="21">
        <x:f t="shared" si="42"/>
        <x:v>0.59018999999999999</x:v>
      </x:c>
      <x:c r="AF32" s="21"/>
      <x:c r="AG32" s="19" t="s">
        <x:v>78</x:v>
      </x:c>
      <x:c r="AH32" t="s">
        <x:v>78</x:v>
      </x:c>
      <x:c r="AI32" t="s">
        <x:v>78</x:v>
      </x:c>
      <x:c r="AJ32" s="19"/>
      <x:c r="AK32" s="19" t="s">
        <x:v>78</x:v>
      </x:c>
      <x:c r="AL32" t="s">
        <x:v>78</x:v>
      </x:c>
      <x:c r="AM32" s="19" t="s">
        <x:v>78</x:v>
      </x:c>
      <x:c r="AN32" s="21"/>
      <x:c r="AO32" s="21"/>
      <x:c r="AP32" s="21"/>
      <x:c r="AQ32" s="21"/>
      <x:c r="AR32" s="21"/>
      <x:c r="AS32" s="21"/>
      <x:c r="AT32" s="21"/>
      <x:c r="AU32" s="21"/>
      <x:c r="AV32" s="21"/>
      <x:c r="AW32" t="s">
        <x:v>78</x:v>
      </x:c>
      <x:c r="AX32" s="19"/>
      <x:c r="AY32" s="21"/>
      <x:c r="AZ32" s="21"/>
      <x:c r="BA32" s="21"/>
      <x:c r="BB32" s="21"/>
      <x:c r="BC32" s="21"/>
      <x:c r="BD32" s="21"/>
      <x:c r="BE32" s="21"/>
      <x:c r="BF32" s="21"/>
      <x:c r="BG32" s="21"/>
      <x:c r="BH32" t="s">
        <x:v>81</x:v>
      </x:c>
      <x:c r="BI32" s="18">
        <x:v>113</x:v>
      </x:c>
      <x:c r="BJ32" s="18">
        <x:v>24</x:v>
      </x:c>
      <x:c r="BK32" s="18">
        <x:v>3</x:v>
      </x:c>
      <x:c r="BL32" s="18">
        <x:v>23</x:v>
      </x:c>
      <x:c r="BM32" s="18">
        <x:v>4</x:v>
      </x:c>
      <x:c r="BN32" s="18">
        <x:v>1</x:v>
      </x:c>
      <x:c r="BO32" s="22">
        <x:v>113.400833333333</x:v>
      </x:c>
      <x:c r="BP32" s="22">
        <x:v>23.066944444444399</x:v>
      </x:c>
      <x:c r="BQ32" s="18">
        <x:v>40</x:v>
      </x:c>
      <x:c r="BR32" s="18">
        <x:v>71792.899999999994</x:v>
      </x:c>
      <x:c r="BS32" t="s">
        <x:v>78</x:v>
      </x:c>
      <x:c r="BT32" t="s">
        <x:v>78</x:v>
      </x:c>
      <x:c r="BU32" s="18">
        <x:v>37.476999999999997</x:v>
      </x:c>
      <x:c r="BV32" s="18">
        <x:v>37.476999999999997</x:v>
      </x:c>
      <x:c r="BW32" t="s">
        <x:v>78</x:v>
      </x:c>
      <x:c r="BX32" t="s">
        <x:v>78</x:v>
      </x:c>
      <x:c r="BY32" t="s">
        <x:v>78</x:v>
      </x:c>
      <x:c r="BZ32" t="s">
        <x:v>78</x:v>
      </x:c>
      <x:c r="CA32" s="23">
        <x:f t="shared" si="6"/>
        <x:v>0.43969154999999999</x:v>
      </x:c>
      <x:c r="CB32" s="23">
        <x:f t="shared" si="7"/>
        <x:v>120.98894999999999</x:v>
      </x:c>
      <x:c r="CC32" s="23">
        <x:f t="shared" si="8"/>
        <x:v>38.362349999999999</x:v>
      </x:c>
      <x:c r="CD32" s="23">
        <x:f t="shared" si="9"/>
        <x:v>0.88528499999999988</x:v>
      </x:c>
      <x:c r="CE32" s="23">
        <x:f t="shared" si="10"/>
        <x:v>0.88528499999999988</x:v>
      </x:c>
      <x:c r="CF32" s="23">
        <x:f t="shared" si="11"/>
        <x:v>0</x:v>
      </x:c>
      <x:c r="CG32" s="23">
        <x:f t="shared" si="12"/>
        <x:v>0</x:v>
      </x:c>
      <x:c r="CH32" s="23">
        <x:f t="shared" si="13"/>
        <x:v>0.59018999999999999</x:v>
      </x:c>
      <x:c r="CI32" s="23">
        <x:f t="shared" si="14"/>
        <x:v>0</x:v>
      </x:c>
      <x:c r="CJ32" s="24" t="s">
        <x:v>78</x:v>
      </x:c>
      <x:c r="CK32" s="25">
        <x:v>0</x:v>
      </x:c>
      <x:c r="CL32" s="26" t="s">
        <x:v>78</x:v>
      </x:c>
      <x:c r="CM32" s="26">
        <x:v>42</x:v>
      </x:c>
      <x:c r="CN32" s="27" t="s">
        <x:v>78</x:v>
      </x:c>
      <x:c r="CO32" s="27">
        <x:v>0</x:v>
      </x:c>
      <x:c r="CP32" s="27">
        <x:v>0</x:v>
      </x:c>
      <x:c r="CQ32" s="26">
        <x:f t="shared" si="15"/>
        <x:v>0.43969154999999999</x:v>
      </x:c>
      <x:c r="CR32" s="26">
        <x:f t="shared" si="16"/>
        <x:v>70.173591000000002</x:v>
      </x:c>
      <x:c r="CS32" s="26">
        <x:f t="shared" si="22"/>
        <x:v>38.362349999999999</x:v>
      </x:c>
      <x:c r="CT32" s="26">
        <x:f t="shared" si="43"/>
        <x:v>0.88528499999999988</x:v>
      </x:c>
      <x:c r="CU32" s="26">
        <x:f t="shared" si="44"/>
        <x:v>0.88528499999999988</x:v>
      </x:c>
      <x:c r="CV32" s="26">
        <x:f t="shared" si="45"/>
        <x:v>0</x:v>
      </x:c>
      <x:c r="CW32" s="26">
        <x:f t="shared" si="46"/>
        <x:v>0</x:v>
      </x:c>
      <x:c r="CX32" s="26">
        <x:f t="shared" si="23"/>
        <x:v>0.59018999999999999</x:v>
      </x:c>
      <x:c r="CY32" s="26">
        <x:f t="shared" si="24"/>
        <x:v>0</x:v>
      </x:c>
    </x:row>
    <x:row r="33">
      <x:c r="A33" s="18">
        <x:v>2022</x:v>
      </x:c>
      <x:c r="B33" t="s">
        <x:v>137</x:v>
      </x:c>
      <x:c r="C33" t="s">
        <x:v>138</x:v>
      </x:c>
      <x:c r="D33" t="s">
        <x:v>139</x:v>
      </x:c>
      <x:c r="E33" s="18">
        <x:v>440113</x:v>
      </x:c>
      <x:c r="F33" t="s">
        <x:v>140</x:v>
      </x:c>
      <x:c r="G33" t="s">
        <x:v>69</x:v>
      </x:c>
      <x:c r="H33" s="18">
        <x:v>4412</x:v>
      </x:c>
      <x:c r="I33" t="s">
        <x:v>108</x:v>
      </x:c>
      <x:c r="J33" t="s">
        <x:v>78</x:v>
      </x:c>
      <x:c r="K33" t="s">
        <x:v>80</x:v>
      </x:c>
      <x:c r="L33" s="18">
        <x:v>7.8</x:v>
      </x:c>
      <x:c r="M33" t="s">
        <x:v>78</x:v>
      </x:c>
      <x:c r="N33" s="18">
        <x:v>76.8</x:v>
      </x:c>
      <x:c r="O33" t="s">
        <x:v>88</x:v>
      </x:c>
      <x:c r="P33" s="18">
        <x:v>15</x:v>
      </x:c>
      <x:c r="Q33" s="19" t="s">
        <x:v>96</x:v>
      </x:c>
      <x:c r="R33" s="18">
        <x:v>9426.9599999999991</x:v>
      </x:c>
      <x:c r="S33" t="s">
        <x:v>76</x:v>
      </x:c>
      <x:c r="T33" s="19">
        <x:f t="shared" si="30"/>
        <x:v>9426.9599999999991</x:v>
      </x:c>
      <x:c r="U33" s="20">
        <x:v>7.45</x:v>
      </x:c>
      <x:c r="V33" t="s">
        <x:v>77</x:v>
      </x:c>
      <x:c r="W33" s="19" t="s">
        <x:v>78</x:v>
      </x:c>
      <x:c r="X33" s="21">
        <x:f t="shared" si="37"/>
        <x:v>1.40461704</x:v>
      </x:c>
      <x:c r="Y33" s="21">
        <x:f t="shared" si="38"/>
        <x:v>386.50535999999994</x:v>
      </x:c>
      <x:c r="Z33" s="21">
        <x:f t="shared" si="39"/>
        <x:v>122.55047999999998</x:v>
      </x:c>
      <x:c r="AA33" s="21">
        <x:f t="shared" si="40"/>
        <x:v>2.8280879999999997</x:v>
      </x:c>
      <x:c r="AB33" s="21">
        <x:f t="shared" si="41"/>
        <x:v>2.8280879999999997</x:v>
      </x:c>
      <x:c r="AC33" s="21"/>
      <x:c r="AD33" s="21"/>
      <x:c r="AE33" s="21">
        <x:f t="shared" si="42"/>
        <x:v>1.885392</x:v>
      </x:c>
      <x:c r="AF33" s="21"/>
      <x:c r="AG33" s="19" t="s">
        <x:v>78</x:v>
      </x:c>
      <x:c r="AH33" t="s">
        <x:v>78</x:v>
      </x:c>
      <x:c r="AI33" t="s">
        <x:v>78</x:v>
      </x:c>
      <x:c r="AJ33" s="19"/>
      <x:c r="AK33" s="19" t="s">
        <x:v>78</x:v>
      </x:c>
      <x:c r="AL33" t="s">
        <x:v>78</x:v>
      </x:c>
      <x:c r="AM33" s="19" t="s">
        <x:v>78</x:v>
      </x:c>
      <x:c r="AN33" s="21"/>
      <x:c r="AO33" s="21"/>
      <x:c r="AP33" s="21"/>
      <x:c r="AQ33" s="21"/>
      <x:c r="AR33" s="21"/>
      <x:c r="AS33" s="21"/>
      <x:c r="AT33" s="21"/>
      <x:c r="AU33" s="21"/>
      <x:c r="AV33" s="21"/>
      <x:c r="AW33" t="s">
        <x:v>78</x:v>
      </x:c>
      <x:c r="AX33" s="19"/>
      <x:c r="AY33" s="21"/>
      <x:c r="AZ33" s="21"/>
      <x:c r="BA33" s="21"/>
      <x:c r="BB33" s="21"/>
      <x:c r="BC33" s="21"/>
      <x:c r="BD33" s="21"/>
      <x:c r="BE33" s="21"/>
      <x:c r="BF33" s="21"/>
      <x:c r="BG33" s="21"/>
      <x:c r="BH33" t="s">
        <x:v>79</x:v>
      </x:c>
      <x:c r="BI33" s="18">
        <x:v>113</x:v>
      </x:c>
      <x:c r="BJ33" s="18">
        <x:v>24</x:v>
      </x:c>
      <x:c r="BK33" s="18">
        <x:v>3</x:v>
      </x:c>
      <x:c r="BL33" s="18">
        <x:v>23</x:v>
      </x:c>
      <x:c r="BM33" s="18">
        <x:v>4</x:v>
      </x:c>
      <x:c r="BN33" s="18">
        <x:v>1</x:v>
      </x:c>
      <x:c r="BO33" s="22">
        <x:v>113.400833333333</x:v>
      </x:c>
      <x:c r="BP33" s="22">
        <x:v>23.066944444444399</x:v>
      </x:c>
      <x:c r="BQ33" s="18">
        <x:v>40</x:v>
      </x:c>
      <x:c r="BR33" s="18">
        <x:v>280093.90000000002</x:v>
      </x:c>
      <x:c r="BS33" t="s">
        <x:v>78</x:v>
      </x:c>
      <x:c r="BT33" t="s">
        <x:v>78</x:v>
      </x:c>
      <x:c r="BU33" s="18">
        <x:v>119.72199999999999</x:v>
      </x:c>
      <x:c r="BV33" s="18">
        <x:v>119.72199999999999</x:v>
      </x:c>
      <x:c r="BW33" t="s">
        <x:v>78</x:v>
      </x:c>
      <x:c r="BX33" t="s">
        <x:v>78</x:v>
      </x:c>
      <x:c r="BY33" t="s">
        <x:v>78</x:v>
      </x:c>
      <x:c r="BZ33" t="s">
        <x:v>78</x:v>
      </x:c>
      <x:c r="CA33" s="23">
        <x:f t="shared" si="6"/>
        <x:v>1.40461704</x:v>
      </x:c>
      <x:c r="CB33" s="23">
        <x:f t="shared" si="7"/>
        <x:v>386.50535999999994</x:v>
      </x:c>
      <x:c r="CC33" s="23">
        <x:f t="shared" si="8"/>
        <x:v>122.55047999999998</x:v>
      </x:c>
      <x:c r="CD33" s="23">
        <x:f t="shared" si="9"/>
        <x:v>2.8280879999999997</x:v>
      </x:c>
      <x:c r="CE33" s="23">
        <x:f t="shared" si="10"/>
        <x:v>2.8280879999999997</x:v>
      </x:c>
      <x:c r="CF33" s="23">
        <x:f t="shared" si="11"/>
        <x:v>0</x:v>
      </x:c>
      <x:c r="CG33" s="23">
        <x:f t="shared" si="12"/>
        <x:v>0</x:v>
      </x:c>
      <x:c r="CH33" s="23">
        <x:f t="shared" si="13"/>
        <x:v>1.885392</x:v>
      </x:c>
      <x:c r="CI33" s="23">
        <x:f t="shared" si="14"/>
        <x:v>0</x:v>
      </x:c>
      <x:c r="CJ33" s="24" t="s">
        <x:v>78</x:v>
      </x:c>
      <x:c r="CK33" s="25">
        <x:v>0</x:v>
      </x:c>
      <x:c r="CL33" s="26" t="s">
        <x:v>78</x:v>
      </x:c>
      <x:c r="CM33" s="26">
        <x:v>42</x:v>
      </x:c>
      <x:c r="CN33" s="27" t="s">
        <x:v>78</x:v>
      </x:c>
      <x:c r="CO33" s="27">
        <x:v>0</x:v>
      </x:c>
      <x:c r="CP33" s="27">
        <x:v>0</x:v>
      </x:c>
      <x:c r="CQ33" s="26">
        <x:f t="shared" si="15"/>
        <x:v>1.40461704</x:v>
      </x:c>
      <x:c r="CR33" s="26">
        <x:f t="shared" si="16"/>
        <x:v>224.17310879999999</x:v>
      </x:c>
      <x:c r="CS33" s="26">
        <x:f t="shared" si="22"/>
        <x:v>122.55047999999998</x:v>
      </x:c>
      <x:c r="CT33" s="26">
        <x:f t="shared" si="43"/>
        <x:v>2.8280879999999997</x:v>
      </x:c>
      <x:c r="CU33" s="26">
        <x:f t="shared" si="44"/>
        <x:v>2.8280879999999997</x:v>
      </x:c>
      <x:c r="CV33" s="26">
        <x:f t="shared" si="45"/>
        <x:v>0</x:v>
      </x:c>
      <x:c r="CW33" s="26">
        <x:f t="shared" si="46"/>
        <x:v>0</x:v>
      </x:c>
      <x:c r="CX33" s="26">
        <x:f t="shared" si="23"/>
        <x:v>1.885392</x:v>
      </x:c>
      <x:c r="CY33" s="26">
        <x:f t="shared" si="24"/>
        <x:v>0</x:v>
      </x:c>
    </x:row>
    <x:row r="34">
      <x:c r="A34" s="18">
        <x:v>2022</x:v>
      </x:c>
      <x:c r="B34" t="s">
        <x:v>141</x:v>
      </x:c>
      <x:c r="C34" t="s">
        <x:v>142</x:v>
      </x:c>
      <x:c r="D34" t="s">
        <x:v>143</x:v>
      </x:c>
      <x:c r="E34" s="18">
        <x:v>440113</x:v>
      </x:c>
      <x:c r="F34" t="s">
        <x:v>140</x:v>
      </x:c>
      <x:c r="G34" t="s">
        <x:v>69</x:v>
      </x:c>
      <x:c r="H34" s="18">
        <x:v>4412</x:v>
      </x:c>
      <x:c r="I34" t="s">
        <x:v>108</x:v>
      </x:c>
      <x:c r="J34" t="s">
        <x:v>78</x:v>
      </x:c>
      <x:c r="K34" t="s">
        <x:v>80</x:v>
      </x:c>
      <x:c r="L34" s="18">
        <x:v>0.97799999999999998</x:v>
      </x:c>
      <x:c r="M34" t="s">
        <x:v>78</x:v>
      </x:c>
      <x:c r="N34" s="18">
        <x:v>1.4</x:v>
      </x:c>
      <x:c r="O34" t="s">
        <x:v>74</x:v>
      </x:c>
      <x:c r="P34" s="18">
        <x:v>15</x:v>
      </x:c>
      <x:c r="Q34" s="19" t="s">
        <x:v>96</x:v>
      </x:c>
      <x:c r="R34" s="18">
        <x:v>73.69</x:v>
      </x:c>
      <x:c r="S34" t="s">
        <x:v>76</x:v>
      </x:c>
      <x:c r="T34" s="19">
        <x:f t="shared" si="30"/>
        <x:v>73.69</x:v>
      </x:c>
      <x:c r="U34" s="20">
        <x:v>7.45</x:v>
      </x:c>
      <x:c r="V34" t="s">
        <x:v>77</x:v>
      </x:c>
      <x:c r="W34" s="19" t="s">
        <x:v>78</x:v>
      </x:c>
      <x:c r="X34" s="21">
        <x:f t="shared" si="37"/>
        <x:v>1.097981E-2</x:v>
      </x:c>
      <x:c r="Y34" s="21">
        <x:f t="shared" si="38"/>
        <x:v>3.0212899999999996</x:v>
      </x:c>
      <x:c r="Z34" s="21">
        <x:f t="shared" si="39"/>
        <x:v>0.95796999999999999</x:v>
      </x:c>
      <x:c r="AA34" s="21">
        <x:f t="shared" si="40"/>
        <x:v>2.2106999999999995E-2</x:v>
      </x:c>
      <x:c r="AB34" s="21">
        <x:f t="shared" si="41"/>
        <x:v>2.2106999999999995E-2</x:v>
      </x:c>
      <x:c r="AC34" s="21"/>
      <x:c r="AD34" s="21"/>
      <x:c r="AE34" s="21">
        <x:f t="shared" si="42"/>
        <x:v>1.4737999999999999E-2</x:v>
      </x:c>
      <x:c r="AF34" s="21"/>
      <x:c r="AG34" s="19" t="s">
        <x:v>78</x:v>
      </x:c>
      <x:c r="AH34" t="s">
        <x:v>78</x:v>
      </x:c>
      <x:c r="AI34" t="s">
        <x:v>78</x:v>
      </x:c>
      <x:c r="AJ34" s="19"/>
      <x:c r="AK34" s="19" t="s">
        <x:v>78</x:v>
      </x:c>
      <x:c r="AL34" t="s">
        <x:v>78</x:v>
      </x:c>
      <x:c r="AM34" s="19" t="s">
        <x:v>78</x:v>
      </x:c>
      <x:c r="AN34" s="21"/>
      <x:c r="AO34" s="21"/>
      <x:c r="AP34" s="21"/>
      <x:c r="AQ34" s="21"/>
      <x:c r="AR34" s="21"/>
      <x:c r="AS34" s="21"/>
      <x:c r="AT34" s="21"/>
      <x:c r="AU34" s="21"/>
      <x:c r="AV34" s="21"/>
      <x:c r="AW34" t="s">
        <x:v>78</x:v>
      </x:c>
      <x:c r="AX34" s="19"/>
      <x:c r="AY34" s="21"/>
      <x:c r="AZ34" s="21"/>
      <x:c r="BA34" s="21"/>
      <x:c r="BB34" s="21"/>
      <x:c r="BC34" s="21"/>
      <x:c r="BD34" s="21"/>
      <x:c r="BE34" s="21"/>
      <x:c r="BF34" s="21"/>
      <x:c r="BG34" s="21"/>
      <x:c r="BH34" t="s">
        <x:v>81</x:v>
      </x:c>
      <x:c r="BI34" s="18">
        <x:v>113</x:v>
      </x:c>
      <x:c r="BJ34" s="18">
        <x:v>20</x:v>
      </x:c>
      <x:c r="BK34" s="18">
        <x:v>36.17</x:v>
      </x:c>
      <x:c r="BL34" s="18">
        <x:v>23</x:v>
      </x:c>
      <x:c r="BM34" s="18">
        <x:v>0</x:v>
      </x:c>
      <x:c r="BN34" s="18">
        <x:v>49.14</x:v>
      </x:c>
      <x:c r="BO34" s="22">
        <x:v>113.343380555556</x:v>
      </x:c>
      <x:c r="BP34" s="22">
        <x:v>23.013649999999998</x:v>
      </x:c>
      <x:c r="BQ34" s="18">
        <x:v>72</x:v>
      </x:c>
      <x:c r="BR34" s="18">
        <x:v>3040</x:v>
      </x:c>
      <x:c r="BS34" t="s">
        <x:v>78</x:v>
      </x:c>
      <x:c r="BT34" t="s">
        <x:v>78</x:v>
      </x:c>
      <x:c r="BU34" s="18">
        <x:v>0.93600000000000005</x:v>
      </x:c>
      <x:c r="BV34" s="18">
        <x:v>0.32800000000000001</x:v>
      </x:c>
      <x:c r="BW34" t="s">
        <x:v>78</x:v>
      </x:c>
      <x:c r="BX34" t="s">
        <x:v>78</x:v>
      </x:c>
      <x:c r="BY34" t="s">
        <x:v>78</x:v>
      </x:c>
      <x:c r="BZ34" t="s">
        <x:v>78</x:v>
      </x:c>
      <x:c r="CA34" s="23">
        <x:f t="shared" si="6"/>
        <x:v>1.097981E-2</x:v>
      </x:c>
      <x:c r="CB34" s="23">
        <x:f t="shared" si="7"/>
        <x:v>3.0212899999999996</x:v>
      </x:c>
      <x:c r="CC34" s="23">
        <x:f t="shared" si="8"/>
        <x:v>0.95796999999999999</x:v>
      </x:c>
      <x:c r="CD34" s="23">
        <x:f t="shared" si="9"/>
        <x:v>2.2106999999999995E-2</x:v>
      </x:c>
      <x:c r="CE34" s="23">
        <x:f t="shared" si="10"/>
        <x:v>2.2106999999999995E-2</x:v>
      </x:c>
      <x:c r="CF34" s="23">
        <x:f t="shared" si="11"/>
        <x:v>0</x:v>
      </x:c>
      <x:c r="CG34" s="23">
        <x:f t="shared" si="12"/>
        <x:v>0</x:v>
      </x:c>
      <x:c r="CH34" s="23">
        <x:f t="shared" si="13"/>
        <x:v>1.4737999999999999E-2</x:v>
      </x:c>
      <x:c r="CI34" s="23">
        <x:f t="shared" si="14"/>
        <x:v>0</x:v>
      </x:c>
      <x:c r="CJ34" s="24" t="s">
        <x:v>78</x:v>
      </x:c>
      <x:c r="CK34" s="25">
        <x:v>0</x:v>
      </x:c>
      <x:c r="CL34" s="26" t="s">
        <x:v>97</x:v>
      </x:c>
      <x:c r="CM34" s="28">
        <x:v>90</x:v>
      </x:c>
      <x:c r="CN34" s="27" t="s">
        <x:v>78</x:v>
      </x:c>
      <x:c r="CO34" s="27">
        <x:v>0</x:v>
      </x:c>
      <x:c r="CP34" s="27">
        <x:v>0</x:v>
      </x:c>
      <x:c r="CQ34" s="26">
        <x:f t="shared" si="15"/>
        <x:v>1.097981E-2</x:v>
      </x:c>
      <x:c r="CR34" s="26">
        <x:f t="shared" si="16"/>
        <x:v>0.30212899999999987</x:v>
      </x:c>
      <x:c r="CS34" s="26">
        <x:f t="shared" si="22"/>
        <x:v>0.95796999999999999</x:v>
      </x:c>
      <x:c r="CT34" s="26">
        <x:f t="shared" si="43"/>
        <x:v>2.2106999999999995E-2</x:v>
      </x:c>
      <x:c r="CU34" s="26">
        <x:f t="shared" si="44"/>
        <x:v>2.2106999999999995E-2</x:v>
      </x:c>
      <x:c r="CV34" s="26">
        <x:f t="shared" si="45"/>
        <x:v>0</x:v>
      </x:c>
      <x:c r="CW34" s="26">
        <x:f t="shared" si="46"/>
        <x:v>0</x:v>
      </x:c>
      <x:c r="CX34" s="26">
        <x:f t="shared" si="23"/>
        <x:v>1.4737999999999999E-2</x:v>
      </x:c>
      <x:c r="CY34" s="26">
        <x:f t="shared" si="24"/>
        <x:v>0</x:v>
      </x:c>
    </x:row>
    <x:row r="35">
      <x:c r="A35" s="18">
        <x:v>2022</x:v>
      </x:c>
      <x:c r="B35" t="s">
        <x:v>141</x:v>
      </x:c>
      <x:c r="C35" t="s">
        <x:v>142</x:v>
      </x:c>
      <x:c r="D35" t="s">
        <x:v>143</x:v>
      </x:c>
      <x:c r="E35" s="18">
        <x:v>440113</x:v>
      </x:c>
      <x:c r="F35" t="s">
        <x:v>140</x:v>
      </x:c>
      <x:c r="G35" t="s">
        <x:v>69</x:v>
      </x:c>
      <x:c r="H35" s="18">
        <x:v>4412</x:v>
      </x:c>
      <x:c r="I35" t="s">
        <x:v>108</x:v>
      </x:c>
      <x:c r="J35" t="s">
        <x:v>78</x:v>
      </x:c>
      <x:c r="K35" t="s">
        <x:v>80</x:v>
      </x:c>
      <x:c r="L35" s="18">
        <x:v>0.97799999999999998</x:v>
      </x:c>
      <x:c r="M35" t="s">
        <x:v>78</x:v>
      </x:c>
      <x:c r="N35" s="18">
        <x:v>1.4</x:v>
      </x:c>
      <x:c r="O35" t="s">
        <x:v>74</x:v>
      </x:c>
      <x:c r="P35" s="18">
        <x:v>15</x:v>
      </x:c>
      <x:c r="Q35" s="19" t="s">
        <x:v>96</x:v>
      </x:c>
      <x:c r="R35" s="18">
        <x:v>86.39</x:v>
      </x:c>
      <x:c r="S35" t="s">
        <x:v>76</x:v>
      </x:c>
      <x:c r="T35" s="19">
        <x:f t="shared" si="30"/>
        <x:v>86.39</x:v>
      </x:c>
      <x:c r="U35" s="20">
        <x:v>7.45</x:v>
      </x:c>
      <x:c r="V35" t="s">
        <x:v>77</x:v>
      </x:c>
      <x:c r="W35" s="19" t="s">
        <x:v>78</x:v>
      </x:c>
      <x:c r="X35" s="21">
        <x:f t="shared" si="37"/>
        <x:v>1.2872110000000001E-2</x:v>
      </x:c>
      <x:c r="Y35" s="21">
        <x:f t="shared" si="38"/>
        <x:v>3.5419899999999997</x:v>
      </x:c>
      <x:c r="Z35" s="21">
        <x:f t="shared" si="39"/>
        <x:v>1.12307</x:v>
      </x:c>
      <x:c r="AA35" s="21">
        <x:f t="shared" si="40"/>
        <x:v>2.5916999999999999E-2</x:v>
      </x:c>
      <x:c r="AB35" s="21">
        <x:f t="shared" si="41"/>
        <x:v>2.5916999999999999E-2</x:v>
      </x:c>
      <x:c r="AC35" s="21"/>
      <x:c r="AD35" s="21"/>
      <x:c r="AE35" s="21">
        <x:f t="shared" si="42"/>
        <x:v>1.7278000000000002E-2</x:v>
      </x:c>
      <x:c r="AF35" s="21"/>
      <x:c r="AG35" s="19" t="s">
        <x:v>78</x:v>
      </x:c>
      <x:c r="AH35" t="s">
        <x:v>78</x:v>
      </x:c>
      <x:c r="AI35" t="s">
        <x:v>78</x:v>
      </x:c>
      <x:c r="AJ35" s="19"/>
      <x:c r="AK35" s="19" t="s">
        <x:v>78</x:v>
      </x:c>
      <x:c r="AL35" t="s">
        <x:v>78</x:v>
      </x:c>
      <x:c r="AM35" s="19" t="s">
        <x:v>78</x:v>
      </x:c>
      <x:c r="AN35" s="21"/>
      <x:c r="AO35" s="21"/>
      <x:c r="AP35" s="21"/>
      <x:c r="AQ35" s="21"/>
      <x:c r="AR35" s="21"/>
      <x:c r="AS35" s="21"/>
      <x:c r="AT35" s="21"/>
      <x:c r="AU35" s="21"/>
      <x:c r="AV35" s="21"/>
      <x:c r="AW35" t="s">
        <x:v>78</x:v>
      </x:c>
      <x:c r="AX35" s="19"/>
      <x:c r="AY35" s="21"/>
      <x:c r="AZ35" s="21"/>
      <x:c r="BA35" s="21"/>
      <x:c r="BB35" s="21"/>
      <x:c r="BC35" s="21"/>
      <x:c r="BD35" s="21"/>
      <x:c r="BE35" s="21"/>
      <x:c r="BF35" s="21"/>
      <x:c r="BG35" s="21"/>
      <x:c r="BH35" t="s">
        <x:v>79</x:v>
      </x:c>
      <x:c r="BI35" s="18">
        <x:v>113</x:v>
      </x:c>
      <x:c r="BJ35" s="18">
        <x:v>20</x:v>
      </x:c>
      <x:c r="BK35" s="18">
        <x:v>36.24</x:v>
      </x:c>
      <x:c r="BL35" s="18">
        <x:v>23</x:v>
      </x:c>
      <x:c r="BM35" s="18">
        <x:v>0</x:v>
      </x:c>
      <x:c r="BN35" s="18">
        <x:v>49.14</x:v>
      </x:c>
      <x:c r="BO35" s="22">
        <x:v>113.3434</x:v>
      </x:c>
      <x:c r="BP35" s="22">
        <x:v>23.013649999999998</x:v>
      </x:c>
      <x:c r="BQ35" s="18">
        <x:v>72</x:v>
      </x:c>
      <x:c r="BR35" s="18">
        <x:v>1919</x:v>
      </x:c>
      <x:c r="BS35" t="s">
        <x:v>78</x:v>
      </x:c>
      <x:c r="BT35" t="s">
        <x:v>78</x:v>
      </x:c>
      <x:c r="BU35" s="18">
        <x:v>1.097</x:v>
      </x:c>
      <x:c r="BV35" s="18">
        <x:v>0.38400000000000001</x:v>
      </x:c>
      <x:c r="BW35" t="s">
        <x:v>78</x:v>
      </x:c>
      <x:c r="BX35" t="s">
        <x:v>78</x:v>
      </x:c>
      <x:c r="BY35" t="s">
        <x:v>78</x:v>
      </x:c>
      <x:c r="BZ35" t="s">
        <x:v>78</x:v>
      </x:c>
      <x:c r="CA35" s="23">
        <x:f t="shared" si="6"/>
        <x:v>1.2872110000000001E-2</x:v>
      </x:c>
      <x:c r="CB35" s="23">
        <x:f t="shared" si="7"/>
        <x:v>3.5419899999999997</x:v>
      </x:c>
      <x:c r="CC35" s="23">
        <x:f t="shared" si="8"/>
        <x:v>1.12307</x:v>
      </x:c>
      <x:c r="CD35" s="23">
        <x:f t="shared" si="9"/>
        <x:v>2.5916999999999999E-2</x:v>
      </x:c>
      <x:c r="CE35" s="23">
        <x:f t="shared" si="10"/>
        <x:v>2.5916999999999999E-2</x:v>
      </x:c>
      <x:c r="CF35" s="23">
        <x:f t="shared" si="11"/>
        <x:v>0</x:v>
      </x:c>
      <x:c r="CG35" s="23">
        <x:f t="shared" si="12"/>
        <x:v>0</x:v>
      </x:c>
      <x:c r="CH35" s="23">
        <x:f t="shared" si="13"/>
        <x:v>1.7278000000000002E-2</x:v>
      </x:c>
      <x:c r="CI35" s="23">
        <x:f t="shared" si="14"/>
        <x:v>0</x:v>
      </x:c>
      <x:c r="CJ35" s="24" t="s">
        <x:v>78</x:v>
      </x:c>
      <x:c r="CK35" s="25">
        <x:v>0</x:v>
      </x:c>
      <x:c r="CL35" s="26" t="s">
        <x:v>97</x:v>
      </x:c>
      <x:c r="CM35" s="28">
        <x:v>90</x:v>
      </x:c>
      <x:c r="CN35" s="27" t="s">
        <x:v>78</x:v>
      </x:c>
      <x:c r="CO35" s="27">
        <x:v>0</x:v>
      </x:c>
      <x:c r="CP35" s="27">
        <x:v>0</x:v>
      </x:c>
      <x:c r="CQ35" s="26">
        <x:f t="shared" si="15"/>
        <x:v>1.2872110000000001E-2</x:v>
      </x:c>
      <x:c r="CR35" s="26">
        <x:f t="shared" si="16"/>
        <x:v>0.35419899999999988</x:v>
      </x:c>
      <x:c r="CS35" s="26">
        <x:f t="shared" si="22"/>
        <x:v>1.12307</x:v>
      </x:c>
      <x:c r="CT35" s="26">
        <x:f t="shared" si="43"/>
        <x:v>2.5916999999999999E-2</x:v>
      </x:c>
      <x:c r="CU35" s="26">
        <x:f t="shared" si="44"/>
        <x:v>2.5916999999999999E-2</x:v>
      </x:c>
      <x:c r="CV35" s="26">
        <x:f t="shared" si="45"/>
        <x:v>0</x:v>
      </x:c>
      <x:c r="CW35" s="26">
        <x:f t="shared" si="46"/>
        <x:v>0</x:v>
      </x:c>
      <x:c r="CX35" s="26">
        <x:f t="shared" si="23"/>
        <x:v>1.7278000000000002E-2</x:v>
      </x:c>
      <x:c r="CY35" s="26">
        <x:f t="shared" si="24"/>
        <x:v>0</x:v>
      </x:c>
    </x:row>
    <x:row r="36">
      <x:c r="A36" s="18">
        <x:v>2022</x:v>
      </x:c>
      <x:c r="B36" t="s">
        <x:v>141</x:v>
      </x:c>
      <x:c r="C36" t="s">
        <x:v>142</x:v>
      </x:c>
      <x:c r="D36" t="s">
        <x:v>143</x:v>
      </x:c>
      <x:c r="E36" s="18">
        <x:v>440113</x:v>
      </x:c>
      <x:c r="F36" t="s">
        <x:v>140</x:v>
      </x:c>
      <x:c r="G36" t="s">
        <x:v>69</x:v>
      </x:c>
      <x:c r="H36" s="18">
        <x:v>4412</x:v>
      </x:c>
      <x:c r="I36" t="s">
        <x:v>108</x:v>
      </x:c>
      <x:c r="J36" t="s">
        <x:v>78</x:v>
      </x:c>
      <x:c r="K36" t="s">
        <x:v>80</x:v>
      </x:c>
      <x:c r="L36" s="18">
        <x:v>0.97799999999999998</x:v>
      </x:c>
      <x:c r="M36" t="s">
        <x:v>78</x:v>
      </x:c>
      <x:c r="N36" s="18">
        <x:v>1.4</x:v>
      </x:c>
      <x:c r="O36" t="s">
        <x:v>74</x:v>
      </x:c>
      <x:c r="P36" s="18">
        <x:v>15</x:v>
      </x:c>
      <x:c r="Q36" s="19" t="s">
        <x:v>96</x:v>
      </x:c>
      <x:c r="R36" s="18">
        <x:v>64.430000000000007</x:v>
      </x:c>
      <x:c r="S36" t="s">
        <x:v>76</x:v>
      </x:c>
      <x:c r="T36" s="19">
        <x:f t="shared" si="30"/>
        <x:v>64.430000000000007</x:v>
      </x:c>
      <x:c r="U36" s="20">
        <x:v>7.45</x:v>
      </x:c>
      <x:c r="V36" t="s">
        <x:v>77</x:v>
      </x:c>
      <x:c r="W36" s="19" t="s">
        <x:v>78</x:v>
      </x:c>
      <x:c r="X36" s="21">
        <x:f t="shared" si="37"/>
        <x:v>9.6000700000000022E-3</x:v>
      </x:c>
      <x:c r="Y36" s="21">
        <x:f t="shared" si="38"/>
        <x:v>2.6416300000000001</x:v>
      </x:c>
      <x:c r="Z36" s="21">
        <x:f t="shared" si="39"/>
        <x:v>0.83759000000000017</x:v>
      </x:c>
      <x:c r="AA36" s="21">
        <x:f t="shared" si="40"/>
        <x:v>1.9328999999999999E-2</x:v>
      </x:c>
      <x:c r="AB36" s="21">
        <x:f t="shared" si="41"/>
        <x:v>1.9328999999999999E-2</x:v>
      </x:c>
      <x:c r="AC36" s="21"/>
      <x:c r="AD36" s="21"/>
      <x:c r="AE36" s="21">
        <x:f t="shared" si="42"/>
        <x:v>1.2886000000000002E-2</x:v>
      </x:c>
      <x:c r="AF36" s="21"/>
      <x:c r="AG36" s="19" t="s">
        <x:v>78</x:v>
      </x:c>
      <x:c r="AH36" t="s">
        <x:v>78</x:v>
      </x:c>
      <x:c r="AI36" t="s">
        <x:v>78</x:v>
      </x:c>
      <x:c r="AJ36" s="19"/>
      <x:c r="AK36" s="19" t="s">
        <x:v>78</x:v>
      </x:c>
      <x:c r="AL36" t="s">
        <x:v>78</x:v>
      </x:c>
      <x:c r="AM36" s="19" t="s">
        <x:v>78</x:v>
      </x:c>
      <x:c r="AN36" s="21"/>
      <x:c r="AO36" s="21"/>
      <x:c r="AP36" s="21"/>
      <x:c r="AQ36" s="21"/>
      <x:c r="AR36" s="21"/>
      <x:c r="AS36" s="21"/>
      <x:c r="AT36" s="21"/>
      <x:c r="AU36" s="21"/>
      <x:c r="AV36" s="21"/>
      <x:c r="AW36" t="s">
        <x:v>78</x:v>
      </x:c>
      <x:c r="AX36" s="19"/>
      <x:c r="AY36" s="21"/>
      <x:c r="AZ36" s="21"/>
      <x:c r="BA36" s="21"/>
      <x:c r="BB36" s="21"/>
      <x:c r="BC36" s="21"/>
      <x:c r="BD36" s="21"/>
      <x:c r="BE36" s="21"/>
      <x:c r="BF36" s="21"/>
      <x:c r="BG36" s="21"/>
      <x:c r="BH36" t="s">
        <x:v>82</x:v>
      </x:c>
      <x:c r="BI36" s="18">
        <x:v>113</x:v>
      </x:c>
      <x:c r="BJ36" s="18">
        <x:v>20</x:v>
      </x:c>
      <x:c r="BK36" s="18">
        <x:v>36.31</x:v>
      </x:c>
      <x:c r="BL36" s="18">
        <x:v>23</x:v>
      </x:c>
      <x:c r="BM36" s="18">
        <x:v>0</x:v>
      </x:c>
      <x:c r="BN36" s="18">
        <x:v>49.14</x:v>
      </x:c>
      <x:c r="BO36" s="22">
        <x:v>113.343419444444</x:v>
      </x:c>
      <x:c r="BP36" s="22">
        <x:v>23.013649999999998</x:v>
      </x:c>
      <x:c r="BQ36" s="18">
        <x:v>72</x:v>
      </x:c>
      <x:c r="BR36" s="18">
        <x:v>3403</x:v>
      </x:c>
      <x:c r="BS36" t="s">
        <x:v>78</x:v>
      </x:c>
      <x:c r="BT36" t="s">
        <x:v>78</x:v>
      </x:c>
      <x:c r="BU36" s="18">
        <x:v>0.81899999999999995</x:v>
      </x:c>
      <x:c r="BV36" s="18">
        <x:v>0.28599999999999998</x:v>
      </x:c>
      <x:c r="BW36" t="s">
        <x:v>78</x:v>
      </x:c>
      <x:c r="BX36" t="s">
        <x:v>78</x:v>
      </x:c>
      <x:c r="BY36" t="s">
        <x:v>78</x:v>
      </x:c>
      <x:c r="BZ36" t="s">
        <x:v>78</x:v>
      </x:c>
      <x:c r="CA36" s="23">
        <x:f t="shared" si="6"/>
        <x:v>9.6000700000000022E-3</x:v>
      </x:c>
      <x:c r="CB36" s="23">
        <x:f t="shared" si="7"/>
        <x:v>2.6416300000000001</x:v>
      </x:c>
      <x:c r="CC36" s="23">
        <x:f t="shared" si="8"/>
        <x:v>0.83759000000000017</x:v>
      </x:c>
      <x:c r="CD36" s="23">
        <x:f t="shared" si="9"/>
        <x:v>1.9328999999999999E-2</x:v>
      </x:c>
      <x:c r="CE36" s="23">
        <x:f t="shared" si="10"/>
        <x:v>1.9328999999999999E-2</x:v>
      </x:c>
      <x:c r="CF36" s="23">
        <x:f t="shared" si="11"/>
        <x:v>0</x:v>
      </x:c>
      <x:c r="CG36" s="23">
        <x:f t="shared" si="12"/>
        <x:v>0</x:v>
      </x:c>
      <x:c r="CH36" s="23">
        <x:f t="shared" si="13"/>
        <x:v>1.2886000000000002E-2</x:v>
      </x:c>
      <x:c r="CI36" s="23">
        <x:f t="shared" si="14"/>
        <x:v>0</x:v>
      </x:c>
      <x:c r="CJ36" s="24" t="s">
        <x:v>78</x:v>
      </x:c>
      <x:c r="CK36" s="25">
        <x:v>0</x:v>
      </x:c>
      <x:c r="CL36" s="26" t="s">
        <x:v>97</x:v>
      </x:c>
      <x:c r="CM36" s="28">
        <x:v>90</x:v>
      </x:c>
      <x:c r="CN36" s="27" t="s">
        <x:v>78</x:v>
      </x:c>
      <x:c r="CO36" s="27">
        <x:v>0</x:v>
      </x:c>
      <x:c r="CP36" s="27">
        <x:v>0</x:v>
      </x:c>
      <x:c r="CQ36" s="26">
        <x:f t="shared" si="15"/>
        <x:v>9.6000700000000022E-3</x:v>
      </x:c>
      <x:c r="CR36" s="26">
        <x:f t="shared" si="16"/>
        <x:v>0.26416299999999998</x:v>
      </x:c>
      <x:c r="CS36" s="26">
        <x:f t="shared" si="22"/>
        <x:v>0.83759000000000017</x:v>
      </x:c>
      <x:c r="CT36" s="26">
        <x:f t="shared" si="43"/>
        <x:v>1.9328999999999999E-2</x:v>
      </x:c>
      <x:c r="CU36" s="26">
        <x:f t="shared" si="44"/>
        <x:v>1.9328999999999999E-2</x:v>
      </x:c>
      <x:c r="CV36" s="26">
        <x:f t="shared" si="45"/>
        <x:v>0</x:v>
      </x:c>
      <x:c r="CW36" s="26">
        <x:f t="shared" si="46"/>
        <x:v>0</x:v>
      </x:c>
      <x:c r="CX36" s="26">
        <x:f t="shared" si="23"/>
        <x:v>1.2886000000000002E-2</x:v>
      </x:c>
      <x:c r="CY36" s="26">
        <x:f t="shared" si="24"/>
        <x:v>0</x:v>
      </x:c>
    </x:row>
    <x:row r="37">
      <x:c r="A37" s="18">
        <x:v>2022</x:v>
      </x:c>
      <x:c r="B37" t="s">
        <x:v>144</x:v>
      </x:c>
      <x:c r="C37" t="s">
        <x:v>145</x:v>
      </x:c>
      <x:c r="D37" t="s">
        <x:v>146</x:v>
      </x:c>
      <x:c r="E37" s="18">
        <x:v>440114</x:v>
      </x:c>
      <x:c r="F37" t="s">
        <x:v>147</x:v>
      </x:c>
      <x:c r="G37" t="s">
        <x:v>69</x:v>
      </x:c>
      <x:c r="H37" s="18">
        <x:v>4412</x:v>
      </x:c>
      <x:c r="I37" t="s">
        <x:v>108</x:v>
      </x:c>
      <x:c r="J37" t="s">
        <x:v>78</x:v>
      </x:c>
      <x:c r="K37" t="s">
        <x:v>80</x:v>
      </x:c>
      <x:c r="L37" s="18">
        <x:v>33.659999999999997</x:v>
      </x:c>
      <x:c r="M37" t="s">
        <x:v>78</x:v>
      </x:c>
      <x:c r="N37" s="18">
        <x:v>462.85700000000003</x:v>
      </x:c>
      <x:c r="O37" t="s">
        <x:v>88</x:v>
      </x:c>
      <x:c r="P37" s="18">
        <x:v>15</x:v>
      </x:c>
      <x:c r="Q37" s="19" t="s">
        <x:v>96</x:v>
      </x:c>
      <x:c r="R37" s="18">
        <x:v>4402.22</x:v>
      </x:c>
      <x:c r="S37" t="s">
        <x:v>76</x:v>
      </x:c>
      <x:c r="T37" s="19">
        <x:f t="shared" si="30"/>
        <x:v>4402.22</x:v>
      </x:c>
      <x:c r="U37" s="20">
        <x:v>4.0999999999999996</x:v>
      </x:c>
      <x:c r="V37" t="s">
        <x:v>77</x:v>
      </x:c>
      <x:c r="W37" s="19" t="s">
        <x:v>78</x:v>
      </x:c>
      <x:c r="X37" s="21">
        <x:f t="shared" si="37"/>
        <x:v>0.36098204</x:v>
      </x:c>
      <x:c r="Y37" s="21">
        <x:f t="shared" si="38"/>
        <x:v>180.49101999999999</x:v>
      </x:c>
      <x:c r="Z37" s="21">
        <x:f t="shared" si="39"/>
        <x:v>57.228860000000005</x:v>
      </x:c>
      <x:c r="AA37" s="21">
        <x:f t="shared" si="40"/>
        <x:v>1.3206659999999999</x:v>
      </x:c>
      <x:c r="AB37" s="21">
        <x:f t="shared" si="41"/>
        <x:v>1.3206659999999999</x:v>
      </x:c>
      <x:c r="AC37" s="21"/>
      <x:c r="AD37" s="21"/>
      <x:c r="AE37" s="21">
        <x:f t="shared" si="42"/>
        <x:v>0.88044400000000012</x:v>
      </x:c>
      <x:c r="AF37" s="21"/>
      <x:c r="AG37" s="19" t="s">
        <x:v>78</x:v>
      </x:c>
      <x:c r="AH37" t="s">
        <x:v>78</x:v>
      </x:c>
      <x:c r="AI37" t="s">
        <x:v>78</x:v>
      </x:c>
      <x:c r="AJ37" s="19"/>
      <x:c r="AK37" s="19" t="s">
        <x:v>78</x:v>
      </x:c>
      <x:c r="AL37" t="s">
        <x:v>78</x:v>
      </x:c>
      <x:c r="AM37" s="19" t="s">
        <x:v>78</x:v>
      </x:c>
      <x:c r="AN37" s="21"/>
      <x:c r="AO37" s="21"/>
      <x:c r="AP37" s="21"/>
      <x:c r="AQ37" s="21"/>
      <x:c r="AR37" s="21"/>
      <x:c r="AS37" s="21"/>
      <x:c r="AT37" s="21"/>
      <x:c r="AU37" s="21"/>
      <x:c r="AV37" s="21"/>
      <x:c r="AW37" t="s">
        <x:v>78</x:v>
      </x:c>
      <x:c r="AX37" s="19"/>
      <x:c r="AY37" s="21"/>
      <x:c r="AZ37" s="21"/>
      <x:c r="BA37" s="21"/>
      <x:c r="BB37" s="21"/>
      <x:c r="BC37" s="21"/>
      <x:c r="BD37" s="21"/>
      <x:c r="BE37" s="21"/>
      <x:c r="BF37" s="21"/>
      <x:c r="BG37" s="21"/>
      <x:c r="BH37" t="s">
        <x:v>79</x:v>
      </x:c>
      <x:c r="BI37" s="18">
        <x:v>113</x:v>
      </x:c>
      <x:c r="BJ37" s="18">
        <x:v>5</x:v>
      </x:c>
      <x:c r="BK37" s="18">
        <x:v>25.04</x:v>
      </x:c>
      <x:c r="BL37" s="18">
        <x:v>23</x:v>
      </x:c>
      <x:c r="BM37" s="18">
        <x:v>21</x:v>
      </x:c>
      <x:c r="BN37" s="18">
        <x:v>46.12</x:v>
      </x:c>
      <x:c r="BO37" s="22">
        <x:v>113.09028888888901</x:v>
      </x:c>
      <x:c r="BP37" s="22">
        <x:v>23.3628111111111</x:v>
      </x:c>
      <x:c r="BQ37" s="18">
        <x:v>80</x:v>
      </x:c>
      <x:c r="BR37" s="18">
        <x:v>115750.39999999999</x:v>
      </x:c>
      <x:c r="BS37" s="18">
        <x:v>0.36099999999999999</x:v>
      </x:c>
      <x:c r="BT37" s="18">
        <x:v>0.36099999999999999</x:v>
      </x:c>
      <x:c r="BU37" s="18">
        <x:v>37.859000000000002</x:v>
      </x:c>
      <x:c r="BV37" s="18">
        <x:v>11.358000000000001</x:v>
      </x:c>
      <x:c r="BW37" s="18">
        <x:v>4.5739999999999998</x:v>
      </x:c>
      <x:c r="BX37" s="18">
        <x:v>4.5739999999999998</x:v>
      </x:c>
      <x:c r="BY37" t="s">
        <x:v>78</x:v>
      </x:c>
      <x:c r="BZ37" t="s">
        <x:v>78</x:v>
      </x:c>
      <x:c r="CA37" s="23">
        <x:f t="shared" si="6"/>
        <x:v>0.36098204</x:v>
      </x:c>
      <x:c r="CB37" s="23">
        <x:f t="shared" si="7"/>
        <x:v>180.49101999999999</x:v>
      </x:c>
      <x:c r="CC37" s="23">
        <x:f t="shared" si="8"/>
        <x:v>57.228860000000005</x:v>
      </x:c>
      <x:c r="CD37" s="23">
        <x:f t="shared" si="9"/>
        <x:v>1.3206659999999999</x:v>
      </x:c>
      <x:c r="CE37" s="23">
        <x:f t="shared" si="10"/>
        <x:v>1.3206659999999999</x:v>
      </x:c>
      <x:c r="CF37" s="23">
        <x:f t="shared" si="11"/>
        <x:v>0</x:v>
      </x:c>
      <x:c r="CG37" s="23">
        <x:f t="shared" si="12"/>
        <x:v>0</x:v>
      </x:c>
      <x:c r="CH37" s="23">
        <x:f t="shared" si="13"/>
        <x:v>0.88044400000000012</x:v>
      </x:c>
      <x:c r="CI37" s="23">
        <x:f t="shared" si="14"/>
        <x:v>0</x:v>
      </x:c>
      <x:c r="CJ37" s="24" t="s">
        <x:v>78</x:v>
      </x:c>
      <x:c r="CK37" s="25">
        <x:v>0</x:v>
      </x:c>
      <x:c r="CL37" s="26" t="s">
        <x:v>97</x:v>
      </x:c>
      <x:c r="CM37" s="28">
        <x:v>70</x:v>
      </x:c>
      <x:c r="CN37" s="27" t="s">
        <x:v>78</x:v>
      </x:c>
      <x:c r="CO37" s="27">
        <x:v>0</x:v>
      </x:c>
      <x:c r="CP37" s="27">
        <x:v>0</x:v>
      </x:c>
      <x:c r="CQ37" s="26">
        <x:f t="shared" si="15"/>
        <x:v>0.36098204</x:v>
      </x:c>
      <x:c r="CR37" s="26">
        <x:f t="shared" si="16"/>
        <x:v>54.147306000000007</x:v>
      </x:c>
      <x:c r="CS37" s="26">
        <x:f t="shared" si="22"/>
        <x:v>57.228860000000005</x:v>
      </x:c>
      <x:c r="CT37" s="26">
        <x:f t="shared" si="43"/>
        <x:v>1.3206659999999999</x:v>
      </x:c>
      <x:c r="CU37" s="26">
        <x:f t="shared" si="44"/>
        <x:v>1.3206659999999999</x:v>
      </x:c>
      <x:c r="CV37" s="26">
        <x:f t="shared" si="45"/>
        <x:v>0</x:v>
      </x:c>
      <x:c r="CW37" s="26">
        <x:f t="shared" si="46"/>
        <x:v>0</x:v>
      </x:c>
      <x:c r="CX37" s="26">
        <x:f t="shared" si="23"/>
        <x:v>0.88044400000000012</x:v>
      </x:c>
      <x:c r="CY37" s="26">
        <x:f t="shared" si="24"/>
        <x:v>0</x:v>
      </x:c>
    </x:row>
    <x:row r="38">
      <x:c r="A38" s="18">
        <x:v>2022</x:v>
      </x:c>
      <x:c r="B38" t="s">
        <x:v>144</x:v>
      </x:c>
      <x:c r="C38" t="s">
        <x:v>145</x:v>
      </x:c>
      <x:c r="D38" t="s">
        <x:v>146</x:v>
      </x:c>
      <x:c r="E38" s="18">
        <x:v>440114</x:v>
      </x:c>
      <x:c r="F38" t="s">
        <x:v>147</x:v>
      </x:c>
      <x:c r="G38" t="s">
        <x:v>69</x:v>
      </x:c>
      <x:c r="H38" s="18">
        <x:v>4412</x:v>
      </x:c>
      <x:c r="I38" t="s">
        <x:v>108</x:v>
      </x:c>
      <x:c r="J38" t="s">
        <x:v>78</x:v>
      </x:c>
      <x:c r="K38" t="s">
        <x:v>80</x:v>
      </x:c>
      <x:c r="L38" s="18">
        <x:v>33.659999999999997</x:v>
      </x:c>
      <x:c r="M38" t="s">
        <x:v>78</x:v>
      </x:c>
      <x:c r="N38" s="18">
        <x:v>462.85700000000003</x:v>
      </x:c>
      <x:c r="O38" t="s">
        <x:v>88</x:v>
      </x:c>
      <x:c r="P38" s="18">
        <x:v>15</x:v>
      </x:c>
      <x:c r="Q38" s="19" t="s">
        <x:v>96</x:v>
      </x:c>
      <x:c r="R38" s="18">
        <x:v>5562.0990000000002</x:v>
      </x:c>
      <x:c r="S38" t="s">
        <x:v>76</x:v>
      </x:c>
      <x:c r="T38" s="19">
        <x:f t="shared" si="30"/>
        <x:v>5562.0990000000002</x:v>
      </x:c>
      <x:c r="U38" s="20">
        <x:v>4.0999999999999996</x:v>
      </x:c>
      <x:c r="V38" t="s">
        <x:v>77</x:v>
      </x:c>
      <x:c r="W38" s="19" t="s">
        <x:v>78</x:v>
      </x:c>
      <x:c r="X38" s="21">
        <x:f t="shared" si="37"/>
        <x:v>0.45609211799999999</x:v>
      </x:c>
      <x:c r="Y38" s="21">
        <x:f t="shared" si="38"/>
        <x:v>228.04605900000001</x:v>
      </x:c>
      <x:c r="Z38" s="21">
        <x:f t="shared" si="39"/>
        <x:v>72.307287000000002</x:v>
      </x:c>
      <x:c r="AA38" s="21">
        <x:f t="shared" si="40"/>
        <x:v>1.6686296999999999</x:v>
      </x:c>
      <x:c r="AB38" s="21">
        <x:f t="shared" si="41"/>
        <x:v>1.6686296999999999</x:v>
      </x:c>
      <x:c r="AC38" s="21"/>
      <x:c r="AD38" s="21"/>
      <x:c r="AE38" s="21">
        <x:f t="shared" si="42"/>
        <x:v>1.1124198000000001</x:v>
      </x:c>
      <x:c r="AF38" s="21"/>
      <x:c r="AG38" s="19" t="s">
        <x:v>78</x:v>
      </x:c>
      <x:c r="AH38" t="s">
        <x:v>78</x:v>
      </x:c>
      <x:c r="AI38" t="s">
        <x:v>78</x:v>
      </x:c>
      <x:c r="AJ38" s="19"/>
      <x:c r="AK38" s="19" t="s">
        <x:v>78</x:v>
      </x:c>
      <x:c r="AL38" t="s">
        <x:v>78</x:v>
      </x:c>
      <x:c r="AM38" s="19" t="s">
        <x:v>78</x:v>
      </x:c>
      <x:c r="AN38" s="21"/>
      <x:c r="AO38" s="21"/>
      <x:c r="AP38" s="21"/>
      <x:c r="AQ38" s="21"/>
      <x:c r="AR38" s="21"/>
      <x:c r="AS38" s="21"/>
      <x:c r="AT38" s="21"/>
      <x:c r="AU38" s="21"/>
      <x:c r="AV38" s="21"/>
      <x:c r="AW38" t="s">
        <x:v>78</x:v>
      </x:c>
      <x:c r="AX38" s="19"/>
      <x:c r="AY38" s="21"/>
      <x:c r="AZ38" s="21"/>
      <x:c r="BA38" s="21"/>
      <x:c r="BB38" s="21"/>
      <x:c r="BC38" s="21"/>
      <x:c r="BD38" s="21"/>
      <x:c r="BE38" s="21"/>
      <x:c r="BF38" s="21"/>
      <x:c r="BG38" s="21"/>
      <x:c r="BH38" t="s">
        <x:v>81</x:v>
      </x:c>
      <x:c r="BI38" s="18">
        <x:v>113</x:v>
      </x:c>
      <x:c r="BJ38" s="18">
        <x:v>5</x:v>
      </x:c>
      <x:c r="BK38" s="18">
        <x:v>27.38</x:v>
      </x:c>
      <x:c r="BL38" s="18">
        <x:v>23</x:v>
      </x:c>
      <x:c r="BM38" s="18">
        <x:v>21</x:v>
      </x:c>
      <x:c r="BN38" s="18">
        <x:v>45.79</x:v>
      </x:c>
      <x:c r="BO38" s="22">
        <x:v>113.090938888889</x:v>
      </x:c>
      <x:c r="BP38" s="22">
        <x:v>23.362719444444402</x:v>
      </x:c>
      <x:c r="BQ38" s="18">
        <x:v>80</x:v>
      </x:c>
      <x:c r="BR38" s="18">
        <x:v>123641.5</x:v>
      </x:c>
      <x:c r="BS38" s="18">
        <x:v>0.45600000000000002</x:v>
      </x:c>
      <x:c r="BT38" s="18">
        <x:v>0.45600000000000002</x:v>
      </x:c>
      <x:c r="BU38" s="18">
        <x:v>47.834000000000003</x:v>
      </x:c>
      <x:c r="BV38" s="18">
        <x:v>14.35</x:v>
      </x:c>
      <x:c r="BW38" s="18">
        <x:v>5.7789999999999999</x:v>
      </x:c>
      <x:c r="BX38" s="18">
        <x:v>5.7789999999999999</x:v>
      </x:c>
      <x:c r="BY38" t="s">
        <x:v>78</x:v>
      </x:c>
      <x:c r="BZ38" t="s">
        <x:v>78</x:v>
      </x:c>
      <x:c r="CA38" s="23">
        <x:f t="shared" si="6"/>
        <x:v>0.45609211799999999</x:v>
      </x:c>
      <x:c r="CB38" s="23">
        <x:f t="shared" si="7"/>
        <x:v>228.04605900000001</x:v>
      </x:c>
      <x:c r="CC38" s="23">
        <x:f t="shared" si="8"/>
        <x:v>72.307287000000002</x:v>
      </x:c>
      <x:c r="CD38" s="23">
        <x:f t="shared" si="9"/>
        <x:v>1.6686296999999999</x:v>
      </x:c>
      <x:c r="CE38" s="23">
        <x:f t="shared" si="10"/>
        <x:v>1.6686296999999999</x:v>
      </x:c>
      <x:c r="CF38" s="23">
        <x:f t="shared" si="11"/>
        <x:v>0</x:v>
      </x:c>
      <x:c r="CG38" s="23">
        <x:f t="shared" si="12"/>
        <x:v>0</x:v>
      </x:c>
      <x:c r="CH38" s="23">
        <x:f t="shared" si="13"/>
        <x:v>1.1124198000000001</x:v>
      </x:c>
      <x:c r="CI38" s="23">
        <x:f t="shared" si="14"/>
        <x:v>0</x:v>
      </x:c>
      <x:c r="CJ38" s="24" t="s">
        <x:v>78</x:v>
      </x:c>
      <x:c r="CK38" s="25">
        <x:v>0</x:v>
      </x:c>
      <x:c r="CL38" s="26" t="s">
        <x:v>97</x:v>
      </x:c>
      <x:c r="CM38" s="28">
        <x:v>70</x:v>
      </x:c>
      <x:c r="CN38" s="27" t="s">
        <x:v>78</x:v>
      </x:c>
      <x:c r="CO38" s="27">
        <x:v>0</x:v>
      </x:c>
      <x:c r="CP38" s="27">
        <x:v>0</x:v>
      </x:c>
      <x:c r="CQ38" s="26">
        <x:f t="shared" si="15"/>
        <x:v>0.45609211799999999</x:v>
      </x:c>
      <x:c r="CR38" s="26">
        <x:f t="shared" si="16"/>
        <x:v>68.41381770000001</x:v>
      </x:c>
      <x:c r="CS38" s="26">
        <x:f t="shared" si="22"/>
        <x:v>72.307287000000002</x:v>
      </x:c>
      <x:c r="CT38" s="26">
        <x:f t="shared" si="43"/>
        <x:v>1.6686296999999999</x:v>
      </x:c>
      <x:c r="CU38" s="26">
        <x:f t="shared" si="44"/>
        <x:v>1.6686296999999999</x:v>
      </x:c>
      <x:c r="CV38" s="26">
        <x:f t="shared" si="45"/>
        <x:v>0</x:v>
      </x:c>
      <x:c r="CW38" s="26">
        <x:f t="shared" si="46"/>
        <x:v>0</x:v>
      </x:c>
      <x:c r="CX38" s="26">
        <x:f t="shared" si="23"/>
        <x:v>1.1124198000000001</x:v>
      </x:c>
      <x:c r="CY38" s="26">
        <x:f t="shared" si="24"/>
        <x:v>0</x:v>
      </x:c>
    </x:row>
    <x:row r="39">
      <x:c r="A39" s="18">
        <x:v>2022</x:v>
      </x:c>
      <x:c r="B39" t="s">
        <x:v>144</x:v>
      </x:c>
      <x:c r="C39" t="s">
        <x:v>145</x:v>
      </x:c>
      <x:c r="D39" t="s">
        <x:v>146</x:v>
      </x:c>
      <x:c r="E39" s="18">
        <x:v>440114</x:v>
      </x:c>
      <x:c r="F39" t="s">
        <x:v>147</x:v>
      </x:c>
      <x:c r="G39" t="s">
        <x:v>69</x:v>
      </x:c>
      <x:c r="H39" s="18">
        <x:v>4412</x:v>
      </x:c>
      <x:c r="I39" t="s">
        <x:v>108</x:v>
      </x:c>
      <x:c r="J39" t="s">
        <x:v>78</x:v>
      </x:c>
      <x:c r="K39" t="s">
        <x:v>72</x:v>
      </x:c>
      <x:c r="L39" s="18">
        <x:v>1.4</x:v>
      </x:c>
      <x:c r="M39" t="s">
        <x:v>73</x:v>
      </x:c>
      <x:c r="N39" s="18">
        <x:v>20</x:v>
      </x:c>
      <x:c r="O39" t="s">
        <x:v>74</x:v>
      </x:c>
      <x:c r="P39" s="18">
        <x:v>15</x:v>
      </x:c>
      <x:c r="Q39" s="19" t="s">
        <x:v>96</x:v>
      </x:c>
      <x:c r="R39" s="18">
        <x:v>26.27</x:v>
      </x:c>
      <x:c r="S39" t="s">
        <x:v>76</x:v>
      </x:c>
      <x:c r="T39" s="19">
        <x:f t="shared" si="30"/>
        <x:v>26.27</x:v>
      </x:c>
      <x:c r="U39" s="20">
        <x:v>4.0999999999999996</x:v>
      </x:c>
      <x:c r="V39" t="s">
        <x:v>77</x:v>
      </x:c>
      <x:c r="W39" s="19" t="s">
        <x:v>78</x:v>
      </x:c>
      <x:c r="X39" s="21">
        <x:f t="shared" si="37"/>
        <x:v>2.1541400000000001E-3</x:v>
      </x:c>
      <x:c r="Y39" s="21">
        <x:f t="shared" si="38"/>
        <x:v>1.07707</x:v>
      </x:c>
      <x:c r="Z39" s="21">
        <x:f t="shared" si="39"/>
        <x:v>0.34151000000000004</x:v>
      </x:c>
      <x:c r="AA39" s="21">
        <x:f t="shared" si="40"/>
        <x:v>7.8809999999999991E-3</x:v>
      </x:c>
      <x:c r="AB39" s="21">
        <x:f t="shared" si="41"/>
        <x:v>7.8809999999999991E-3</x:v>
      </x:c>
      <x:c r="AC39" s="21"/>
      <x:c r="AD39" s="21"/>
      <x:c r="AE39" s="21">
        <x:f t="shared" si="42"/>
        <x:v>5.254E-3</x:v>
      </x:c>
      <x:c r="AF39" s="21"/>
      <x:c r="AG39" s="19" t="s">
        <x:v>78</x:v>
      </x:c>
      <x:c r="AH39" t="s">
        <x:v>78</x:v>
      </x:c>
      <x:c r="AI39" t="s">
        <x:v>78</x:v>
      </x:c>
      <x:c r="AJ39" s="19"/>
      <x:c r="AK39" s="19" t="s">
        <x:v>78</x:v>
      </x:c>
      <x:c r="AL39" t="s">
        <x:v>78</x:v>
      </x:c>
      <x:c r="AM39" s="19" t="s">
        <x:v>78</x:v>
      </x:c>
      <x:c r="AN39" s="21"/>
      <x:c r="AO39" s="21"/>
      <x:c r="AP39" s="21"/>
      <x:c r="AQ39" s="21"/>
      <x:c r="AR39" s="21"/>
      <x:c r="AS39" s="21"/>
      <x:c r="AT39" s="21"/>
      <x:c r="AU39" s="21"/>
      <x:c r="AV39" s="21"/>
      <x:c r="AW39" t="s">
        <x:v>78</x:v>
      </x:c>
      <x:c r="AX39" s="19"/>
      <x:c r="AY39" s="21"/>
      <x:c r="AZ39" s="21"/>
      <x:c r="BA39" s="21"/>
      <x:c r="BB39" s="21"/>
      <x:c r="BC39" s="21"/>
      <x:c r="BD39" s="21"/>
      <x:c r="BE39" s="21"/>
      <x:c r="BF39" s="21"/>
      <x:c r="BG39" s="21"/>
      <x:c r="BH39" t="s">
        <x:v>82</x:v>
      </x:c>
      <x:c r="BI39" s="18">
        <x:v>113</x:v>
      </x:c>
      <x:c r="BJ39" s="18">
        <x:v>5</x:v>
      </x:c>
      <x:c r="BK39" s="18">
        <x:v>24.79</x:v>
      </x:c>
      <x:c r="BL39" s="18">
        <x:v>23</x:v>
      </x:c>
      <x:c r="BM39" s="18">
        <x:v>21</x:v>
      </x:c>
      <x:c r="BN39" s="18">
        <x:v>46.01</x:v>
      </x:c>
      <x:c r="BO39" s="22">
        <x:v>113.090219444444</x:v>
      </x:c>
      <x:c r="BP39" s="22">
        <x:v>23.362780555555599</x:v>
      </x:c>
      <x:c r="BQ39" s="18">
        <x:v>15</x:v>
      </x:c>
      <x:c r="BR39" s="18">
        <x:v>304.83999999999997</x:v>
      </x:c>
      <x:c r="BS39" s="18">
        <x:v>2E-3</x:v>
      </x:c>
      <x:c r="BT39" s="18">
        <x:v>2E-3</x:v>
      </x:c>
      <x:c r="BU39" s="18">
        <x:v>0.22600000000000001</x:v>
      </x:c>
      <x:c r="BV39" s="18">
        <x:v>6.8000000000000005E-2</x:v>
      </x:c>
      <x:c r="BW39" s="18">
        <x:v>2.7E-2</x:v>
      </x:c>
      <x:c r="BX39" s="18">
        <x:v>2.7E-2</x:v>
      </x:c>
      <x:c r="BY39" s="18">
        <x:v>44.134</x:v>
      </x:c>
      <x:c r="BZ39" s="18">
        <x:v>44.134</x:v>
      </x:c>
      <x:c r="CA39" s="23">
        <x:f t="shared" si="6"/>
        <x:v>2.1541400000000001E-3</x:v>
      </x:c>
      <x:c r="CB39" s="23">
        <x:f t="shared" si="7"/>
        <x:v>1.07707</x:v>
      </x:c>
      <x:c r="CC39" s="23">
        <x:f t="shared" si="8"/>
        <x:v>0.34151000000000004</x:v>
      </x:c>
      <x:c r="CD39" s="23">
        <x:f t="shared" si="9"/>
        <x:v>7.8809999999999991E-3</x:v>
      </x:c>
      <x:c r="CE39" s="23">
        <x:f t="shared" si="10"/>
        <x:v>7.8809999999999991E-3</x:v>
      </x:c>
      <x:c r="CF39" s="23">
        <x:f t="shared" si="11"/>
        <x:v>0</x:v>
      </x:c>
      <x:c r="CG39" s="23">
        <x:f t="shared" si="12"/>
        <x:v>0</x:v>
      </x:c>
      <x:c r="CH39" s="23">
        <x:f t="shared" si="13"/>
        <x:v>5.254E-3</x:v>
      </x:c>
      <x:c r="CI39" s="23">
        <x:f t="shared" si="14"/>
        <x:v>0</x:v>
      </x:c>
      <x:c r="CJ39" s="24" t="s">
        <x:v>78</x:v>
      </x:c>
      <x:c r="CK39" s="25">
        <x:v>0</x:v>
      </x:c>
      <x:c r="CL39" s="26" t="s">
        <x:v>97</x:v>
      </x:c>
      <x:c r="CM39" s="28">
        <x:v>70</x:v>
      </x:c>
      <x:c r="CN39" s="27" t="s">
        <x:v>78</x:v>
      </x:c>
      <x:c r="CO39" s="27">
        <x:v>0</x:v>
      </x:c>
      <x:c r="CP39" s="27">
        <x:v>0</x:v>
      </x:c>
      <x:c r="CQ39" s="26">
        <x:f t="shared" si="15"/>
        <x:v>2.1541400000000001E-3</x:v>
      </x:c>
      <x:c r="CR39" s="26">
        <x:f t="shared" si="16"/>
        <x:v>0.32312100000000005</x:v>
      </x:c>
      <x:c r="CS39" s="26">
        <x:f t="shared" si="22"/>
        <x:v>0.34151000000000004</x:v>
      </x:c>
      <x:c r="CT39" s="26">
        <x:f t="shared" si="43"/>
        <x:v>7.8809999999999991E-3</x:v>
      </x:c>
      <x:c r="CU39" s="26">
        <x:f t="shared" si="44"/>
        <x:v>7.8809999999999991E-3</x:v>
      </x:c>
      <x:c r="CV39" s="26">
        <x:f t="shared" si="45"/>
        <x:v>0</x:v>
      </x:c>
      <x:c r="CW39" s="26">
        <x:f t="shared" si="46"/>
        <x:v>0</x:v>
      </x:c>
      <x:c r="CX39" s="26">
        <x:f t="shared" si="23"/>
        <x:v>5.254E-3</x:v>
      </x:c>
      <x:c r="CY39" s="26">
        <x:f t="shared" si="24"/>
        <x:v>0</x:v>
      </x:c>
    </x:row>
    <x:row r="40">
      <x:c r="A40" s="18">
        <x:v>2022</x:v>
      </x:c>
      <x:c r="B40" t="s">
        <x:v>148</x:v>
      </x:c>
      <x:c r="C40" t="s">
        <x:v>149</x:v>
      </x:c>
      <x:c r="D40" t="s">
        <x:v>150</x:v>
      </x:c>
      <x:c r="E40" s="18">
        <x:v>440115</x:v>
      </x:c>
      <x:c r="F40" t="s">
        <x:v>151</x:v>
      </x:c>
      <x:c r="G40" t="s">
        <x:v>69</x:v>
      </x:c>
      <x:c r="H40" s="18">
        <x:v>4411</x:v>
      </x:c>
      <x:c r="I40" t="s">
        <x:v>102</x:v>
      </x:c>
      <x:c r="J40" t="s">
        <x:v>78</x:v>
      </x:c>
      <x:c r="K40" t="s">
        <x:v>109</x:v>
      </x:c>
      <x:c r="L40" s="20">
        <x:v>32</x:v>
      </x:c>
      <x:c r="M40" t="s">
        <x:v>110</x:v>
      </x:c>
      <x:c r="N40" s="18">
        <x:v>1021</x:v>
      </x:c>
      <x:c r="O40" t="s">
        <x:v>88</x:v>
      </x:c>
      <x:c r="P40" s="18">
        <x:v>1</x:v>
      </x:c>
      <x:c r="Q40" s="19" t="s">
        <x:v>121</x:v>
      </x:c>
      <x:c r="R40" s="18">
        <x:v>659590.21</x:v>
      </x:c>
      <x:c r="S40" t="s">
        <x:v>112</x:v>
      </x:c>
      <x:c r="T40" s="19" t="n">
        <x:f t="shared" ref="T40:T53" si="47">R40</x:f>
        <x:v>659590.21</x:v>
      </x:c>
      <x:c r="U40" s="20">
        <x:v>0.51</x:v>
      </x:c>
      <x:c r="V40" t="s">
        <x:v>113</x:v>
      </x:c>
      <x:c r="W40" s="20">
        <x:v>13.98</x:v>
      </x:c>
      <x:c r="X40" s="21" t="n">
        <x:f t="shared" ref="X40:X51" si="48">2*U40/100*(1-0.15)*T40</x:f>
        <x:v>5718.6471207</x:v>
      </x:c>
      <x:c r="Y40" s="21" t="n">
        <x:f>7.21*T40/1000</x:f>
        <x:v>4755.6454140999995</x:v>
      </x:c>
      <x:c r="Z40" s="21" t="n">
        <x:f t="shared" ref="Z40:Z51" si="49">2*T40/1000</x:f>
        <x:v>1319.18042</x:v>
      </x:c>
      <x:c r="AA40" s="21" t="n">
        <x:f>W40/100*(1-0.25)*0.23*T40</x:f>
        <x:v>15906.347709255</x:v>
      </x:c>
      <x:c r="AB40" s="21" t="n">
        <x:f>W40/100*(1-0.25)*0.06*T40</x:f>
        <x:v>4149.48201111</x:v>
      </x:c>
      <x:c r="AC40" s="21" t="n">
        <x:f t="shared" ref="AC40:AC51" si="50">0.002*AB40</x:f>
        <x:v>8.29896402222</x:v>
      </x:c>
      <x:c r="AD40" s="21"/>
      <x:c r="AE40" s="21" t="n">
        <x:f t="shared" ref="AE40:AE51" si="51">0.04*T40/1000</x:f>
        <x:v>26.383608399999996</x:v>
      </x:c>
      <x:c r="AF40" s="21"/>
      <x:c r="AG40" s="19" t="s">
        <x:v>152</x:v>
      </x:c>
      <x:c r="AH40" s="18">
        <x:v>57.75</x:v>
      </x:c>
      <x:c r="AI40" t="s">
        <x:v>112</x:v>
      </x:c>
      <x:c r="AJ40" s="19" t="n">
        <x:f>AH40</x:f>
        <x:v>57.75</x:v>
      </x:c>
      <x:c r="AK40" s="20">
        <x:v>0.1</x:v>
      </x:c>
      <x:c r="AL40" t="s">
        <x:v>113</x:v>
      </x:c>
      <x:c r="AM40" s="19" t="s">
        <x:v>78</x:v>
      </x:c>
      <x:c r="AN40" s="21" t="n">
        <x:f>2*AK40/100*AJ40</x:f>
        <x:v>0.1155</x:v>
      </x:c>
      <x:c r="AO40" s="21" t="n">
        <x:f>8.85*AJ40/1000</x:f>
        <x:v>0.5110875</x:v>
      </x:c>
      <x:c r="AP40" s="21" t="n">
        <x:f>0.6*AJ40/1000</x:f>
        <x:v>0.03465</x:v>
      </x:c>
      <x:c r="AQ40" s="21" t="n">
        <x:f>0.85*AJ40/1000</x:f>
        <x:v>0.0490875</x:v>
      </x:c>
      <x:c r="AR40" s="21" t="n">
        <x:f>0.62*AJ40/1000</x:f>
        <x:v>0.035805</x:v>
      </x:c>
      <x:c r="AS40" s="21" t="n">
        <x:f>0.04*AR40</x:f>
        <x:v>0.0014321999999999998</x:v>
      </x:c>
      <x:c r="AT40" s="21" t="n">
        <x:f>0.01*AR40</x:f>
        <x:v>0.00035804999999999995</x:v>
      </x:c>
      <x:c r="AU40" s="21" t="n">
        <x:f>0.13*AJ40/1000</x:f>
        <x:v>0.0075075</x:v>
      </x:c>
      <x:c r="AV40" s="21"/>
      <x:c r="AW40" s="18">
        <x:v>0</x:v>
      </x:c>
      <x:c r="AX40" s="19"/>
      <x:c r="AY40" s="21"/>
      <x:c r="AZ40" s="21"/>
      <x:c r="BA40" s="21"/>
      <x:c r="BB40" s="21"/>
      <x:c r="BC40" s="21"/>
      <x:c r="BD40" s="21"/>
      <x:c r="BE40" s="21"/>
      <x:c r="BF40" s="21"/>
      <x:c r="BG40" s="21"/>
      <x:c r="BH40" t="s">
        <x:v>81</x:v>
      </x:c>
      <x:c r="BI40" s="18">
        <x:v>113</x:v>
      </x:c>
      <x:c r="BJ40" s="18">
        <x:v>34</x:v>
      </x:c>
      <x:c r="BK40" s="18">
        <x:v>1.02</x:v>
      </x:c>
      <x:c r="BL40" s="18">
        <x:v>22</x:v>
      </x:c>
      <x:c r="BM40" s="18">
        <x:v>48</x:v>
      </x:c>
      <x:c r="BN40" s="18">
        <x:v>51.55</x:v>
      </x:c>
      <x:c r="BO40" s="22">
        <x:v>113.56695000000001</x:v>
      </x:c>
      <x:c r="BP40" s="22">
        <x:v>22.814319444444401</x:v>
      </x:c>
      <x:c r="BQ40" s="18">
        <x:v>210</x:v>
      </x:c>
      <x:c r="BR40" s="18">
        <x:v>590641.99</x:v>
      </x:c>
      <x:c r="BS40" s="18">
        <x:v>5712.1620000000003</x:v>
      </x:c>
      <x:c r="BT40" s="18">
        <x:v>78.293999999999997</x:v>
      </x:c>
      <x:c r="BU40" s="18">
        <x:v>1847.05</x:v>
      </x:c>
      <x:c r="BV40" s="18">
        <x:v>320.137</x:v>
      </x:c>
      <x:c r="BW40" s="18">
        <x:v>92267.319000000003</x:v>
      </x:c>
      <x:c r="BX40" s="18">
        <x:v>17.506</x:v>
      </x:c>
      <x:c r="BY40" s="18">
        <x:v>4557.768</x:v>
      </x:c>
      <x:c r="BZ40" s="18">
        <x:v>4557.768</x:v>
      </x:c>
      <x:c r="CA40" s="23">
        <x:f t="shared" si="6"/>
        <x:v>5718.7626207000003</x:v>
      </x:c>
      <x:c r="CB40" s="23">
        <x:f t="shared" si="7"/>
        <x:v>4756.0635240999991</x:v>
      </x:c>
      <x:c r="CC40" s="23">
        <x:f t="shared" si="8"/>
        <x:v>1319.21507</x:v>
      </x:c>
      <x:c r="CD40" s="23">
        <x:f t="shared" si="9"/>
        <x:v>15906.396796755</x:v>
      </x:c>
      <x:c r="CE40" s="23">
        <x:f t="shared" si="10"/>
        <x:v>4149.5178161100002</x:v>
      </x:c>
      <x:c r="CF40" s="23">
        <x:f t="shared" si="11"/>
        <x:v>8.3003962222199998</x:v>
      </x:c>
      <x:c r="CG40" s="23">
        <x:f t="shared" si="12"/>
        <x:v>3.5804999999999995E-4</x:v>
      </x:c>
      <x:c r="CH40" s="23">
        <x:f t="shared" si="13"/>
        <x:v>26.391115899999996</x:v>
      </x:c>
      <x:c r="CI40" s="23">
        <x:f t="shared" si="14"/>
        <x:v>0</x:v>
      </x:c>
      <x:c r="CJ40" s="24" t="s">
        <x:v>153</x:v>
      </x:c>
      <x:c r="CK40" s="29">
        <x:v>98.22</x:v>
      </x:c>
      <x:c r="CL40" s="26" t="s">
        <x:v>104</x:v>
      </x:c>
      <x:c r="CM40" s="28">
        <x:v>85</x:v>
      </x:c>
      <x:c r="CN40" s="30" t="s">
        <x:v>154</x:v>
      </x:c>
      <x:c r="CO40" s="27">
        <x:v>99.8</x:v>
      </x:c>
      <x:c r="CP40" s="27">
        <x:v>99.6</x:v>
      </x:c>
      <x:c r="CQ40" s="26">
        <x:f t="shared" si="15"/>
        <x:v>101.79397464846022</x:v>
      </x:c>
      <x:c r="CR40" s="26">
        <x:f t="shared" si="16"/>
        <x:v>713.409528615</x:v>
      </x:c>
      <x:c r="CS40" s="26">
        <x:f t="shared" si="22"/>
        <x:v>1319.21507</x:v>
      </x:c>
      <x:c r="CT40" s="26">
        <x:f t="shared" si="43"/>
        <x:v>31.812793593510026</x:v>
      </x:c>
      <x:c r="CU40" s="26">
        <x:f t="shared" si="44"/>
        <x:v>16.598071264440016</x:v>
      </x:c>
      <x:c r="CV40" s="26">
        <x:f t="shared" si="45"/>
        <x:v>3.3201584888880031E-2</x:v>
      </x:c>
      <x:c r="CW40" s="26">
        <x:f t="shared" si="46"/>
        <x:v>1.4322000000000011E-6</x:v>
      </x:c>
      <x:c r="CX40" s="26">
        <x:f t="shared" si="23"/>
        <x:v>26.391115899999996</x:v>
      </x:c>
      <x:c r="CY40" s="26">
        <x:f t="shared" si="24"/>
        <x:v>0</x:v>
      </x:c>
    </x:row>
    <x:row r="41">
      <x:c r="A41" s="18">
        <x:v>2022</x:v>
      </x:c>
      <x:c r="B41" t="s">
        <x:v>148</x:v>
      </x:c>
      <x:c r="C41" t="s">
        <x:v>149</x:v>
      </x:c>
      <x:c r="D41" t="s">
        <x:v>150</x:v>
      </x:c>
      <x:c r="E41" s="18">
        <x:v>440115</x:v>
      </x:c>
      <x:c r="F41" t="s">
        <x:v>151</x:v>
      </x:c>
      <x:c r="G41" t="s">
        <x:v>69</x:v>
      </x:c>
      <x:c r="H41" s="18">
        <x:v>4411</x:v>
      </x:c>
      <x:c r="I41" t="s">
        <x:v>102</x:v>
      </x:c>
      <x:c r="J41" t="s">
        <x:v>78</x:v>
      </x:c>
      <x:c r="K41" t="s">
        <x:v>109</x:v>
      </x:c>
      <x:c r="L41" s="20">
        <x:v>32</x:v>
      </x:c>
      <x:c r="M41" t="s">
        <x:v>110</x:v>
      </x:c>
      <x:c r="N41" s="18">
        <x:v>1021</x:v>
      </x:c>
      <x:c r="O41" t="s">
        <x:v>88</x:v>
      </x:c>
      <x:c r="P41" s="18">
        <x:v>1</x:v>
      </x:c>
      <x:c r="Q41" s="19" t="s">
        <x:v>121</x:v>
      </x:c>
      <x:c r="R41" s="18">
        <x:v>642747.36</x:v>
      </x:c>
      <x:c r="S41" t="s">
        <x:v>112</x:v>
      </x:c>
      <x:c r="T41" s="19">
        <x:f t="shared" si="47"/>
        <x:v>642747.36</x:v>
      </x:c>
      <x:c r="U41" s="20">
        <x:v>0.51</x:v>
      </x:c>
      <x:c r="V41" t="s">
        <x:v>113</x:v>
      </x:c>
      <x:c r="W41" s="20">
        <x:v>13.98</x:v>
      </x:c>
      <x:c r="X41" s="21">
        <x:f t="shared" si="48"/>
        <x:v>5572.6196112000007</x:v>
      </x:c>
      <x:c r="Y41" s="21" t="n">
        <x:f>7.21*T41/1000</x:f>
        <x:v>4634.2084656</x:v>
      </x:c>
      <x:c r="Z41" s="21">
        <x:f t="shared" si="49"/>
        <x:v>1285.4947199999999</x:v>
      </x:c>
      <x:c r="AA41" s="21" t="n">
        <x:f>W41/100*(1-0.25)*0.23*T41</x:f>
        <x:v>15500.173960080001</x:v>
      </x:c>
      <x:c r="AB41" s="21" t="n">
        <x:f>W41/100*(1-0.25)*0.06*T41</x:f>
        <x:v>4043.52364176</x:v>
      </x:c>
      <x:c r="AC41" s="21">
        <x:f t="shared" si="50"/>
        <x:v>8.0870472835200005</x:v>
      </x:c>
      <x:c r="AD41" s="21"/>
      <x:c r="AE41" s="21">
        <x:f t="shared" si="51"/>
        <x:v>25.7098944</x:v>
      </x:c>
      <x:c r="AF41" s="21"/>
      <x:c r="AG41" s="19" t="s">
        <x:v>152</x:v>
      </x:c>
      <x:c r="AH41" s="18">
        <x:v>85.4</x:v>
      </x:c>
      <x:c r="AI41" t="s">
        <x:v>112</x:v>
      </x:c>
      <x:c r="AJ41" s="19" t="n">
        <x:f t="shared" ref="AJ41:AJ43" si="52">AH41</x:f>
        <x:v>85.4</x:v>
      </x:c>
      <x:c r="AK41" s="20">
        <x:v>0.1</x:v>
      </x:c>
      <x:c r="AL41" t="s">
        <x:v>113</x:v>
      </x:c>
      <x:c r="AM41" s="19" t="s">
        <x:v>78</x:v>
      </x:c>
      <x:c r="AN41" s="21" t="n">
        <x:f>2*AK41/100*AJ41</x:f>
        <x:v>0.1708</x:v>
      </x:c>
      <x:c r="AO41" s="21" t="n">
        <x:f>7.24*AJ41/1000</x:f>
        <x:v>0.6182960000000001</x:v>
      </x:c>
      <x:c r="AP41" s="21" t="n">
        <x:f>0.6*AJ41/1000</x:f>
        <x:v>0.05124</x:v>
      </x:c>
      <x:c r="AQ41" s="21" t="n">
        <x:f>0.85*AJ41/1000</x:f>
        <x:v>0.07259</x:v>
      </x:c>
      <x:c r="AR41" s="21" t="n">
        <x:f>0.62*AJ41/1000</x:f>
        <x:v>0.052948</x:v>
      </x:c>
      <x:c r="AS41" s="21" t="n">
        <x:f t="shared" ref="AS41:AS43" si="53">0.04*AR41</x:f>
        <x:v>0.00211792</x:v>
      </x:c>
      <x:c r="AT41" s="21" t="n">
        <x:f t="shared" ref="AT41:AT43" si="54">0.01*AR41</x:f>
        <x:v>0.00052948</x:v>
      </x:c>
      <x:c r="AU41" s="21" t="n">
        <x:f>0.13*AJ41/1000</x:f>
        <x:v>0.011102</x:v>
      </x:c>
      <x:c r="AV41" s="21"/>
      <x:c r="AW41" s="18">
        <x:v>0</x:v>
      </x:c>
      <x:c r="AX41" s="19"/>
      <x:c r="AY41" s="21"/>
      <x:c r="AZ41" s="21"/>
      <x:c r="BA41" s="21"/>
      <x:c r="BB41" s="21"/>
      <x:c r="BC41" s="21"/>
      <x:c r="BD41" s="21"/>
      <x:c r="BE41" s="21"/>
      <x:c r="BF41" s="21"/>
      <x:c r="BG41" s="21"/>
      <x:c r="BH41" t="s">
        <x:v>79</x:v>
      </x:c>
      <x:c r="BI41" s="18">
        <x:v>113</x:v>
      </x:c>
      <x:c r="BJ41" s="18">
        <x:v>34</x:v>
      </x:c>
      <x:c r="BK41" s="18">
        <x:v>1.02</x:v>
      </x:c>
      <x:c r="BL41" s="18">
        <x:v>22</x:v>
      </x:c>
      <x:c r="BM41" s="18">
        <x:v>48</x:v>
      </x:c>
      <x:c r="BN41" s="18">
        <x:v>51.55</x:v>
      </x:c>
      <x:c r="BO41" s="22">
        <x:v>113.56695000000001</x:v>
      </x:c>
      <x:c r="BP41" s="22">
        <x:v>22.814319444444401</x:v>
      </x:c>
      <x:c r="BQ41" s="18">
        <x:v>210</x:v>
      </x:c>
      <x:c r="BR41" s="18">
        <x:v>532870.19999999995</x:v>
      </x:c>
      <x:c r="BS41" s="18">
        <x:v>5566.4229999999998</x:v>
      </x:c>
      <x:c r="BT41" s="18">
        <x:v>76.334000000000003</x:v>
      </x:c>
      <x:c r="BU41" s="18">
        <x:v>1799.9839999999999</x:v>
      </x:c>
      <x:c r="BV41" s="18">
        <x:v>311.98200000000003</x:v>
      </x:c>
      <x:c r="BW41" s="18">
        <x:v>89911.25</x:v>
      </x:c>
      <x:c r="BX41" s="18">
        <x:v>42.651000000000003</x:v>
      </x:c>
      <x:c r="BY41" s="18">
        <x:v>4441.384</x:v>
      </x:c>
      <x:c r="BZ41" s="18">
        <x:v>4441.384</x:v>
      </x:c>
      <x:c r="CA41" s="23">
        <x:f t="shared" si="6"/>
        <x:v>5572.7904112000006</x:v>
      </x:c>
      <x:c r="CB41" s="23">
        <x:f t="shared" si="7"/>
        <x:v>4634.8267615999994</x:v>
      </x:c>
      <x:c r="CC41" s="23">
        <x:f t="shared" si="8"/>
        <x:v>1285.5459599999999</x:v>
      </x:c>
      <x:c r="CD41" s="23">
        <x:f t="shared" si="9"/>
        <x:v>15500.246550080001</x:v>
      </x:c>
      <x:c r="CE41" s="23">
        <x:f t="shared" si="10"/>
        <x:v>4043.5765897599999</x:v>
      </x:c>
      <x:c r="CF41" s="23">
        <x:f t="shared" si="11"/>
        <x:v>8.0891652035200003</x:v>
      </x:c>
      <x:c r="CG41" s="23">
        <x:f t="shared" si="12"/>
        <x:v>5.2948000000000003E-4</x:v>
      </x:c>
      <x:c r="CH41" s="23">
        <x:f t="shared" si="13"/>
        <x:v>25.720996400000001</x:v>
      </x:c>
      <x:c r="CI41" s="23">
        <x:f t="shared" si="14"/>
        <x:v>0</x:v>
      </x:c>
      <x:c r="CJ41" s="24" t="s">
        <x:v>153</x:v>
      </x:c>
      <x:c r="CK41" s="29">
        <x:v>98.22</x:v>
      </x:c>
      <x:c r="CL41" s="26" t="s">
        <x:v>104</x:v>
      </x:c>
      <x:c r="CM41" s="28">
        <x:v>85</x:v>
      </x:c>
      <x:c r="CN41" s="30" t="s">
        <x:v>154</x:v>
      </x:c>
      <x:c r="CO41" s="27">
        <x:v>99.8</x:v>
      </x:c>
      <x:c r="CP41" s="27">
        <x:v>99.6</x:v>
      </x:c>
      <x:c r="CQ41" s="26">
        <x:f t="shared" si="15"/>
        <x:v>99.195669319360221</x:v>
      </x:c>
      <x:c r="CR41" s="26">
        <x:f t="shared" si="16"/>
        <x:v>695.22401423999997</x:v>
      </x:c>
      <x:c r="CS41" s="26">
        <x:f t="shared" si="22"/>
        <x:v>1285.5459599999999</x:v>
      </x:c>
      <x:c r="CT41" s="26">
        <x:f t="shared" si="43"/>
        <x:v>31.000493100160028</x:v>
      </x:c>
      <x:c r="CU41" s="26">
        <x:f t="shared" si="44"/>
        <x:v>16.174306359040013</x:v>
      </x:c>
      <x:c r="CV41" s="26">
        <x:f t="shared" si="45"/>
        <x:v>3.2356660814080028E-2</x:v>
      </x:c>
      <x:c r="CW41" s="26">
        <x:f t="shared" si="46"/>
        <x:v>2.1179200000000019E-6</x:v>
      </x:c>
      <x:c r="CX41" s="26">
        <x:f t="shared" si="23"/>
        <x:v>25.720996400000001</x:v>
      </x:c>
      <x:c r="CY41" s="26">
        <x:f t="shared" si="24"/>
        <x:v>0</x:v>
      </x:c>
    </x:row>
    <x:row r="42">
      <x:c r="A42" s="18">
        <x:v>2022</x:v>
      </x:c>
      <x:c r="B42" t="s">
        <x:v>148</x:v>
      </x:c>
      <x:c r="C42" t="s">
        <x:v>149</x:v>
      </x:c>
      <x:c r="D42" t="s">
        <x:v>150</x:v>
      </x:c>
      <x:c r="E42" s="18">
        <x:v>440115</x:v>
      </x:c>
      <x:c r="F42" t="s">
        <x:v>151</x:v>
      </x:c>
      <x:c r="G42" t="s">
        <x:v>69</x:v>
      </x:c>
      <x:c r="H42" s="18">
        <x:v>4411</x:v>
      </x:c>
      <x:c r="I42" t="s">
        <x:v>102</x:v>
      </x:c>
      <x:c r="J42" t="s">
        <x:v>78</x:v>
      </x:c>
      <x:c r="K42" t="s">
        <x:v>109</x:v>
      </x:c>
      <x:c r="L42" s="20">
        <x:v>32</x:v>
      </x:c>
      <x:c r="M42" t="s">
        <x:v>110</x:v>
      </x:c>
      <x:c r="N42" s="18">
        <x:v>1021</x:v>
      </x:c>
      <x:c r="O42" t="s">
        <x:v>88</x:v>
      </x:c>
      <x:c r="P42" s="18">
        <x:v>1</x:v>
      </x:c>
      <x:c r="Q42" s="19" t="s">
        <x:v>121</x:v>
      </x:c>
      <x:c r="R42" s="18">
        <x:v>782867</x:v>
      </x:c>
      <x:c r="S42" t="s">
        <x:v>112</x:v>
      </x:c>
      <x:c r="T42" s="19">
        <x:f t="shared" si="47"/>
        <x:v>782867</x:v>
      </x:c>
      <x:c r="U42" s="20">
        <x:v>0.51</x:v>
      </x:c>
      <x:c r="V42" t="s">
        <x:v>113</x:v>
      </x:c>
      <x:c r="W42" s="20">
        <x:v>13.98</x:v>
      </x:c>
      <x:c r="X42" s="21">
        <x:f t="shared" si="48"/>
        <x:v>6787.4568900000004</x:v>
      </x:c>
      <x:c r="Y42" s="21" t="n">
        <x:f>7.21*T42/1000</x:f>
        <x:v>5644.4710700000005</x:v>
      </x:c>
      <x:c r="Z42" s="21">
        <x:f t="shared" si="49"/>
        <x:v>1565.7339999999999</x:v>
      </x:c>
      <x:c r="AA42" s="21" t="n">
        <x:f>W42/100*(1-0.25)*0.23*T42</x:f>
        <x:v>18879.229138500003</x:v>
      </x:c>
      <x:c r="AB42" s="21" t="n">
        <x:f>W42/100*(1-0.25)*0.06*T42</x:f>
        <x:v>4925.016297</x:v>
      </x:c>
      <x:c r="AC42" s="21">
        <x:f t="shared" si="50"/>
        <x:v>9.850032594</x:v>
      </x:c>
      <x:c r="AD42" s="21"/>
      <x:c r="AE42" s="21">
        <x:f t="shared" si="51"/>
        <x:v>31.314679999999999</x:v>
      </x:c>
      <x:c r="AF42" s="21"/>
      <x:c r="AG42" s="19" t="s">
        <x:v>152</x:v>
      </x:c>
      <x:c r="AH42" s="18">
        <x:v>32.96</x:v>
      </x:c>
      <x:c r="AI42" t="s">
        <x:v>112</x:v>
      </x:c>
      <x:c r="AJ42" s="19">
        <x:f t="shared" si="52"/>
        <x:v>32.96</x:v>
      </x:c>
      <x:c r="AK42" s="20">
        <x:v>0.1</x:v>
      </x:c>
      <x:c r="AL42" t="s">
        <x:v>113</x:v>
      </x:c>
      <x:c r="AM42" s="19" t="s">
        <x:v>78</x:v>
      </x:c>
      <x:c r="AN42" s="21" t="n">
        <x:f>2*AK42/100*AJ42</x:f>
        <x:v>0.06592</x:v>
      </x:c>
      <x:c r="AO42" s="21" t="n">
        <x:f>7.24*AJ42/1000</x:f>
        <x:v>0.23863040000000002</x:v>
      </x:c>
      <x:c r="AP42" s="21" t="n">
        <x:f>0.6*AJ42/1000</x:f>
        <x:v>0.019776</x:v>
      </x:c>
      <x:c r="AQ42" s="21" t="n">
        <x:f>0.85*AJ42/1000</x:f>
        <x:v>0.028016</x:v>
      </x:c>
      <x:c r="AR42" s="21" t="n">
        <x:f>0.62*AJ42/1000</x:f>
        <x:v>0.0204352</x:v>
      </x:c>
      <x:c r="AS42" s="21">
        <x:f t="shared" si="53"/>
        <x:v>8.1740800000000005E-4</x:v>
      </x:c>
      <x:c r="AT42" s="21">
        <x:f t="shared" si="54"/>
        <x:v>2.0435200000000001E-4</x:v>
      </x:c>
      <x:c r="AU42" s="21" t="n">
        <x:f>0.13*AJ42/1000</x:f>
        <x:v>0.004284800000000001</x:v>
      </x:c>
      <x:c r="AV42" s="21"/>
      <x:c r="AW42" s="18">
        <x:v>0</x:v>
      </x:c>
      <x:c r="AX42" s="19"/>
      <x:c r="AY42" s="21"/>
      <x:c r="AZ42" s="21"/>
      <x:c r="BA42" s="21"/>
      <x:c r="BB42" s="21"/>
      <x:c r="BC42" s="21"/>
      <x:c r="BD42" s="21"/>
      <x:c r="BE42" s="21"/>
      <x:c r="BF42" s="21"/>
      <x:c r="BG42" s="21"/>
      <x:c r="BH42" t="s">
        <x:v>82</x:v>
      </x:c>
      <x:c r="BI42" s="18">
        <x:v>113</x:v>
      </x:c>
      <x:c r="BJ42" s="18">
        <x:v>34</x:v>
      </x:c>
      <x:c r="BK42" s="18">
        <x:v>1.02</x:v>
      </x:c>
      <x:c r="BL42" s="18">
        <x:v>22</x:v>
      </x:c>
      <x:c r="BM42" s="18">
        <x:v>48</x:v>
      </x:c>
      <x:c r="BN42" s="18">
        <x:v>51.55</x:v>
      </x:c>
      <x:c r="BO42" s="22">
        <x:v>113.56695000000001</x:v>
      </x:c>
      <x:c r="BP42" s="22">
        <x:v>22.814319444444401</x:v>
      </x:c>
      <x:c r="BQ42" s="18">
        <x:v>210</x:v>
      </x:c>
      <x:c r="BR42" s="18">
        <x:v>717364.95</x:v>
      </x:c>
      <x:c r="BS42" s="18">
        <x:v>6779.61</x:v>
      </x:c>
      <x:c r="BT42" s="18">
        <x:v>92.932000000000002</x:v>
      </x:c>
      <x:c r="BU42" s="18">
        <x:v>2192.14</x:v>
      </x:c>
      <x:c r="BV42" s="18">
        <x:v>376.30599999999998</x:v>
      </x:c>
      <x:c r="BW42" s="18">
        <x:v>109511.985</x:v>
      </x:c>
      <x:c r="BX42" s="18">
        <x:v>51.942</x:v>
      </x:c>
      <x:c r="BY42" s="18">
        <x:v>5409.6109999999999</x:v>
      </x:c>
      <x:c r="BZ42" s="18">
        <x:v>5409.6109999999999</x:v>
      </x:c>
      <x:c r="CA42" s="23">
        <x:f t="shared" si="6"/>
        <x:v>6787.5228100000004</x:v>
      </x:c>
      <x:c r="CB42" s="23">
        <x:f t="shared" si="7"/>
        <x:v>5644.7097004000007</x:v>
      </x:c>
      <x:c r="CC42" s="23">
        <x:f t="shared" si="8"/>
        <x:v>1565.753776</x:v>
      </x:c>
      <x:c r="CD42" s="23">
        <x:f t="shared" si="9"/>
        <x:v>18879.257154500003</x:v>
      </x:c>
      <x:c r="CE42" s="23">
        <x:f t="shared" si="10"/>
        <x:v>4925.0367322000002</x:v>
      </x:c>
      <x:c r="CF42" s="23">
        <x:f t="shared" si="11"/>
        <x:v>9.8508500019999996</x:v>
      </x:c>
      <x:c r="CG42" s="23">
        <x:f t="shared" si="12"/>
        <x:v>2.0435200000000001E-4</x:v>
      </x:c>
      <x:c r="CH42" s="23">
        <x:f t="shared" si="13"/>
        <x:v>31.3189648</x:v>
      </x:c>
      <x:c r="CI42" s="23">
        <x:f t="shared" si="14"/>
        <x:v>0</x:v>
      </x:c>
      <x:c r="CJ42" s="24" t="s">
        <x:v>153</x:v>
      </x:c>
      <x:c r="CK42" s="29">
        <x:v>98.22</x:v>
      </x:c>
      <x:c r="CL42" s="26" t="s">
        <x:v>104</x:v>
      </x:c>
      <x:c r="CM42" s="28">
        <x:v>85</x:v>
      </x:c>
      <x:c r="CN42" s="30" t="s">
        <x:v>154</x:v>
      </x:c>
      <x:c r="CO42" s="27">
        <x:v>99.8</x:v>
      </x:c>
      <x:c r="CP42" s="27">
        <x:v>99.6</x:v>
      </x:c>
      <x:c r="CQ42" s="26">
        <x:f t="shared" si="15"/>
        <x:v>120.81790601800026</x:v>
      </x:c>
      <x:c r="CR42" s="26">
        <x:f t="shared" si="16"/>
        <x:v>846.70645506000028</x:v>
      </x:c>
      <x:c r="CS42" s="26">
        <x:f t="shared" si="22"/>
        <x:v>1565.753776</x:v>
      </x:c>
      <x:c r="CT42" s="26">
        <x:f t="shared" si="43"/>
        <x:v>37.758514309000041</x:v>
      </x:c>
      <x:c r="CU42" s="26">
        <x:f t="shared" si="44"/>
        <x:v>19.700146928800017</x:v>
      </x:c>
      <x:c r="CV42" s="26">
        <x:f t="shared" si="45"/>
        <x:v>3.9403400008000036E-2</x:v>
      </x:c>
      <x:c r="CW42" s="26">
        <x:f t="shared" si="46"/>
        <x:v>8.1740800000000075E-7</x:v>
      </x:c>
      <x:c r="CX42" s="26">
        <x:f t="shared" si="23"/>
        <x:v>31.3189648</x:v>
      </x:c>
      <x:c r="CY42" s="26">
        <x:f t="shared" si="24"/>
        <x:v>0</x:v>
      </x:c>
    </x:row>
    <x:row r="43">
      <x:c r="A43" s="18">
        <x:v>2022</x:v>
      </x:c>
      <x:c r="B43" t="s">
        <x:v>148</x:v>
      </x:c>
      <x:c r="C43" t="s">
        <x:v>149</x:v>
      </x:c>
      <x:c r="D43" t="s">
        <x:v>150</x:v>
      </x:c>
      <x:c r="E43" s="18">
        <x:v>440115</x:v>
      </x:c>
      <x:c r="F43" t="s">
        <x:v>151</x:v>
      </x:c>
      <x:c r="G43" t="s">
        <x:v>69</x:v>
      </x:c>
      <x:c r="H43" s="18">
        <x:v>4411</x:v>
      </x:c>
      <x:c r="I43" t="s">
        <x:v>102</x:v>
      </x:c>
      <x:c r="J43" t="s">
        <x:v>78</x:v>
      </x:c>
      <x:c r="K43" t="s">
        <x:v>109</x:v>
      </x:c>
      <x:c r="L43" s="20">
        <x:v>32</x:v>
      </x:c>
      <x:c r="M43" t="s">
        <x:v>110</x:v>
      </x:c>
      <x:c r="N43" s="18">
        <x:v>1021</x:v>
      </x:c>
      <x:c r="O43" t="s">
        <x:v>88</x:v>
      </x:c>
      <x:c r="P43" s="18">
        <x:v>1</x:v>
      </x:c>
      <x:c r="Q43" s="19" t="s">
        <x:v>121</x:v>
      </x:c>
      <x:c r="R43" s="18">
        <x:v>784863.96</x:v>
      </x:c>
      <x:c r="S43" t="s">
        <x:v>112</x:v>
      </x:c>
      <x:c r="T43" s="19">
        <x:f t="shared" si="47"/>
        <x:v>784863.96</x:v>
      </x:c>
      <x:c r="U43" s="20">
        <x:v>0.51</x:v>
      </x:c>
      <x:c r="V43" t="s">
        <x:v>113</x:v>
      </x:c>
      <x:c r="W43" s="20">
        <x:v>13.98</x:v>
      </x:c>
      <x:c r="X43" s="21">
        <x:f t="shared" si="48"/>
        <x:v>6804.7705332000005</x:v>
      </x:c>
      <x:c r="Y43" s="21" t="n">
        <x:f>7.21*T43/1000</x:f>
        <x:v>5658.8691516</x:v>
      </x:c>
      <x:c r="Z43" s="21">
        <x:f t="shared" si="49"/>
        <x:v>1569.7279199999998</x:v>
      </x:c>
      <x:c r="AA43" s="21" t="n">
        <x:f>W43/100*(1-0.25)*0.23*T43</x:f>
        <x:v>18927.38682738</x:v>
      </x:c>
      <x:c r="AB43" s="21" t="n">
        <x:f>W43/100*(1-0.25)*0.06*T43</x:f>
        <x:v>4937.57917236</x:v>
      </x:c>
      <x:c r="AC43" s="21">
        <x:f t="shared" si="50"/>
        <x:v>9.8751583447199991</x:v>
      </x:c>
      <x:c r="AD43" s="21"/>
      <x:c r="AE43" s="21">
        <x:f t="shared" si="51"/>
        <x:v>31.394558399999998</x:v>
      </x:c>
      <x:c r="AF43" s="21"/>
      <x:c r="AG43" s="19" t="s">
        <x:v>152</x:v>
      </x:c>
      <x:c r="AH43" s="18">
        <x:v>131.80000000000001</x:v>
      </x:c>
      <x:c r="AI43" t="s">
        <x:v>112</x:v>
      </x:c>
      <x:c r="AJ43" s="19">
        <x:f t="shared" si="52"/>
        <x:v>131.80000000000001</x:v>
      </x:c>
      <x:c r="AK43" s="20">
        <x:v>0.1</x:v>
      </x:c>
      <x:c r="AL43" t="s">
        <x:v>113</x:v>
      </x:c>
      <x:c r="AM43" s="19" t="s">
        <x:v>78</x:v>
      </x:c>
      <x:c r="AN43" s="21" t="n">
        <x:f>2*AK43/100*AJ43</x:f>
        <x:v>0.2636</x:v>
      </x:c>
      <x:c r="AO43" s="21" t="n">
        <x:f>7.24*AJ43/1000</x:f>
        <x:v>0.9542320000000001</x:v>
      </x:c>
      <x:c r="AP43" s="21" t="n">
        <x:f>0.6*AJ43/1000</x:f>
        <x:v>0.07908</x:v>
      </x:c>
      <x:c r="AQ43" s="21" t="n">
        <x:f>0.85*AJ43/1000</x:f>
        <x:v>0.11203</x:v>
      </x:c>
      <x:c r="AR43" s="21" t="n">
        <x:f>0.62*AJ43/1000</x:f>
        <x:v>0.08171600000000001</x:v>
      </x:c>
      <x:c r="AS43" s="21">
        <x:f t="shared" si="53"/>
        <x:v>3.2686400000000006E-3</x:v>
      </x:c>
      <x:c r="AT43" s="21">
        <x:f t="shared" si="54"/>
        <x:v>8.1716000000000015E-4</x:v>
      </x:c>
      <x:c r="AU43" s="21" t="n">
        <x:f>0.13*AJ43/1000</x:f>
        <x:v>0.017134</x:v>
      </x:c>
      <x:c r="AV43" s="21"/>
      <x:c r="AW43" s="18">
        <x:v>0</x:v>
      </x:c>
      <x:c r="AX43" s="19"/>
      <x:c r="AY43" s="21"/>
      <x:c r="AZ43" s="21"/>
      <x:c r="BA43" s="21"/>
      <x:c r="BB43" s="21"/>
      <x:c r="BC43" s="21"/>
      <x:c r="BD43" s="21"/>
      <x:c r="BE43" s="21"/>
      <x:c r="BF43" s="21"/>
      <x:c r="BG43" s="21"/>
      <x:c r="BH43" t="s">
        <x:v>83</x:v>
      </x:c>
      <x:c r="BI43" s="18">
        <x:v>113</x:v>
      </x:c>
      <x:c r="BJ43" s="18">
        <x:v>34</x:v>
      </x:c>
      <x:c r="BK43" s="18">
        <x:v>1.02</x:v>
      </x:c>
      <x:c r="BL43" s="18">
        <x:v>22</x:v>
      </x:c>
      <x:c r="BM43" s="18">
        <x:v>48</x:v>
      </x:c>
      <x:c r="BN43" s="18">
        <x:v>51.55</x:v>
      </x:c>
      <x:c r="BO43" s="22">
        <x:v>113.56695000000001</x:v>
      </x:c>
      <x:c r="BP43" s="22">
        <x:v>22.814319444444401</x:v>
      </x:c>
      <x:c r="BQ43" s="18">
        <x:v>210</x:v>
      </x:c>
      <x:c r="BR43" s="18">
        <x:v>653737.49</x:v>
      </x:c>
      <x:c r="BS43" s="18">
        <x:v>6797.32</x:v>
      </x:c>
      <x:c r="BT43" s="18">
        <x:v>93.227999999999994</x:v>
      </x:c>
      <x:c r="BU43" s="18">
        <x:v>2198.069</x:v>
      </x:c>
      <x:c r="BV43" s="18">
        <x:v>377.33300000000003</x:v>
      </x:c>
      <x:c r="BW43" s="18">
        <x:v>109791.356</x:v>
      </x:c>
      <x:c r="BX43" s="18">
        <x:v>52.082999999999998</x:v>
      </x:c>
      <x:c r="BY43" s="18">
        <x:v>5423.41</x:v>
      </x:c>
      <x:c r="BZ43" s="18">
        <x:v>5423.41</x:v>
      </x:c>
      <x:c r="CA43" s="23">
        <x:f t="shared" si="6"/>
        <x:v>6805.0341332000007</x:v>
      </x:c>
      <x:c r="CB43" s="23">
        <x:f t="shared" si="7"/>
        <x:v>5659.8233835999999</x:v>
      </x:c>
      <x:c r="CC43" s="23">
        <x:f t="shared" si="8"/>
        <x:v>1569.8069999999998</x:v>
      </x:c>
      <x:c r="CD43" s="23">
        <x:f t="shared" si="9"/>
        <x:v>18927.49885738</x:v>
      </x:c>
      <x:c r="CE43" s="23">
        <x:f t="shared" si="10"/>
        <x:v>4937.6608883599993</x:v>
      </x:c>
      <x:c r="CF43" s="23">
        <x:f t="shared" si="11"/>
        <x:v>9.878426984719999</x:v>
      </x:c>
      <x:c r="CG43" s="23">
        <x:f t="shared" si="12"/>
        <x:v>8.1716000000000015E-4</x:v>
      </x:c>
      <x:c r="CH43" s="23">
        <x:f t="shared" si="13"/>
        <x:v>31.411692399999996</x:v>
      </x:c>
      <x:c r="CI43" s="23">
        <x:f t="shared" si="14"/>
        <x:v>0</x:v>
      </x:c>
      <x:c r="CJ43" s="24" t="s">
        <x:v>153</x:v>
      </x:c>
      <x:c r="CK43" s="29">
        <x:v>98.22</x:v>
      </x:c>
      <x:c r="CL43" s="26" t="s">
        <x:v>104</x:v>
      </x:c>
      <x:c r="CM43" s="28">
        <x:v>85</x:v>
      </x:c>
      <x:c r="CN43" s="30" t="s">
        <x:v>154</x:v>
      </x:c>
      <x:c r="CO43" s="27">
        <x:v>99.8</x:v>
      </x:c>
      <x:c r="CP43" s="27">
        <x:v>99.6</x:v>
      </x:c>
      <x:c r="CQ43" s="26">
        <x:f t="shared" si="15"/>
        <x:v>121.12960757096027</x:v>
      </x:c>
      <x:c r="CR43" s="26">
        <x:f t="shared" si="16"/>
        <x:v>848.97350754000013</x:v>
      </x:c>
      <x:c r="CS43" s="26">
        <x:f t="shared" si="22"/>
        <x:v>1569.8069999999998</x:v>
      </x:c>
      <x:c r="CT43" s="26">
        <x:f t="shared" si="43"/>
        <x:v>37.854997714760032</x:v>
      </x:c>
      <x:c r="CU43" s="26">
        <x:f t="shared" si="44"/>
        <x:v>19.750643553440014</x:v>
      </x:c>
      <x:c r="CV43" s="26">
        <x:f t="shared" si="45"/>
        <x:v>3.9513707938880031E-2</x:v>
      </x:c>
      <x:c r="CW43" s="26">
        <x:f t="shared" si="46"/>
        <x:v>3.2686400000000036E-6</x:v>
      </x:c>
      <x:c r="CX43" s="26">
        <x:f t="shared" si="23"/>
        <x:v>31.411692399999996</x:v>
      </x:c>
      <x:c r="CY43" s="26">
        <x:f t="shared" si="24"/>
        <x:v>0</x:v>
      </x:c>
    </x:row>
    <x:row r="44">
      <x:c r="A44" s="18">
        <x:v>2022</x:v>
      </x:c>
      <x:c r="B44" t="s">
        <x:v>155</x:v>
      </x:c>
      <x:c r="C44" t="s">
        <x:v>156</x:v>
      </x:c>
      <x:c r="D44" t="s">
        <x:v>157</x:v>
      </x:c>
      <x:c r="E44" s="18">
        <x:v>440115</x:v>
      </x:c>
      <x:c r="F44" t="s">
        <x:v>151</x:v>
      </x:c>
      <x:c r="G44" t="s">
        <x:v>69</x:v>
      </x:c>
      <x:c r="H44" s="18">
        <x:v>2221</x:v>
      </x:c>
      <x:c r="I44" t="s">
        <x:v>158</x:v>
      </x:c>
      <x:c r="J44" t="s">
        <x:v>78</x:v>
      </x:c>
      <x:c r="K44" t="s">
        <x:v>109</x:v>
      </x:c>
      <x:c r="L44" s="20">
        <x:v>5</x:v>
      </x:c>
      <x:c r="M44" t="s">
        <x:v>125</x:v>
      </x:c>
      <x:c r="N44" s="18">
        <x:v>350</x:v>
      </x:c>
      <x:c r="O44" t="s">
        <x:v>88</x:v>
      </x:c>
      <x:c r="P44" s="18">
        <x:v>1</x:v>
      </x:c>
      <x:c r="Q44" s="19" t="s">
        <x:v>121</x:v>
      </x:c>
      <x:c r="R44" s="18">
        <x:v>278291</x:v>
      </x:c>
      <x:c r="S44" t="s">
        <x:v>112</x:v>
      </x:c>
      <x:c r="T44" s="19">
        <x:f t="shared" si="47"/>
        <x:v>278291</x:v>
      </x:c>
      <x:c r="U44" s="20">
        <x:v>0.98</x:v>
      </x:c>
      <x:c r="V44" t="s">
        <x:v>113</x:v>
      </x:c>
      <x:c r="W44" s="20">
        <x:v>26.02</x:v>
      </x:c>
      <x:c r="X44" s="21">
        <x:f t="shared" si="48"/>
        <x:v>4636.3280599999989</x:v>
      </x:c>
      <x:c r="Y44" s="21" t="n">
        <x:f t="shared" ref="Y44:Y51" si="55">8.96*T44/1000</x:f>
        <x:v>2493.4873600000005</x:v>
      </x:c>
      <x:c r="Z44" s="21">
        <x:f t="shared" si="49"/>
        <x:v>556.58199999999999</x:v>
      </x:c>
      <x:c r="AA44" s="21" t="n">
        <x:f t="shared" ref="AA44:AA51" si="56">W44/100*(1-0.44)*0.29*T44</x:f>
        <x:v>11759.59807568</x:v>
      </x:c>
      <x:c r="AB44" s="21" t="n">
        <x:f t="shared" ref="AB44:AB51" si="57">W44/100*(1-0.44)*0.07*T44</x:f>
        <x:v>2838.5236734400005</x:v>
      </x:c>
      <x:c r="AC44" s="21">
        <x:f t="shared" si="50"/>
        <x:v>5.6770473468800011</x:v>
      </x:c>
      <x:c r="AD44" s="21"/>
      <x:c r="AE44" s="21">
        <x:f t="shared" si="51"/>
        <x:v>11.131639999999999</x:v>
      </x:c>
      <x:c r="AF44" s="21"/>
      <x:c r="AG44" s="19" t="s">
        <x:v>78</x:v>
      </x:c>
      <x:c r="AH44" t="s">
        <x:v>78</x:v>
      </x:c>
      <x:c r="AI44" t="s">
        <x:v>78</x:v>
      </x:c>
      <x:c r="AJ44" s="19"/>
      <x:c r="AK44" s="19" t="s">
        <x:v>78</x:v>
      </x:c>
      <x:c r="AL44" t="s">
        <x:v>78</x:v>
      </x:c>
      <x:c r="AM44" s="19" t="s">
        <x:v>78</x:v>
      </x:c>
      <x:c r="AN44" s="21"/>
      <x:c r="AO44" s="21"/>
      <x:c r="AP44" s="21"/>
      <x:c r="AQ44" s="21"/>
      <x:c r="AR44" s="21"/>
      <x:c r="AS44" s="21"/>
      <x:c r="AT44" s="21"/>
      <x:c r="AU44" s="21"/>
      <x:c r="AV44" s="21"/>
      <x:c r="AW44" t="s">
        <x:v>78</x:v>
      </x:c>
      <x:c r="AX44" s="19"/>
      <x:c r="AY44" s="21"/>
      <x:c r="AZ44" s="21"/>
      <x:c r="BA44" s="21"/>
      <x:c r="BB44" s="21"/>
      <x:c r="BC44" s="21"/>
      <x:c r="BD44" s="21"/>
      <x:c r="BE44" s="21"/>
      <x:c r="BF44" s="21"/>
      <x:c r="BG44" s="21"/>
      <x:c r="BH44" t="s">
        <x:v>81</x:v>
      </x:c>
      <x:c r="BI44" s="18">
        <x:v>113</x:v>
      </x:c>
      <x:c r="BJ44" s="18">
        <x:v>30</x:v>
      </x:c>
      <x:c r="BK44" s="18">
        <x:v>34.46</x:v>
      </x:c>
      <x:c r="BL44" s="18">
        <x:v>22</x:v>
      </x:c>
      <x:c r="BM44" s="18">
        <x:v>44</x:v>
      </x:c>
      <x:c r="BN44" s="18">
        <x:v>29.48</x:v>
      </x:c>
      <x:c r="BO44" s="22">
        <x:v>113.509572222222</x:v>
      </x:c>
      <x:c r="BP44" s="22">
        <x:v>22.741522222222201</x:v>
      </x:c>
      <x:c r="BQ44" s="18">
        <x:v>120</x:v>
      </x:c>
      <x:c r="BR44" s="18">
        <x:v>250694.38399999999</x:v>
      </x:c>
      <x:c r="BS44" s="18">
        <x:v>1600.8969999999999</x:v>
      </x:c>
      <x:c r="BT44" s="18">
        <x:v>0.84299999999999997</x:v>
      </x:c>
      <x:c r="BU44" s="18">
        <x:v>314.46899999999999</x:v>
      </x:c>
      <x:c r="BV44" s="18">
        <x:v>54.31</x:v>
      </x:c>
      <x:c r="BW44" s="18">
        <x:v>64092.087</x:v>
      </x:c>
      <x:c r="BX44" s="18">
        <x:v>5.819</x:v>
      </x:c>
      <x:c r="BY44" s="18">
        <x:v>3784.7579999999998</x:v>
      </x:c>
      <x:c r="BZ44" s="18">
        <x:v>3784.7579999999998</x:v>
      </x:c>
      <x:c r="CA44" s="23">
        <x:f t="shared" si="6"/>
        <x:v>4636.3280599999989</x:v>
      </x:c>
      <x:c r="CB44" s="23">
        <x:f t="shared" si="7"/>
        <x:v>2493.4873600000005</x:v>
      </x:c>
      <x:c r="CC44" s="23">
        <x:f t="shared" si="8"/>
        <x:v>556.58199999999999</x:v>
      </x:c>
      <x:c r="CD44" s="23">
        <x:f t="shared" si="9"/>
        <x:v>11759.59807568</x:v>
      </x:c>
      <x:c r="CE44" s="23">
        <x:f t="shared" si="10"/>
        <x:v>2838.5236734400005</x:v>
      </x:c>
      <x:c r="CF44" s="23">
        <x:f t="shared" si="11"/>
        <x:v>5.6770473468800011</x:v>
      </x:c>
      <x:c r="CG44" s="23">
        <x:f t="shared" si="12"/>
        <x:v>0</x:v>
      </x:c>
      <x:c r="CH44" s="23">
        <x:f t="shared" si="13"/>
        <x:v>11.131639999999999</x:v>
      </x:c>
      <x:c r="CI44" s="23">
        <x:f t="shared" si="14"/>
        <x:v>0</x:v>
      </x:c>
      <x:c r="CJ44" s="24" t="s">
        <x:v>153</x:v>
      </x:c>
      <x:c r="CK44" s="29">
        <x:v>79.569999999999993</x:v>
      </x:c>
      <x:c r="CL44" s="26" t="s">
        <x:v>97</x:v>
      </x:c>
      <x:c r="CM44" s="28">
        <x:v>65</x:v>
      </x:c>
      <x:c r="CN44" s="30" t="s">
        <x:v>154</x:v>
      </x:c>
      <x:c r="CO44" s="27">
        <x:v>99.8</x:v>
      </x:c>
      <x:c r="CP44" s="27">
        <x:v>99.6</x:v>
      </x:c>
      <x:c r="CQ44" s="26">
        <x:f t="shared" si="15"/>
        <x:v>947.20182265799997</x:v>
      </x:c>
      <x:c r="CR44" s="26">
        <x:f t="shared" si="16"/>
        <x:v>872.72057600000016</x:v>
      </x:c>
      <x:c r="CS44" s="26">
        <x:f t="shared" si="22"/>
        <x:v>556.58199999999999</x:v>
      </x:c>
      <x:c r="CT44" s="26">
        <x:f t="shared" si="43"/>
        <x:v>23.519196151360021</x:v>
      </x:c>
      <x:c r="CU44" s="26">
        <x:f t="shared" si="44"/>
        <x:v>11.354094693760013</x:v>
      </x:c>
      <x:c r="CV44" s="26">
        <x:f t="shared" si="45"/>
        <x:v>2.2708189387520023E-2</x:v>
      </x:c>
      <x:c r="CW44" s="26">
        <x:f t="shared" si="46"/>
        <x:v>0</x:v>
      </x:c>
      <x:c r="CX44" s="26">
        <x:f t="shared" si="23"/>
        <x:v>11.131639999999999</x:v>
      </x:c>
      <x:c r="CY44" s="26">
        <x:f t="shared" si="24"/>
        <x:v>0</x:v>
      </x:c>
    </x:row>
    <x:row r="45">
      <x:c r="A45" s="18">
        <x:v>2022</x:v>
      </x:c>
      <x:c r="B45" t="s">
        <x:v>159</x:v>
      </x:c>
      <x:c r="C45" t="s">
        <x:v>160</x:v>
      </x:c>
      <x:c r="D45" t="s">
        <x:v>161</x:v>
      </x:c>
      <x:c r="E45" s="18">
        <x:v>440115</x:v>
      </x:c>
      <x:c r="F45" t="s">
        <x:v>151</x:v>
      </x:c>
      <x:c r="G45" t="s">
        <x:v>69</x:v>
      </x:c>
      <x:c r="H45" s="18">
        <x:v>1713</x:v>
      </x:c>
      <x:c r="I45" t="s">
        <x:v>162</x:v>
      </x:c>
      <x:c r="J45" t="s">
        <x:v>78</x:v>
      </x:c>
      <x:c r="K45" t="s">
        <x:v>109</x:v>
      </x:c>
      <x:c r="L45" s="20">
        <x:v>0.7</x:v>
      </x:c>
      <x:c r="M45" t="s">
        <x:v>125</x:v>
      </x:c>
      <x:c r="N45" s="18">
        <x:v>75</x:v>
      </x:c>
      <x:c r="O45" t="s">
        <x:v>88</x:v>
      </x:c>
      <x:c r="P45" s="18">
        <x:v>4</x:v>
      </x:c>
      <x:c r="Q45" s="19" t="s">
        <x:v>111</x:v>
      </x:c>
      <x:c r="R45" s="18">
        <x:v>47424.18</x:v>
      </x:c>
      <x:c r="S45" t="s">
        <x:v>112</x:v>
      </x:c>
      <x:c r="T45" s="19">
        <x:f t="shared" si="47"/>
        <x:v>47424.18</x:v>
      </x:c>
      <x:c r="U45" s="20">
        <x:v>0.95</x:v>
      </x:c>
      <x:c r="V45" t="s">
        <x:v>113</x:v>
      </x:c>
      <x:c r="W45" s="20">
        <x:v>19.88</x:v>
      </x:c>
      <x:c r="X45" s="21">
        <x:f t="shared" si="48"/>
        <x:v>765.90050699999995</x:v>
      </x:c>
      <x:c r="Y45" s="21">
        <x:f t="shared" si="55"/>
        <x:v>424.92065280000003</x:v>
      </x:c>
      <x:c r="Z45" s="21">
        <x:f t="shared" si="49"/>
        <x:v>94.84836</x:v>
      </x:c>
      <x:c r="AA45" s="21">
        <x:f t="shared" si="56"/>
        <x:v>1531.0953422015998</x:v>
      </x:c>
      <x:c r="AB45" s="21">
        <x:f t="shared" si="57"/>
        <x:v>369.57473777280006</x:v>
      </x:c>
      <x:c r="AC45" s="21">
        <x:f t="shared" si="50"/>
        <x:v>0.73914947554560018</x:v>
      </x:c>
      <x:c r="AD45" s="21"/>
      <x:c r="AE45" s="21">
        <x:f t="shared" si="51"/>
        <x:v>1.8969672</x:v>
      </x:c>
      <x:c r="AF45" s="21"/>
      <x:c r="AG45" s="19" t="s">
        <x:v>78</x:v>
      </x:c>
      <x:c r="AH45" t="s">
        <x:v>78</x:v>
      </x:c>
      <x:c r="AI45" t="s">
        <x:v>78</x:v>
      </x:c>
      <x:c r="AJ45" s="19"/>
      <x:c r="AK45" s="19" t="s">
        <x:v>78</x:v>
      </x:c>
      <x:c r="AL45" t="s">
        <x:v>78</x:v>
      </x:c>
      <x:c r="AM45" s="19" t="s">
        <x:v>78</x:v>
      </x:c>
      <x:c r="AN45" s="21"/>
      <x:c r="AO45" s="21"/>
      <x:c r="AP45" s="21"/>
      <x:c r="AQ45" s="21"/>
      <x:c r="AR45" s="21"/>
      <x:c r="AS45" s="21"/>
      <x:c r="AT45" s="21"/>
      <x:c r="AU45" s="21"/>
      <x:c r="AV45" s="21"/>
      <x:c r="AW45" t="s">
        <x:v>78</x:v>
      </x:c>
      <x:c r="AX45" s="19"/>
      <x:c r="AY45" s="21"/>
      <x:c r="AZ45" s="21"/>
      <x:c r="BA45" s="21"/>
      <x:c r="BB45" s="21"/>
      <x:c r="BC45" s="21"/>
      <x:c r="BD45" s="21"/>
      <x:c r="BE45" s="21"/>
      <x:c r="BF45" s="21"/>
      <x:c r="BG45" s="21"/>
      <x:c r="BH45" t="s">
        <x:v>81</x:v>
      </x:c>
      <x:c r="BI45" s="18">
        <x:v>113</x:v>
      </x:c>
      <x:c r="BJ45" s="18">
        <x:v>31</x:v>
      </x:c>
      <x:c r="BK45" s="18">
        <x:v>23.05</x:v>
      </x:c>
      <x:c r="BL45" s="18">
        <x:v>22</x:v>
      </x:c>
      <x:c r="BM45" s="18">
        <x:v>40</x:v>
      </x:c>
      <x:c r="BN45" s="18">
        <x:v>56.85</x:v>
      </x:c>
      <x:c r="BO45" s="22">
        <x:v>113.523069444444</x:v>
      </x:c>
      <x:c r="BP45" s="22">
        <x:v>22.682458333333301</x:v>
      </x:c>
      <x:c r="BQ45" s="18">
        <x:v>100</x:v>
      </x:c>
      <x:c r="BR45" s="18">
        <x:v>53401.631999999998</x:v>
      </x:c>
      <x:c r="BS45" s="18">
        <x:v>202.738</x:v>
      </x:c>
      <x:c r="BT45" s="18">
        <x:v>2.855</x:v>
      </x:c>
      <x:c r="BU45" s="18">
        <x:v>45.052999999999997</x:v>
      </x:c>
      <x:c r="BV45" s="18">
        <x:v>14.032999999999999</x:v>
      </x:c>
      <x:c r="BW45" s="18">
        <x:v>4893.0940000000001</x:v>
      </x:c>
      <x:c r="BX45" s="18">
        <x:v>0.58299999999999996</x:v>
      </x:c>
      <x:c r="BY45" s="18">
        <x:v>1356.3320000000001</x:v>
      </x:c>
      <x:c r="BZ45" s="18">
        <x:v>1356.3320000000001</x:v>
      </x:c>
      <x:c r="CA45" s="23">
        <x:f t="shared" si="6"/>
        <x:v>765.90050699999995</x:v>
      </x:c>
      <x:c r="CB45" s="23">
        <x:f t="shared" si="7"/>
        <x:v>424.92065280000003</x:v>
      </x:c>
      <x:c r="CC45" s="23">
        <x:f t="shared" si="8"/>
        <x:v>94.84836</x:v>
      </x:c>
      <x:c r="CD45" s="23">
        <x:f t="shared" si="9"/>
        <x:v>1531.0953422015998</x:v>
      </x:c>
      <x:c r="CE45" s="23">
        <x:f t="shared" si="10"/>
        <x:v>369.57473777280006</x:v>
      </x:c>
      <x:c r="CF45" s="23">
        <x:f t="shared" si="11"/>
        <x:v>0.73914947554560018</x:v>
      </x:c>
      <x:c r="CG45" s="23">
        <x:f t="shared" si="12"/>
        <x:v>0</x:v>
      </x:c>
      <x:c r="CH45" s="23">
        <x:f t="shared" si="13"/>
        <x:v>1.8969672</x:v>
      </x:c>
      <x:c r="CI45" s="23">
        <x:f t="shared" si="14"/>
        <x:v>0</x:v>
      </x:c>
      <x:c r="CJ45" s="24" t="s">
        <x:v>114</x:v>
      </x:c>
      <x:c r="CK45" s="29">
        <x:v>95</x:v>
      </x:c>
      <x:c r="CL45" s="26" t="s">
        <x:v>104</x:v>
      </x:c>
      <x:c r="CM45" s="28">
        <x:v>87.5</x:v>
      </x:c>
      <x:c r="CN45" s="30" t="s">
        <x:v>163</x:v>
      </x:c>
      <x:c r="CO45" s="27">
        <x:v>99.4</x:v>
      </x:c>
      <x:c r="CP45" s="27">
        <x:v>98.3</x:v>
      </x:c>
      <x:c r="CQ45" s="26">
        <x:f t="shared" si="15"/>
        <x:v>38.295025350000031</x:v>
      </x:c>
      <x:c r="CR45" s="26">
        <x:f t="shared" si="16"/>
        <x:v>53.115081600000003</x:v>
      </x:c>
      <x:c r="CS45" s="26">
        <x:f t="shared" si="22"/>
        <x:v>94.84836</x:v>
      </x:c>
      <x:c r="CT45" s="26">
        <x:f t="shared" si="43"/>
        <x:v>9.1865720532094368</x:v>
      </x:c>
      <x:c r="CU45" s="26">
        <x:f t="shared" si="44"/>
        <x:v>6.282770542137607</x:v>
      </x:c>
      <x:c r="CV45" s="26">
        <x:f t="shared" si="45"/>
        <x:v>1.2565541084275215E-2</x:v>
      </x:c>
      <x:c r="CW45" s="26">
        <x:f t="shared" si="46"/>
        <x:v>0</x:v>
      </x:c>
      <x:c r="CX45" s="26">
        <x:f t="shared" si="23"/>
        <x:v>1.8969672</x:v>
      </x:c>
      <x:c r="CY45" s="26">
        <x:f t="shared" si="24"/>
        <x:v>0</x:v>
      </x:c>
    </x:row>
    <x:row r="46">
      <x:c r="A46" s="18">
        <x:v>2022</x:v>
      </x:c>
      <x:c r="B46" t="s">
        <x:v>159</x:v>
      </x:c>
      <x:c r="C46" t="s">
        <x:v>160</x:v>
      </x:c>
      <x:c r="D46" t="s">
        <x:v>161</x:v>
      </x:c>
      <x:c r="E46" s="18">
        <x:v>440115</x:v>
      </x:c>
      <x:c r="F46" t="s">
        <x:v>151</x:v>
      </x:c>
      <x:c r="G46" t="s">
        <x:v>69</x:v>
      </x:c>
      <x:c r="H46" s="18">
        <x:v>1713</x:v>
      </x:c>
      <x:c r="I46" t="s">
        <x:v>162</x:v>
      </x:c>
      <x:c r="J46" t="s">
        <x:v>78</x:v>
      </x:c>
      <x:c r="K46" t="s">
        <x:v>109</x:v>
      </x:c>
      <x:c r="L46" s="20">
        <x:v>0.7</x:v>
      </x:c>
      <x:c r="M46" t="s">
        <x:v>125</x:v>
      </x:c>
      <x:c r="N46" s="18">
        <x:v>75</x:v>
      </x:c>
      <x:c r="O46" t="s">
        <x:v>88</x:v>
      </x:c>
      <x:c r="P46" s="18">
        <x:v>4</x:v>
      </x:c>
      <x:c r="Q46" s="19" t="s">
        <x:v>111</x:v>
      </x:c>
      <x:c r="R46" s="18">
        <x:v>59380.69</x:v>
      </x:c>
      <x:c r="S46" t="s">
        <x:v>112</x:v>
      </x:c>
      <x:c r="T46" s="19">
        <x:f t="shared" si="47"/>
        <x:v>59380.69</x:v>
      </x:c>
      <x:c r="U46" s="20">
        <x:v>0.92</x:v>
      </x:c>
      <x:c r="V46" t="s">
        <x:v>113</x:v>
      </x:c>
      <x:c r="W46" s="20">
        <x:v>20.73</x:v>
      </x:c>
      <x:c r="X46" s="21">
        <x:f t="shared" si="48"/>
        <x:v>928.71399159999987</x:v>
      </x:c>
      <x:c r="Y46" s="21">
        <x:f t="shared" si="55"/>
        <x:v>532.05098240000007</x:v>
      </x:c>
      <x:c r="Z46" s="21">
        <x:f t="shared" si="49"/>
        <x:v>118.76138</x:v>
      </x:c>
      <x:c r="AA46" s="21">
        <x:f t="shared" si="56"/>
        <x:v>1999.0818068088004</x:v>
      </x:c>
      <x:c r="AB46" s="21">
        <x:f t="shared" si="57"/>
        <x:v>482.53698785040012</x:v>
      </x:c>
      <x:c r="AC46" s="21">
        <x:f t="shared" si="50"/>
        <x:v>0.96507397570080022</x:v>
      </x:c>
      <x:c r="AD46" s="21"/>
      <x:c r="AE46" s="21">
        <x:f t="shared" si="51"/>
        <x:v>2.3752276000000001</x:v>
      </x:c>
      <x:c r="AF46" s="21"/>
      <x:c r="AG46" s="19" t="s">
        <x:v>78</x:v>
      </x:c>
      <x:c r="AH46" t="s">
        <x:v>78</x:v>
      </x:c>
      <x:c r="AI46" t="s">
        <x:v>78</x:v>
      </x:c>
      <x:c r="AJ46" s="19"/>
      <x:c r="AK46" s="19" t="s">
        <x:v>78</x:v>
      </x:c>
      <x:c r="AL46" t="s">
        <x:v>78</x:v>
      </x:c>
      <x:c r="AM46" s="19" t="s">
        <x:v>78</x:v>
      </x:c>
      <x:c r="AN46" s="21"/>
      <x:c r="AO46" s="21"/>
      <x:c r="AP46" s="21"/>
      <x:c r="AQ46" s="21"/>
      <x:c r="AR46" s="21"/>
      <x:c r="AS46" s="21"/>
      <x:c r="AT46" s="21"/>
      <x:c r="AU46" s="21"/>
      <x:c r="AV46" s="21"/>
      <x:c r="AW46" t="s">
        <x:v>78</x:v>
      </x:c>
      <x:c r="AX46" s="19"/>
      <x:c r="AY46" s="21"/>
      <x:c r="AZ46" s="21"/>
      <x:c r="BA46" s="21"/>
      <x:c r="BB46" s="21"/>
      <x:c r="BC46" s="21"/>
      <x:c r="BD46" s="21"/>
      <x:c r="BE46" s="21"/>
      <x:c r="BF46" s="21"/>
      <x:c r="BG46" s="21"/>
      <x:c r="BH46" t="s">
        <x:v>79</x:v>
      </x:c>
      <x:c r="BI46" s="18">
        <x:v>113</x:v>
      </x:c>
      <x:c r="BJ46" s="18">
        <x:v>31</x:v>
      </x:c>
      <x:c r="BK46" s="18">
        <x:v>22.7</x:v>
      </x:c>
      <x:c r="BL46" s="18">
        <x:v>22</x:v>
      </x:c>
      <x:c r="BM46" s="18">
        <x:v>40</x:v>
      </x:c>
      <x:c r="BN46" s="18">
        <x:v>55.44</x:v>
      </x:c>
      <x:c r="BO46" s="22">
        <x:v>113.52297222222199</x:v>
      </x:c>
      <x:c r="BP46" s="22">
        <x:v>22.682066666666699</x:v>
      </x:c>
      <x:c r="BQ46" s="18">
        <x:v>100</x:v>
      </x:c>
      <x:c r="BR46" s="18">
        <x:v>53250.716</x:v>
      </x:c>
      <x:c r="BS46" s="18">
        <x:v>315.21600000000001</x:v>
      </x:c>
      <x:c r="BT46" s="18">
        <x:v>2.9910000000000001</x:v>
      </x:c>
      <x:c r="BU46" s="18">
        <x:v>71.257000000000005</x:v>
      </x:c>
      <x:c r="BV46" s="18">
        <x:v>14.3</x:v>
      </x:c>
      <x:c r="BW46" s="18">
        <x:v>11671.5</x:v>
      </x:c>
      <x:c r="BX46" s="18">
        <x:v>0.69499999999999995</x:v>
      </x:c>
      <x:c r="BY46" s="18">
        <x:v>1698.288</x:v>
      </x:c>
      <x:c r="BZ46" s="18">
        <x:v>1698.288</x:v>
      </x:c>
      <x:c r="CA46" s="23">
        <x:f t="shared" si="6"/>
        <x:v>928.71399159999987</x:v>
      </x:c>
      <x:c r="CB46" s="23">
        <x:f t="shared" si="7"/>
        <x:v>532.05098240000007</x:v>
      </x:c>
      <x:c r="CC46" s="23">
        <x:f t="shared" si="8"/>
        <x:v>118.76138</x:v>
      </x:c>
      <x:c r="CD46" s="23">
        <x:f t="shared" si="9"/>
        <x:v>1999.0818068088004</x:v>
      </x:c>
      <x:c r="CE46" s="23">
        <x:f t="shared" si="10"/>
        <x:v>482.53698785040012</x:v>
      </x:c>
      <x:c r="CF46" s="23">
        <x:f t="shared" si="11"/>
        <x:v>0.96507397570080022</x:v>
      </x:c>
      <x:c r="CG46" s="23">
        <x:f t="shared" si="12"/>
        <x:v>0</x:v>
      </x:c>
      <x:c r="CH46" s="23">
        <x:f t="shared" si="13"/>
        <x:v>2.3752276000000001</x:v>
      </x:c>
      <x:c r="CI46" s="23">
        <x:f t="shared" si="14"/>
        <x:v>0</x:v>
      </x:c>
      <x:c r="CJ46" s="24" t="s">
        <x:v>114</x:v>
      </x:c>
      <x:c r="CK46" s="29">
        <x:v>95</x:v>
      </x:c>
      <x:c r="CL46" s="26" t="s">
        <x:v>104</x:v>
      </x:c>
      <x:c r="CM46" s="28">
        <x:v>87.5</x:v>
      </x:c>
      <x:c r="CN46" s="30" t="s">
        <x:v>163</x:v>
      </x:c>
      <x:c r="CO46" s="27">
        <x:v>99.4</x:v>
      </x:c>
      <x:c r="CP46" s="27">
        <x:v>98.3</x:v>
      </x:c>
      <x:c r="CQ46" s="26">
        <x:f t="shared" si="15"/>
        <x:v>46.435699580000033</x:v>
      </x:c>
      <x:c r="CR46" s="26">
        <x:f t="shared" si="16"/>
        <x:v>66.506372800000008</x:v>
      </x:c>
      <x:c r="CS46" s="26">
        <x:f t="shared" si="22"/>
        <x:v>118.76138</x:v>
      </x:c>
      <x:c r="CT46" s="26">
        <x:f t="shared" si="43"/>
        <x:v>11.99449084085259</x:v>
      </x:c>
      <x:c r="CU46" s="26">
        <x:f t="shared" si="44"/>
        <x:v>8.2031287934568091</x:v>
      </x:c>
      <x:c r="CV46" s="26">
        <x:f t="shared" si="45"/>
        <x:v>1.6406257586913619E-2</x:v>
      </x:c>
      <x:c r="CW46" s="26">
        <x:f t="shared" si="46"/>
        <x:v>0</x:v>
      </x:c>
      <x:c r="CX46" s="26">
        <x:f t="shared" si="23"/>
        <x:v>2.3752276000000001</x:v>
      </x:c>
      <x:c r="CY46" s="26">
        <x:f t="shared" si="24"/>
        <x:v>0</x:v>
      </x:c>
    </x:row>
    <x:row r="47">
      <x:c r="A47" s="18">
        <x:v>2022</x:v>
      </x:c>
      <x:c r="B47" t="s">
        <x:v>159</x:v>
      </x:c>
      <x:c r="C47" t="s">
        <x:v>160</x:v>
      </x:c>
      <x:c r="D47" t="s">
        <x:v>161</x:v>
      </x:c>
      <x:c r="E47" s="18">
        <x:v>440115</x:v>
      </x:c>
      <x:c r="F47" t="s">
        <x:v>151</x:v>
      </x:c>
      <x:c r="G47" t="s">
        <x:v>69</x:v>
      </x:c>
      <x:c r="H47" s="18">
        <x:v>1713</x:v>
      </x:c>
      <x:c r="I47" t="s">
        <x:v>162</x:v>
      </x:c>
      <x:c r="J47" t="s">
        <x:v>78</x:v>
      </x:c>
      <x:c r="K47" t="s">
        <x:v>109</x:v>
      </x:c>
      <x:c r="L47" s="20">
        <x:v>1.5</x:v>
      </x:c>
      <x:c r="M47" t="s">
        <x:v>125</x:v>
      </x:c>
      <x:c r="N47" s="18">
        <x:v>75</x:v>
      </x:c>
      <x:c r="O47" t="s">
        <x:v>88</x:v>
      </x:c>
      <x:c r="P47" s="18">
        <x:v>4</x:v>
      </x:c>
      <x:c r="Q47" s="19" t="s">
        <x:v>111</x:v>
      </x:c>
      <x:c r="R47" s="18">
        <x:v>33846.980000000003</x:v>
      </x:c>
      <x:c r="S47" t="s">
        <x:v>112</x:v>
      </x:c>
      <x:c r="T47" s="19">
        <x:f t="shared" si="47"/>
        <x:v>33846.980000000003</x:v>
      </x:c>
      <x:c r="U47" s="20">
        <x:v>0.95</x:v>
      </x:c>
      <x:c r="V47" t="s">
        <x:v>113</x:v>
      </x:c>
      <x:c r="W47" s="20">
        <x:v>22.17</x:v>
      </x:c>
      <x:c r="X47" s="21">
        <x:f t="shared" si="48"/>
        <x:v>546.62872700000003</x:v>
      </x:c>
      <x:c r="Y47" s="21">
        <x:f t="shared" si="55"/>
        <x:v>303.26894080000005</x:v>
      </x:c>
      <x:c r="Z47" s="21">
        <x:f t="shared" si="49"/>
        <x:v>67.693960000000004</x:v>
      </x:c>
      <x:c r="AA47" s="21">
        <x:f t="shared" si="56"/>
        <x:v>1218.6293756784</x:v>
      </x:c>
      <x:c r="AB47" s="21">
        <x:f t="shared" si="57"/>
        <x:v>294.15191826720007</x:v>
      </x:c>
      <x:c r="AC47" s="21">
        <x:f t="shared" si="50"/>
        <x:v>0.58830383653440022</x:v>
      </x:c>
      <x:c r="AD47" s="21"/>
      <x:c r="AE47" s="21">
        <x:f t="shared" si="51"/>
        <x:v>1.3538792000000002</x:v>
      </x:c>
      <x:c r="AF47" s="21"/>
      <x:c r="AG47" s="19" t="s">
        <x:v>78</x:v>
      </x:c>
      <x:c r="AH47" t="s">
        <x:v>78</x:v>
      </x:c>
      <x:c r="AI47" t="s">
        <x:v>78</x:v>
      </x:c>
      <x:c r="AJ47" s="19"/>
      <x:c r="AK47" s="19" t="s">
        <x:v>78</x:v>
      </x:c>
      <x:c r="AL47" t="s">
        <x:v>78</x:v>
      </x:c>
      <x:c r="AM47" s="19" t="s">
        <x:v>78</x:v>
      </x:c>
      <x:c r="AN47" s="21"/>
      <x:c r="AO47" s="21"/>
      <x:c r="AP47" s="21"/>
      <x:c r="AQ47" s="21"/>
      <x:c r="AR47" s="21"/>
      <x:c r="AS47" s="21"/>
      <x:c r="AT47" s="21"/>
      <x:c r="AU47" s="21"/>
      <x:c r="AV47" s="21"/>
      <x:c r="AW47" t="s">
        <x:v>78</x:v>
      </x:c>
      <x:c r="AX47" s="19"/>
      <x:c r="AY47" s="21"/>
      <x:c r="AZ47" s="21"/>
      <x:c r="BA47" s="21"/>
      <x:c r="BB47" s="21"/>
      <x:c r="BC47" s="21"/>
      <x:c r="BD47" s="21"/>
      <x:c r="BE47" s="21"/>
      <x:c r="BF47" s="21"/>
      <x:c r="BG47" s="21"/>
      <x:c r="BH47" t="s">
        <x:v>79</x:v>
      </x:c>
      <x:c r="BI47" s="18">
        <x:v>113</x:v>
      </x:c>
      <x:c r="BJ47" s="18">
        <x:v>31</x:v>
      </x:c>
      <x:c r="BK47" s="18">
        <x:v>22.7</x:v>
      </x:c>
      <x:c r="BL47" s="18">
        <x:v>22</x:v>
      </x:c>
      <x:c r="BM47" s="18">
        <x:v>40</x:v>
      </x:c>
      <x:c r="BN47" s="18">
        <x:v>55.44</x:v>
      </x:c>
      <x:c r="BO47" s="22">
        <x:v>113.52297222222199</x:v>
      </x:c>
      <x:c r="BP47" s="22">
        <x:v>22.682066666666699</x:v>
      </x:c>
      <x:c r="BQ47" s="18">
        <x:v>100</x:v>
      </x:c>
      <x:c r="BR47" s="18">
        <x:v>27976.514999999999</x:v>
      </x:c>
      <x:c r="BS47" s="18">
        <x:v>185.53200000000001</x:v>
      </x:c>
      <x:c r="BT47" s="18">
        <x:v>1.6559999999999999</x:v>
      </x:c>
      <x:c r="BU47" s="18">
        <x:v>40.616</x:v>
      </x:c>
      <x:c r="BV47" s="18">
        <x:v>7.359</x:v>
      </x:c>
      <x:c r="BW47" s="18">
        <x:v>7022.7070000000003</x:v>
      </x:c>
      <x:c r="BX47" s="18">
        <x:v>0.442</x:v>
      </x:c>
      <x:c r="BY47" s="18">
        <x:v>968.024</x:v>
      </x:c>
      <x:c r="BZ47" s="18">
        <x:v>968.024</x:v>
      </x:c>
      <x:c r="CA47" s="23">
        <x:f t="shared" si="6"/>
        <x:v>546.62872700000003</x:v>
      </x:c>
      <x:c r="CB47" s="23">
        <x:f t="shared" si="7"/>
        <x:v>303.26894080000005</x:v>
      </x:c>
      <x:c r="CC47" s="23">
        <x:f t="shared" si="8"/>
        <x:v>67.693960000000004</x:v>
      </x:c>
      <x:c r="CD47" s="23">
        <x:f t="shared" si="9"/>
        <x:v>1218.6293756784</x:v>
      </x:c>
      <x:c r="CE47" s="23">
        <x:f t="shared" si="10"/>
        <x:v>294.15191826720007</x:v>
      </x:c>
      <x:c r="CF47" s="23">
        <x:f t="shared" si="11"/>
        <x:v>0.58830383653440022</x:v>
      </x:c>
      <x:c r="CG47" s="23">
        <x:f t="shared" si="12"/>
        <x:v>0</x:v>
      </x:c>
      <x:c r="CH47" s="23">
        <x:f t="shared" si="13"/>
        <x:v>1.3538792000000002</x:v>
      </x:c>
      <x:c r="CI47" s="23">
        <x:f t="shared" si="14"/>
        <x:v>0</x:v>
      </x:c>
      <x:c r="CJ47" s="24" t="s">
        <x:v>114</x:v>
      </x:c>
      <x:c r="CK47" s="29">
        <x:v>95</x:v>
      </x:c>
      <x:c r="CL47" s="26" t="s">
        <x:v>104</x:v>
      </x:c>
      <x:c r="CM47" s="28">
        <x:v>87.5</x:v>
      </x:c>
      <x:c r="CN47" s="30" t="s">
        <x:v>163</x:v>
      </x:c>
      <x:c r="CO47" s="27">
        <x:v>99.4</x:v>
      </x:c>
      <x:c r="CP47" s="27">
        <x:v>98.3</x:v>
      </x:c>
      <x:c r="CQ47" s="26">
        <x:f t="shared" si="15"/>
        <x:v>27.331436350000025</x:v>
      </x:c>
      <x:c r="CR47" s="26">
        <x:f t="shared" si="16"/>
        <x:v>37.908617600000007</x:v>
      </x:c>
      <x:c r="CS47" s="26">
        <x:f t="shared" si="22"/>
        <x:v>67.693960000000004</x:v>
      </x:c>
      <x:c r="CT47" s="26">
        <x:f t="shared" si="43"/>
        <x:v>7.3117762540702715</x:v>
      </x:c>
      <x:c r="CU47" s="26">
        <x:f t="shared" si="44"/>
        <x:v>5.0005826105424056</x:v>
      </x:c>
      <x:c r="CV47" s="26">
        <x:f t="shared" si="45"/>
        <x:v>1.0001165221084813E-2</x:v>
      </x:c>
      <x:c r="CW47" s="26">
        <x:f t="shared" si="46"/>
        <x:v>0</x:v>
      </x:c>
      <x:c r="CX47" s="26">
        <x:f t="shared" si="23"/>
        <x:v>1.3538792000000002</x:v>
      </x:c>
      <x:c r="CY47" s="26">
        <x:f t="shared" si="24"/>
        <x:v>0</x:v>
      </x:c>
    </x:row>
    <x:row r="48">
      <x:c r="A48" s="18">
        <x:v>2022</x:v>
      </x:c>
      <x:c r="B48" t="s">
        <x:v>159</x:v>
      </x:c>
      <x:c r="C48" t="s">
        <x:v>160</x:v>
      </x:c>
      <x:c r="D48" t="s">
        <x:v>161</x:v>
      </x:c>
      <x:c r="E48" s="18">
        <x:v>440115</x:v>
      </x:c>
      <x:c r="F48" t="s">
        <x:v>151</x:v>
      </x:c>
      <x:c r="G48" t="s">
        <x:v>69</x:v>
      </x:c>
      <x:c r="H48" s="18">
        <x:v>1713</x:v>
      </x:c>
      <x:c r="I48" t="s">
        <x:v>162</x:v>
      </x:c>
      <x:c r="J48" t="s">
        <x:v>78</x:v>
      </x:c>
      <x:c r="K48" t="s">
        <x:v>109</x:v>
      </x:c>
      <x:c r="L48" s="20">
        <x:v>1.8</x:v>
      </x:c>
      <x:c r="M48" t="s">
        <x:v>125</x:v>
      </x:c>
      <x:c r="N48" s="18">
        <x:v>75</x:v>
      </x:c>
      <x:c r="O48" t="s">
        <x:v>88</x:v>
      </x:c>
      <x:c r="P48" s="18">
        <x:v>4</x:v>
      </x:c>
      <x:c r="Q48" s="19" t="s">
        <x:v>111</x:v>
      </x:c>
      <x:c r="R48" s="18">
        <x:v>37651.71</x:v>
      </x:c>
      <x:c r="S48" t="s">
        <x:v>112</x:v>
      </x:c>
      <x:c r="T48" s="19">
        <x:f t="shared" si="47"/>
        <x:v>37651.71</x:v>
      </x:c>
      <x:c r="U48" s="20">
        <x:v>0.95</x:v>
      </x:c>
      <x:c r="V48" t="s">
        <x:v>113</x:v>
      </x:c>
      <x:c r="W48" s="20">
        <x:v>20.69</x:v>
      </x:c>
      <x:c r="X48" s="21">
        <x:f t="shared" si="48"/>
        <x:v>608.07511649999992</x:v>
      </x:c>
      <x:c r="Y48" s="21">
        <x:f t="shared" si="55"/>
        <x:v>337.35932160000004</x:v>
      </x:c>
      <x:c r="Z48" s="21">
        <x:f t="shared" si="49"/>
        <x:v>75.303420000000003</x:v>
      </x:c>
      <x:c r="AA48" s="21">
        <x:f t="shared" si="56"/>
        <x:v>1265.1185409576001</x:v>
      </x:c>
      <x:c r="AB48" s="21">
        <x:f t="shared" si="57"/>
        <x:v>305.37344092080002</x:v>
      </x:c>
      <x:c r="AC48" s="21">
        <x:f t="shared" si="50"/>
        <x:v>0.61074688184160009</x:v>
      </x:c>
      <x:c r="AD48" s="21"/>
      <x:c r="AE48" s="21">
        <x:f t="shared" si="51"/>
        <x:v>1.5060684</x:v>
      </x:c>
      <x:c r="AF48" s="21"/>
      <x:c r="AG48" s="19" t="s">
        <x:v>78</x:v>
      </x:c>
      <x:c r="AH48" t="s">
        <x:v>78</x:v>
      </x:c>
      <x:c r="AI48" t="s">
        <x:v>78</x:v>
      </x:c>
      <x:c r="AJ48" s="19"/>
      <x:c r="AK48" s="19" t="s">
        <x:v>78</x:v>
      </x:c>
      <x:c r="AL48" t="s">
        <x:v>78</x:v>
      </x:c>
      <x:c r="AM48" s="19" t="s">
        <x:v>78</x:v>
      </x:c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t="s">
        <x:v>78</x:v>
      </x:c>
      <x:c r="AX48" s="19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t="s">
        <x:v>79</x:v>
      </x:c>
      <x:c r="BI48" s="18">
        <x:v>113</x:v>
      </x:c>
      <x:c r="BJ48" s="18">
        <x:v>31</x:v>
      </x:c>
      <x:c r="BK48" s="18">
        <x:v>22.7</x:v>
      </x:c>
      <x:c r="BL48" s="18">
        <x:v>22</x:v>
      </x:c>
      <x:c r="BM48" s="18">
        <x:v>40</x:v>
      </x:c>
      <x:c r="BN48" s="18">
        <x:v>55.44</x:v>
      </x:c>
      <x:c r="BO48" s="22">
        <x:v>113.52297222222199</x:v>
      </x:c>
      <x:c r="BP48" s="22">
        <x:v>22.682066666666699</x:v>
      </x:c>
      <x:c r="BQ48" s="18">
        <x:v>100</x:v>
      </x:c>
      <x:c r="BR48" s="18">
        <x:v>30625.415000000001</x:v>
      </x:c>
      <x:c r="BS48" s="18">
        <x:v>206.38800000000001</x:v>
      </x:c>
      <x:c r="BT48" s="18">
        <x:v>1.6240000000000001</x:v>
      </x:c>
      <x:c r="BU48" s="18">
        <x:v>45.182000000000002</x:v>
      </x:c>
      <x:c r="BV48" s="18">
        <x:v>7.5419999999999998</x:v>
      </x:c>
      <x:c r="BW48" s="18">
        <x:v>7461.0630000000001</x:v>
      </x:c>
      <x:c r="BX48" s="18">
        <x:v>0.36799999999999999</x:v>
      </x:c>
      <x:c r="BY48" s="18">
        <x:v>1076.8389999999999</x:v>
      </x:c>
      <x:c r="BZ48" s="18">
        <x:v>1076.8389999999999</x:v>
      </x:c>
      <x:c r="CA48" s="23">
        <x:f t="shared" si="6"/>
        <x:v>608.07511649999992</x:v>
      </x:c>
      <x:c r="CB48" s="23">
        <x:f t="shared" si="7"/>
        <x:v>337.35932160000004</x:v>
      </x:c>
      <x:c r="CC48" s="23">
        <x:f t="shared" si="8"/>
        <x:v>75.303420000000003</x:v>
      </x:c>
      <x:c r="CD48" s="23">
        <x:f t="shared" si="9"/>
        <x:v>1265.1185409576001</x:v>
      </x:c>
      <x:c r="CE48" s="23">
        <x:f t="shared" si="10"/>
        <x:v>305.37344092080002</x:v>
      </x:c>
      <x:c r="CF48" s="23">
        <x:f t="shared" si="11"/>
        <x:v>0.61074688184160009</x:v>
      </x:c>
      <x:c r="CG48" s="23">
        <x:f t="shared" si="12"/>
        <x:v>0</x:v>
      </x:c>
      <x:c r="CH48" s="23">
        <x:f t="shared" si="13"/>
        <x:v>1.5060684</x:v>
      </x:c>
      <x:c r="CI48" s="23">
        <x:f t="shared" si="14"/>
        <x:v>0</x:v>
      </x:c>
      <x:c r="CJ48" s="24" t="s">
        <x:v>114</x:v>
      </x:c>
      <x:c r="CK48" s="29">
        <x:v>95</x:v>
      </x:c>
      <x:c r="CL48" s="26" t="s">
        <x:v>104</x:v>
      </x:c>
      <x:c r="CM48" s="28">
        <x:v>87.5</x:v>
      </x:c>
      <x:c r="CN48" s="30" t="s">
        <x:v>163</x:v>
      </x:c>
      <x:c r="CO48" s="27">
        <x:v>99.4</x:v>
      </x:c>
      <x:c r="CP48" s="27">
        <x:v>98.3</x:v>
      </x:c>
      <x:c r="CQ48" s="26">
        <x:f t="shared" si="15"/>
        <x:v>30.403755825000022</x:v>
      </x:c>
      <x:c r="CR48" s="26">
        <x:f t="shared" si="16"/>
        <x:v>42.169915200000005</x:v>
      </x:c>
      <x:c r="CS48" s="26">
        <x:f t="shared" si="22"/>
        <x:v>75.303420000000003</x:v>
      </x:c>
      <x:c r="CT48" s="26">
        <x:f t="shared" si="43"/>
        <x:v>7.5907112457454664</x:v>
      </x:c>
      <x:c r="CU48" s="26">
        <x:f t="shared" si="44"/>
        <x:v>5.1913484956536049</x:v>
      </x:c>
      <x:c r="CV48" s="26">
        <x:f t="shared" si="45"/>
        <x:v>1.038269699130721E-2</x:v>
      </x:c>
      <x:c r="CW48" s="26">
        <x:f t="shared" si="46"/>
        <x:v>0</x:v>
      </x:c>
      <x:c r="CX48" s="26">
        <x:f t="shared" si="23"/>
        <x:v>1.5060684</x:v>
      </x:c>
      <x:c r="CY48" s="26">
        <x:f t="shared" si="24"/>
        <x:v>0</x:v>
      </x:c>
    </x:row>
    <x:row r="49">
      <x:c r="A49" s="18">
        <x:v>2022</x:v>
      </x:c>
      <x:c r="B49" t="s">
        <x:v>164</x:v>
      </x:c>
      <x:c r="C49" t="s">
        <x:v>165</x:v>
      </x:c>
      <x:c r="D49" t="s">
        <x:v>166</x:v>
      </x:c>
      <x:c r="E49" s="18">
        <x:v>440115</x:v>
      </x:c>
      <x:c r="F49" t="s">
        <x:v>151</x:v>
      </x:c>
      <x:c r="G49" t="s">
        <x:v>69</x:v>
      </x:c>
      <x:c r="H49" s="18">
        <x:v>1713</x:v>
      </x:c>
      <x:c r="I49" t="s">
        <x:v>162</x:v>
      </x:c>
      <x:c r="J49" t="s">
        <x:v>78</x:v>
      </x:c>
      <x:c r="K49" t="s">
        <x:v>109</x:v>
      </x:c>
      <x:c r="L49" s="20">
        <x:v>0.7</x:v>
      </x:c>
      <x:c r="M49" t="s">
        <x:v>125</x:v>
      </x:c>
      <x:c r="N49" s="18">
        <x:v>75</x:v>
      </x:c>
      <x:c r="O49" t="s">
        <x:v>88</x:v>
      </x:c>
      <x:c r="P49" s="18">
        <x:v>4</x:v>
      </x:c>
      <x:c r="Q49" s="19" t="s">
        <x:v>111</x:v>
      </x:c>
      <x:c r="R49" s="18">
        <x:v>22710</x:v>
      </x:c>
      <x:c r="S49" t="s">
        <x:v>112</x:v>
      </x:c>
      <x:c r="T49" s="19">
        <x:f t="shared" si="47"/>
        <x:v>22710</x:v>
      </x:c>
      <x:c r="U49" s="20">
        <x:v>0.56000000000000005</x:v>
      </x:c>
      <x:c r="V49" t="s">
        <x:v>113</x:v>
      </x:c>
      <x:c r="W49" s="20">
        <x:v>22.91</x:v>
      </x:c>
      <x:c r="X49" s="21">
        <x:f t="shared" si="48"/>
        <x:v>216.19920000000002</x:v>
      </x:c>
      <x:c r="Y49" s="21">
        <x:f t="shared" si="55"/>
        <x:v>203.48160000000001</x:v>
      </x:c>
      <x:c r="Z49" s="21">
        <x:f t="shared" si="49"/>
        <x:v>45.42</x:v>
      </x:c>
      <x:c r="AA49" s="21">
        <x:f t="shared" si="56"/>
        <x:v>844.94462640000006</x:v>
      </x:c>
      <x:c r="AB49" s="21">
        <x:f t="shared" si="57"/>
        <x:v>203.95215120000006</x:v>
      </x:c>
      <x:c r="AC49" s="21">
        <x:f t="shared" si="50"/>
        <x:v>0.40790430240000014</x:v>
      </x:c>
      <x:c r="AD49" s="21"/>
      <x:c r="AE49" s="21">
        <x:f t="shared" si="51"/>
        <x:v>0.90839999999999999</x:v>
      </x:c>
      <x:c r="AF49" s="21"/>
      <x:c r="AG49" s="19" t="s">
        <x:v>78</x:v>
      </x:c>
      <x:c r="AH49" t="s">
        <x:v>78</x:v>
      </x:c>
      <x:c r="AI49" t="s">
        <x:v>78</x:v>
      </x:c>
      <x:c r="AJ49" s="19"/>
      <x:c r="AK49" s="19" t="s">
        <x:v>78</x:v>
      </x:c>
      <x:c r="AL49" t="s">
        <x:v>78</x:v>
      </x:c>
      <x:c r="AM49" s="19" t="s">
        <x:v>78</x:v>
      </x:c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t="s">
        <x:v>78</x:v>
      </x:c>
      <x:c r="AX49" s="19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t="s">
        <x:v>167</x:v>
      </x:c>
      <x:c r="BI49" s="18">
        <x:v>113</x:v>
      </x:c>
      <x:c r="BJ49" s="18">
        <x:v>28</x:v>
      </x:c>
      <x:c r="BK49" s="18">
        <x:v>3.29</x:v>
      </x:c>
      <x:c r="BL49" s="18">
        <x:v>22</x:v>
      </x:c>
      <x:c r="BM49" s="18">
        <x:v>53</x:v>
      </x:c>
      <x:c r="BN49" s="18">
        <x:v>57.95</x:v>
      </x:c>
      <x:c r="BO49" s="22">
        <x:v>113.467580555556</x:v>
      </x:c>
      <x:c r="BP49" s="22">
        <x:v>22.8994305555556</x:v>
      </x:c>
      <x:c r="BQ49" s="18">
        <x:v>65</x:v>
      </x:c>
      <x:c r="BR49" s="18">
        <x:v>31933.218000000001</x:v>
      </x:c>
      <x:c r="BS49" s="18">
        <x:v>57.228999999999999</x:v>
      </x:c>
      <x:c r="BT49" s="18">
        <x:v>15.795</x:v>
      </x:c>
      <x:c r="BU49" s="18">
        <x:v>21.574999999999999</x:v>
      </x:c>
      <x:c r="BV49" s="18">
        <x:v>7.5510000000000002</x:v>
      </x:c>
      <x:c r="BW49" s="18">
        <x:v>2700.2849999999999</x:v>
      </x:c>
      <x:c r="BX49" s="18">
        <x:v>1.716</x:v>
      </x:c>
      <x:c r="BY49" s="18">
        <x:v>649.50599999999997</x:v>
      </x:c>
      <x:c r="BZ49" s="18">
        <x:v>649.50599999999997</x:v>
      </x:c>
      <x:c r="CA49" s="23">
        <x:f t="shared" si="6"/>
        <x:v>216.19920000000002</x:v>
      </x:c>
      <x:c r="CB49" s="23">
        <x:f t="shared" si="7"/>
        <x:v>203.48160000000001</x:v>
      </x:c>
      <x:c r="CC49" s="23">
        <x:f t="shared" si="8"/>
        <x:v>45.42</x:v>
      </x:c>
      <x:c r="CD49" s="23">
        <x:f t="shared" si="9"/>
        <x:v>844.94462640000006</x:v>
      </x:c>
      <x:c r="CE49" s="23">
        <x:f t="shared" si="10"/>
        <x:v>203.95215120000006</x:v>
      </x:c>
      <x:c r="CF49" s="23">
        <x:f t="shared" si="11"/>
        <x:v>0.40790430240000014</x:v>
      </x:c>
      <x:c r="CG49" s="23">
        <x:f t="shared" si="12"/>
        <x:v>0</x:v>
      </x:c>
      <x:c r="CH49" s="23">
        <x:f t="shared" si="13"/>
        <x:v>0.90839999999999999</x:v>
      </x:c>
      <x:c r="CI49" s="23">
        <x:f t="shared" si="14"/>
        <x:v>0</x:v>
      </x:c>
      <x:c r="CJ49" s="24" t="s">
        <x:v>153</x:v>
      </x:c>
      <x:c r="CK49" s="29">
        <x:v>93.69</x:v>
      </x:c>
      <x:c r="CL49" s="26" t="s">
        <x:v>104</x:v>
      </x:c>
      <x:c r="CM49" s="28">
        <x:v>70</x:v>
      </x:c>
      <x:c r="CN49" s="30" t="s">
        <x:v>168</x:v>
      </x:c>
      <x:c r="CO49" s="27">
        <x:v>99.4</x:v>
      </x:c>
      <x:c r="CP49" s="27">
        <x:v>98.3</x:v>
      </x:c>
      <x:c r="CQ49" s="26">
        <x:f t="shared" si="15"/>
        <x:v>13.64216952000001</x:v>
      </x:c>
      <x:c r="CR49" s="26">
        <x:f t="shared" si="16"/>
        <x:v>61.044480000000014</x:v>
      </x:c>
      <x:c r="CS49" s="26">
        <x:f t="shared" si="22"/>
        <x:v>45.42</x:v>
      </x:c>
      <x:c r="CT49" s="26">
        <x:f t="shared" si="43"/>
        <x:v>5.0696677583999108</x:v>
      </x:c>
      <x:c r="CU49" s="26">
        <x:f t="shared" si="44"/>
        <x:v>3.467186570400004</x:v>
      </x:c>
      <x:c r="CV49" s="26">
        <x:f t="shared" si="45"/>
        <x:v>6.9343731408000086E-3</x:v>
      </x:c>
      <x:c r="CW49" s="26">
        <x:f t="shared" si="46"/>
        <x:v>0</x:v>
      </x:c>
      <x:c r="CX49" s="26">
        <x:f t="shared" si="23"/>
        <x:v>0.90839999999999999</x:v>
      </x:c>
      <x:c r="CY49" s="26">
        <x:f t="shared" si="24"/>
        <x:v>0</x:v>
      </x:c>
    </x:row>
    <x:row r="50">
      <x:c r="A50" s="18">
        <x:v>2022</x:v>
      </x:c>
      <x:c r="B50" t="s">
        <x:v>164</x:v>
      </x:c>
      <x:c r="C50" t="s">
        <x:v>165</x:v>
      </x:c>
      <x:c r="D50" t="s">
        <x:v>166</x:v>
      </x:c>
      <x:c r="E50" s="18">
        <x:v>440115</x:v>
      </x:c>
      <x:c r="F50" t="s">
        <x:v>151</x:v>
      </x:c>
      <x:c r="G50" t="s">
        <x:v>69</x:v>
      </x:c>
      <x:c r="H50" s="18">
        <x:v>1713</x:v>
      </x:c>
      <x:c r="I50" t="s">
        <x:v>162</x:v>
      </x:c>
      <x:c r="J50" t="s">
        <x:v>78</x:v>
      </x:c>
      <x:c r="K50" t="s">
        <x:v>109</x:v>
      </x:c>
      <x:c r="L50" s="20">
        <x:v>1.8</x:v>
      </x:c>
      <x:c r="M50" t="s">
        <x:v>125</x:v>
      </x:c>
      <x:c r="N50" s="18">
        <x:v>75</x:v>
      </x:c>
      <x:c r="O50" t="s">
        <x:v>88</x:v>
      </x:c>
      <x:c r="P50" s="18">
        <x:v>4</x:v>
      </x:c>
      <x:c r="Q50" s="19" t="s">
        <x:v>111</x:v>
      </x:c>
      <x:c r="R50" s="18">
        <x:v>3588</x:v>
      </x:c>
      <x:c r="S50" t="s">
        <x:v>112</x:v>
      </x:c>
      <x:c r="T50" s="19">
        <x:f t="shared" si="47"/>
        <x:v>3588</x:v>
      </x:c>
      <x:c r="U50" s="20">
        <x:v>0.56000000000000005</x:v>
      </x:c>
      <x:c r="V50" t="s">
        <x:v>113</x:v>
      </x:c>
      <x:c r="W50" s="20">
        <x:v>22.91</x:v>
      </x:c>
      <x:c r="X50" s="21">
        <x:f t="shared" si="48"/>
        <x:v>34.157760000000003</x:v>
      </x:c>
      <x:c r="Y50" s="21">
        <x:f t="shared" si="55"/>
        <x:v>32.148480000000006</x:v>
      </x:c>
      <x:c r="Z50" s="21">
        <x:f t="shared" si="49"/>
        <x:v>7.1760000000000002</x:v>
      </x:c>
      <x:c r="AA50" s="21">
        <x:f t="shared" si="56"/>
        <x:v>133.49455392000002</x:v>
      </x:c>
      <x:c r="AB50" s="21">
        <x:f t="shared" si="57"/>
        <x:v>32.222823360000007</x:v>
      </x:c>
      <x:c r="AC50" s="21">
        <x:f t="shared" si="50"/>
        <x:v>6.4445646720000013E-2</x:v>
      </x:c>
      <x:c r="AD50" s="21"/>
      <x:c r="AE50" s="21">
        <x:f t="shared" si="51"/>
        <x:v>0.14352000000000001</x:v>
      </x:c>
      <x:c r="AF50" s="21"/>
      <x:c r="AG50" s="19" t="s">
        <x:v>78</x:v>
      </x:c>
      <x:c r="AH50" t="s">
        <x:v>78</x:v>
      </x:c>
      <x:c r="AI50" t="s">
        <x:v>78</x:v>
      </x:c>
      <x:c r="AJ50" s="19"/>
      <x:c r="AK50" s="19" t="s">
        <x:v>78</x:v>
      </x:c>
      <x:c r="AL50" t="s">
        <x:v>78</x:v>
      </x:c>
      <x:c r="AM50" s="19" t="s">
        <x:v>78</x:v>
      </x:c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t="s">
        <x:v>78</x:v>
      </x:c>
      <x:c r="AX50" s="19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t="s">
        <x:v>169</x:v>
      </x:c>
      <x:c r="BI50" s="18">
        <x:v>113</x:v>
      </x:c>
      <x:c r="BJ50" s="18">
        <x:v>28</x:v>
      </x:c>
      <x:c r="BK50" s="18">
        <x:v>2.89</x:v>
      </x:c>
      <x:c r="BL50" s="18">
        <x:v>22</x:v>
      </x:c>
      <x:c r="BM50" s="18">
        <x:v>53</x:v>
      </x:c>
      <x:c r="BN50" s="18">
        <x:v>57.95</x:v>
      </x:c>
      <x:c r="BO50" s="22">
        <x:v>113.46746944444401</x:v>
      </x:c>
      <x:c r="BP50" s="22">
        <x:v>22.8994305555556</x:v>
      </x:c>
      <x:c r="BQ50" s="18">
        <x:v>65</x:v>
      </x:c>
      <x:c r="BR50" s="18">
        <x:v>5045.1840000000002</x:v>
      </x:c>
      <x:c r="BS50" s="18">
        <x:v>11.593999999999999</x:v>
      </x:c>
      <x:c r="BT50" s="18">
        <x:v>1.171</x:v>
      </x:c>
      <x:c r="BU50" s="18">
        <x:v>4.306</x:v>
      </x:c>
      <x:c r="BV50" s="18">
        <x:v>1.292</x:v>
      </x:c>
      <x:c r="BW50" s="18">
        <x:v>674.50599999999997</x:v>
      </x:c>
      <x:c r="BX50" s="18">
        <x:v>0.17799999999999999</x:v>
      </x:c>
      <x:c r="BY50" s="18">
        <x:v>102.617</x:v>
      </x:c>
      <x:c r="BZ50" s="18">
        <x:v>102.617</x:v>
      </x:c>
      <x:c r="CA50" s="23">
        <x:f t="shared" si="6"/>
        <x:v>34.157760000000003</x:v>
      </x:c>
      <x:c r="CB50" s="23">
        <x:f t="shared" si="7"/>
        <x:v>32.148480000000006</x:v>
      </x:c>
      <x:c r="CC50" s="23">
        <x:f t="shared" si="8"/>
        <x:v>7.1760000000000002</x:v>
      </x:c>
      <x:c r="CD50" s="23">
        <x:f t="shared" si="9"/>
        <x:v>133.49455392000002</x:v>
      </x:c>
      <x:c r="CE50" s="23">
        <x:f t="shared" si="10"/>
        <x:v>32.222823360000007</x:v>
      </x:c>
      <x:c r="CF50" s="23">
        <x:f t="shared" si="11"/>
        <x:v>6.4445646720000013E-2</x:v>
      </x:c>
      <x:c r="CG50" s="23">
        <x:f t="shared" si="12"/>
        <x:v>0</x:v>
      </x:c>
      <x:c r="CH50" s="23">
        <x:f t="shared" si="13"/>
        <x:v>0.14352000000000001</x:v>
      </x:c>
      <x:c r="CI50" s="23">
        <x:f t="shared" si="14"/>
        <x:v>0</x:v>
      </x:c>
      <x:c r="CJ50" s="24" t="s">
        <x:v>153</x:v>
      </x:c>
      <x:c r="CK50" s="29">
        <x:v>93.69</x:v>
      </x:c>
      <x:c r="CL50" s="26" t="s">
        <x:v>104</x:v>
      </x:c>
      <x:c r="CM50" s="28">
        <x:v>70</x:v>
      </x:c>
      <x:c r="CN50" s="30" t="s">
        <x:v>168</x:v>
      </x:c>
      <x:c r="CO50" s="27">
        <x:v>99.4</x:v>
      </x:c>
      <x:c r="CP50" s="27">
        <x:v>98.3</x:v>
      </x:c>
      <x:c r="CQ50" s="26">
        <x:f t="shared" si="15"/>
        <x:v>2.1553546560000019</x:v>
      </x:c>
      <x:c r="CR50" s="26">
        <x:f t="shared" si="16"/>
        <x:v>9.6445440000000033</x:v>
      </x:c>
      <x:c r="CS50" s="26">
        <x:f t="shared" si="22"/>
        <x:v>7.1760000000000002</x:v>
      </x:c>
      <x:c r="CT50" s="26">
        <x:f t="shared" si="43"/>
        <x:v>0.80096732351998601</x:v>
      </x:c>
      <x:c r="CU50" s="26">
        <x:f t="shared" si="44"/>
        <x:v>0.54778799712000059</x:v>
      </x:c>
      <x:c r="CV50" s="26">
        <x:f t="shared" si="45"/>
        <x:v>1.0955759942400012E-3</x:v>
      </x:c>
      <x:c r="CW50" s="26">
        <x:f t="shared" si="46"/>
        <x:v>0</x:v>
      </x:c>
      <x:c r="CX50" s="26">
        <x:f t="shared" si="23"/>
        <x:v>0.14352000000000001</x:v>
      </x:c>
      <x:c r="CY50" s="26">
        <x:f t="shared" si="24"/>
        <x:v>0</x:v>
      </x:c>
    </x:row>
    <x:row r="51">
      <x:c r="A51" s="18">
        <x:v>2022</x:v>
      </x:c>
      <x:c r="B51" t="s">
        <x:v>164</x:v>
      </x:c>
      <x:c r="C51" t="s">
        <x:v>165</x:v>
      </x:c>
      <x:c r="D51" t="s">
        <x:v>166</x:v>
      </x:c>
      <x:c r="E51" s="18">
        <x:v>440115</x:v>
      </x:c>
      <x:c r="F51" t="s">
        <x:v>151</x:v>
      </x:c>
      <x:c r="G51" t="s">
        <x:v>69</x:v>
      </x:c>
      <x:c r="H51" s="18">
        <x:v>1713</x:v>
      </x:c>
      <x:c r="I51" t="s">
        <x:v>162</x:v>
      </x:c>
      <x:c r="J51" t="s">
        <x:v>78</x:v>
      </x:c>
      <x:c r="K51" t="s">
        <x:v>109</x:v>
      </x:c>
      <x:c r="L51" s="20">
        <x:v>0.6</x:v>
      </x:c>
      <x:c r="M51" t="s">
        <x:v>125</x:v>
      </x:c>
      <x:c r="N51" s="18">
        <x:v>75</x:v>
      </x:c>
      <x:c r="O51" t="s">
        <x:v>88</x:v>
      </x:c>
      <x:c r="P51" s="18">
        <x:v>4</x:v>
      </x:c>
      <x:c r="Q51" s="19" t="s">
        <x:v>111</x:v>
      </x:c>
      <x:c r="R51" s="18">
        <x:v>26004</x:v>
      </x:c>
      <x:c r="S51" t="s">
        <x:v>112</x:v>
      </x:c>
      <x:c r="T51" s="19">
        <x:f t="shared" si="47"/>
        <x:v>26004</x:v>
      </x:c>
      <x:c r="U51" s="20">
        <x:v>0.56000000000000005</x:v>
      </x:c>
      <x:c r="V51" t="s">
        <x:v>113</x:v>
      </x:c>
      <x:c r="W51" s="20">
        <x:v>22.91</x:v>
      </x:c>
      <x:c r="X51" s="21">
        <x:f t="shared" si="48"/>
        <x:v>247.55808000000002</x:v>
      </x:c>
      <x:c r="Y51" s="21">
        <x:f t="shared" si="55"/>
        <x:v>232.99584000000002</x:v>
      </x:c>
      <x:c r="Z51" s="21">
        <x:f t="shared" si="49"/>
        <x:v>52.008000000000003</x:v>
      </x:c>
      <x:c r="AA51" s="21">
        <x:f t="shared" si="56"/>
        <x:v>967.50066336000009</x:v>
      </x:c>
      <x:c r="AB51" s="21">
        <x:f t="shared" si="57"/>
        <x:v>233.53464288000006</x:v>
      </x:c>
      <x:c r="AC51" s="21">
        <x:f t="shared" si="50"/>
        <x:v>0.46706928576000012</x:v>
      </x:c>
      <x:c r="AD51" s="21"/>
      <x:c r="AE51" s="21">
        <x:f t="shared" si="51"/>
        <x:v>1.04016</x:v>
      </x:c>
      <x:c r="AF51" s="21"/>
      <x:c r="AG51" s="19" t="s">
        <x:v>78</x:v>
      </x:c>
      <x:c r="AH51" t="s">
        <x:v>78</x:v>
      </x:c>
      <x:c r="AI51" t="s">
        <x:v>78</x:v>
      </x:c>
      <x:c r="AJ51" s="19"/>
      <x:c r="AK51" s="19" t="s">
        <x:v>78</x:v>
      </x:c>
      <x:c r="AL51" t="s">
        <x:v>78</x:v>
      </x:c>
      <x:c r="AM51" s="19" t="s">
        <x:v>78</x:v>
      </x:c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t="s">
        <x:v>78</x:v>
      </x:c>
      <x:c r="AX51" s="19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t="s">
        <x:v>169</x:v>
      </x:c>
      <x:c r="BI51" s="18">
        <x:v>113</x:v>
      </x:c>
      <x:c r="BJ51" s="18">
        <x:v>28</x:v>
      </x:c>
      <x:c r="BK51" s="18">
        <x:v>2.89</x:v>
      </x:c>
      <x:c r="BL51" s="18">
        <x:v>22</x:v>
      </x:c>
      <x:c r="BM51" s="18">
        <x:v>52</x:v>
      </x:c>
      <x:c r="BN51" s="18">
        <x:v>57.98</x:v>
      </x:c>
      <x:c r="BO51" s="22">
        <x:v>113.46746944444401</x:v>
      </x:c>
      <x:c r="BP51" s="22">
        <x:v>22.882772222222201</x:v>
      </x:c>
      <x:c r="BQ51" s="18">
        <x:v>65</x:v>
      </x:c>
      <x:c r="BR51" s="18">
        <x:v>36566.550000000003</x:v>
      </x:c>
      <x:c r="BS51" s="18">
        <x:v>65.53</x:v>
      </x:c>
      <x:c r="BT51" s="18">
        <x:v>18.085999999999999</x:v>
      </x:c>
      <x:c r="BU51" s="18">
        <x:v>24.704000000000001</x:v>
      </x:c>
      <x:c r="BV51" s="18">
        <x:v>8.6460000000000008</x:v>
      </x:c>
      <x:c r="BW51" s="18">
        <x:v>3091.951</x:v>
      </x:c>
      <x:c r="BX51" s="18">
        <x:v>1.9650000000000001</x:v>
      </x:c>
      <x:c r="BY51" s="18">
        <x:v>743.71400000000006</x:v>
      </x:c>
      <x:c r="BZ51" s="18">
        <x:v>743.71400000000006</x:v>
      </x:c>
      <x:c r="CA51" s="23">
        <x:f t="shared" si="6"/>
        <x:v>247.55808000000002</x:v>
      </x:c>
      <x:c r="CB51" s="23">
        <x:f t="shared" si="7"/>
        <x:v>232.99584000000002</x:v>
      </x:c>
      <x:c r="CC51" s="23">
        <x:f t="shared" si="8"/>
        <x:v>52.008000000000003</x:v>
      </x:c>
      <x:c r="CD51" s="23">
        <x:f t="shared" si="9"/>
        <x:v>967.50066336000009</x:v>
      </x:c>
      <x:c r="CE51" s="23">
        <x:f t="shared" si="10"/>
        <x:v>233.53464288000006</x:v>
      </x:c>
      <x:c r="CF51" s="23">
        <x:f t="shared" si="11"/>
        <x:v>0.46706928576000012</x:v>
      </x:c>
      <x:c r="CG51" s="23">
        <x:f t="shared" si="12"/>
        <x:v>0</x:v>
      </x:c>
      <x:c r="CH51" s="23">
        <x:f t="shared" si="13"/>
        <x:v>1.04016</x:v>
      </x:c>
      <x:c r="CI51" s="23">
        <x:f t="shared" si="14"/>
        <x:v>0</x:v>
      </x:c>
      <x:c r="CJ51" s="24" t="s">
        <x:v>153</x:v>
      </x:c>
      <x:c r="CK51" s="29">
        <x:v>93.69</x:v>
      </x:c>
      <x:c r="CL51" s="26" t="s">
        <x:v>104</x:v>
      </x:c>
      <x:c r="CM51" s="28">
        <x:v>70</x:v>
      </x:c>
      <x:c r="CN51" s="30" t="s">
        <x:v>168</x:v>
      </x:c>
      <x:c r="CO51" s="27">
        <x:v>99.4</x:v>
      </x:c>
      <x:c r="CP51" s="27">
        <x:v>98.3</x:v>
      </x:c>
      <x:c r="CQ51" s="26">
        <x:f t="shared" si="15"/>
        <x:v>15.620914848000012</x:v>
      </x:c>
      <x:c r="CR51" s="26">
        <x:f t="shared" si="16"/>
        <x:v>69.898752000000016</x:v>
      </x:c>
      <x:c r="CS51" s="26">
        <x:f t="shared" si="22"/>
        <x:v>52.008000000000003</x:v>
      </x:c>
      <x:c r="CT51" s="26">
        <x:f t="shared" si="43"/>
        <x:v>5.8050039801598983</x:v>
      </x:c>
      <x:c r="CU51" s="26">
        <x:f t="shared" si="44"/>
        <x:v>3.9700889289600045</x:v>
      </x:c>
      <x:c r="CV51" s="26">
        <x:f t="shared" si="45"/>
        <x:v>7.940177857920009E-3</x:v>
      </x:c>
      <x:c r="CW51" s="26">
        <x:f t="shared" si="46"/>
        <x:v>0</x:v>
      </x:c>
      <x:c r="CX51" s="26">
        <x:f t="shared" si="23"/>
        <x:v>1.04016</x:v>
      </x:c>
      <x:c r="CY51" s="26">
        <x:f t="shared" si="24"/>
        <x:v>0</x:v>
      </x:c>
    </x:row>
    <x:row r="52">
      <x:c r="A52" s="18">
        <x:v>2022</x:v>
      </x:c>
      <x:c r="B52" t="s">
        <x:v>170</x:v>
      </x:c>
      <x:c r="C52" t="s">
        <x:v>171</x:v>
      </x:c>
      <x:c r="D52" t="s">
        <x:v>172</x:v>
      </x:c>
      <x:c r="E52" s="18">
        <x:v>440115</x:v>
      </x:c>
      <x:c r="F52" t="s">
        <x:v>151</x:v>
      </x:c>
      <x:c r="G52" t="s">
        <x:v>69</x:v>
      </x:c>
      <x:c r="H52" s="18">
        <x:v>4411</x:v>
      </x:c>
      <x:c r="I52" t="s">
        <x:v>102</x:v>
      </x:c>
      <x:c r="J52" t="s">
        <x:v>78</x:v>
      </x:c>
      <x:c r="K52" t="s">
        <x:v>80</x:v>
      </x:c>
      <x:c r="L52" s="18">
        <x:v>39</x:v>
      </x:c>
      <x:c r="M52" t="s">
        <x:v>78</x:v>
      </x:c>
      <x:c r="N52" s="18">
        <x:v>257</x:v>
      </x:c>
      <x:c r="O52" t="s">
        <x:v>88</x:v>
      </x:c>
      <x:c r="P52" s="18">
        <x:v>15</x:v>
      </x:c>
      <x:c r="Q52" s="19" t="s">
        <x:v>96</x:v>
      </x:c>
      <x:c r="R52" s="18">
        <x:v>24460.05</x:v>
      </x:c>
      <x:c r="S52" t="s">
        <x:v>76</x:v>
      </x:c>
      <x:c r="T52" s="19">
        <x:f t="shared" si="47"/>
        <x:v>24460.05</x:v>
      </x:c>
      <x:c r="U52" s="20">
        <x:v>6.0220000000000002</x:v>
      </x:c>
      <x:c r="V52" t="s">
        <x:v>77</x:v>
      </x:c>
      <x:c r="W52" s="20">
        <x:v>0</x:v>
      </x:c>
      <x:c r="X52" s="21" t="n">
        <x:f>2*U52*T52*10000/1000000000</x:f>
        <x:v>2.945968422</x:v>
      </x:c>
      <x:c r="Y52" s="21" t="n">
        <x:f>4.1*T52*10000/1000000</x:f>
        <x:v>1002.8620499999998</x:v>
      </x:c>
      <x:c r="Z52" s="21" t="n">
        <x:f>1.3*T52*10000/1000000</x:f>
        <x:v>317.98065</x:v>
      </x:c>
      <x:c r="AA52" s="21" t="n">
        <x:f>0.03*T52*10000/1000000</x:f>
        <x:v>7.3380149999999995</x:v>
      </x:c>
      <x:c r="AB52" s="21" t="n">
        <x:f>0.03*T52*10000/1000000</x:f>
        <x:v>7.3380149999999995</x:v>
      </x:c>
      <x:c r="AC52" s="21"/>
      <x:c r="AD52" s="21"/>
      <x:c r="AE52" s="21" t="n">
        <x:f>0.02*T52*10000/1000000</x:f>
        <x:v>4.89201</x:v>
      </x:c>
      <x:c r="AF52" s="21"/>
      <x:c r="AG52" s="19" t="s">
        <x:v>78</x:v>
      </x:c>
      <x:c r="AH52" t="s">
        <x:v>78</x:v>
      </x:c>
      <x:c r="AI52" t="s">
        <x:v>78</x:v>
      </x:c>
      <x:c r="AJ52" s="19"/>
      <x:c r="AK52" s="19" t="s">
        <x:v>78</x:v>
      </x:c>
      <x:c r="AL52" t="s">
        <x:v>78</x:v>
      </x:c>
      <x:c r="AM52" s="19" t="s">
        <x:v>78</x:v>
      </x:c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t="s">
        <x:v>78</x:v>
      </x:c>
      <x:c r="AX52" s="19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t="s">
        <x:v>81</x:v>
      </x:c>
      <x:c r="BI52" s="18">
        <x:v>113</x:v>
      </x:c>
      <x:c r="BJ52" s="18">
        <x:v>33</x:v>
      </x:c>
      <x:c r="BK52" s="18">
        <x:v>56</x:v>
      </x:c>
      <x:c r="BL52" s="18">
        <x:v>22</x:v>
      </x:c>
      <x:c r="BM52" s="18">
        <x:v>48</x:v>
      </x:c>
      <x:c r="BN52" s="18">
        <x:v>54</x:v>
      </x:c>
      <x:c r="BO52" s="22">
        <x:v>113.565555555556</x:v>
      </x:c>
      <x:c r="BP52" s="22">
        <x:v>22.815000000000001</x:v>
      </x:c>
      <x:c r="BQ52" s="18">
        <x:v>80</x:v>
      </x:c>
      <x:c r="BR52" s="18">
        <x:v>487083.6</x:v>
      </x:c>
      <x:c r="BS52" s="18">
        <x:v>2.9460000000000002</x:v>
      </x:c>
      <x:c r="BT52" s="18">
        <x:v>2.9460000000000002</x:v>
      </x:c>
      <x:c r="BU52" s="18">
        <x:v>310.64299999999997</x:v>
      </x:c>
      <x:c r="BV52" s="18">
        <x:v>310.64299999999997</x:v>
      </x:c>
      <x:c r="BW52" s="18">
        <x:v>25.414000000000001</x:v>
      </x:c>
      <x:c r="BX52" s="18">
        <x:v>25.414000000000001</x:v>
      </x:c>
      <x:c r="BY52" t="s">
        <x:v>78</x:v>
      </x:c>
      <x:c r="BZ52" t="s">
        <x:v>78</x:v>
      </x:c>
      <x:c r="CA52" s="23">
        <x:f t="shared" si="6"/>
        <x:v>2.945968422</x:v>
      </x:c>
      <x:c r="CB52" s="23">
        <x:f t="shared" si="7"/>
        <x:v>1002.8620499999998</x:v>
      </x:c>
      <x:c r="CC52" s="23">
        <x:f t="shared" si="8"/>
        <x:v>317.98065000000003</x:v>
      </x:c>
      <x:c r="CD52" s="23">
        <x:f t="shared" si="9"/>
        <x:v>7.3380149999999995</x:v>
      </x:c>
      <x:c r="CE52" s="23">
        <x:f t="shared" si="10"/>
        <x:v>7.3380149999999995</x:v>
      </x:c>
      <x:c r="CF52" s="23">
        <x:f t="shared" si="11"/>
        <x:v>0</x:v>
      </x:c>
      <x:c r="CG52" s="23">
        <x:f t="shared" si="12"/>
        <x:v>0</x:v>
      </x:c>
      <x:c r="CH52" s="23">
        <x:f t="shared" si="13"/>
        <x:v>4.89201</x:v>
      </x:c>
      <x:c r="CI52" s="23">
        <x:f t="shared" si="14"/>
        <x:v>0</x:v>
      </x:c>
      <x:c r="CJ52" s="24" t="s">
        <x:v>78</x:v>
      </x:c>
      <x:c r="CK52" s="25">
        <x:v>0</x:v>
      </x:c>
      <x:c r="CL52" s="26" t="s">
        <x:v>78</x:v>
      </x:c>
      <x:c r="CM52" s="26">
        <x:v>42</x:v>
      </x:c>
      <x:c r="CN52" s="27" t="s">
        <x:v>78</x:v>
      </x:c>
      <x:c r="CO52" s="27">
        <x:v>0</x:v>
      </x:c>
      <x:c r="CP52" s="27">
        <x:v>0</x:v>
      </x:c>
      <x:c r="CQ52" s="26">
        <x:f t="shared" si="15"/>
        <x:v>2.945968422</x:v>
      </x:c>
      <x:c r="CR52" s="26">
        <x:f t="shared" si="16"/>
        <x:v>581.659989</x:v>
      </x:c>
      <x:c r="CS52" s="26">
        <x:f t="shared" si="22"/>
        <x:v>317.98065000000003</x:v>
      </x:c>
      <x:c r="CT52" s="26">
        <x:f t="shared" si="43"/>
        <x:v>7.3380149999999995</x:v>
      </x:c>
      <x:c r="CU52" s="26">
        <x:f t="shared" si="44"/>
        <x:v>7.3380149999999995</x:v>
      </x:c>
      <x:c r="CV52" s="26">
        <x:f t="shared" si="45"/>
        <x:v>0</x:v>
      </x:c>
      <x:c r="CW52" s="26">
        <x:f t="shared" si="46"/>
        <x:v>0</x:v>
      </x:c>
      <x:c r="CX52" s="26">
        <x:f t="shared" si="23"/>
        <x:v>4.89201</x:v>
      </x:c>
      <x:c r="CY52" s="26">
        <x:f t="shared" si="24"/>
        <x:v>0</x:v>
      </x:c>
    </x:row>
    <x:row r="53">
      <x:c r="A53" s="18">
        <x:v>2022</x:v>
      </x:c>
      <x:c r="B53" t="s">
        <x:v>170</x:v>
      </x:c>
      <x:c r="C53" t="s">
        <x:v>171</x:v>
      </x:c>
      <x:c r="D53" t="s">
        <x:v>172</x:v>
      </x:c>
      <x:c r="E53" s="18">
        <x:v>440115</x:v>
      </x:c>
      <x:c r="F53" t="s">
        <x:v>151</x:v>
      </x:c>
      <x:c r="G53" t="s">
        <x:v>69</x:v>
      </x:c>
      <x:c r="H53" s="18">
        <x:v>4411</x:v>
      </x:c>
      <x:c r="I53" t="s">
        <x:v>102</x:v>
      </x:c>
      <x:c r="J53" t="s">
        <x:v>78</x:v>
      </x:c>
      <x:c r="K53" t="s">
        <x:v>80</x:v>
      </x:c>
      <x:c r="L53" s="18">
        <x:v>39</x:v>
      </x:c>
      <x:c r="M53" t="s">
        <x:v>78</x:v>
      </x:c>
      <x:c r="N53" s="18">
        <x:v>257</x:v>
      </x:c>
      <x:c r="O53" t="s">
        <x:v>88</x:v>
      </x:c>
      <x:c r="P53" s="18">
        <x:v>15</x:v>
      </x:c>
      <x:c r="Q53" s="19" t="s">
        <x:v>96</x:v>
      </x:c>
      <x:c r="R53" s="18">
        <x:v>23973.13</x:v>
      </x:c>
      <x:c r="S53" t="s">
        <x:v>76</x:v>
      </x:c>
      <x:c r="T53" s="19">
        <x:f t="shared" si="47"/>
        <x:v>23973.13</x:v>
      </x:c>
      <x:c r="U53" s="20">
        <x:v>6.0220000000000002</x:v>
      </x:c>
      <x:c r="V53" t="s">
        <x:v>77</x:v>
      </x:c>
      <x:c r="W53" s="20">
        <x:v>0</x:v>
      </x:c>
      <x:c r="X53" s="21" t="n">
        <x:f>2*U53*T53*10000/1000000000</x:f>
        <x:v>2.8873237772</x:v>
      </x:c>
      <x:c r="Y53" s="21" t="n">
        <x:f>4.1*T53*10000/1000000</x:f>
        <x:v>982.89833</x:v>
      </x:c>
      <x:c r="Z53" s="21" t="n">
        <x:f>1.3*T53*10000/1000000</x:f>
        <x:v>311.65069000000005</x:v>
      </x:c>
      <x:c r="AA53" s="21" t="n">
        <x:f>0.03*T53*10000/1000000</x:f>
        <x:v>7.191939</x:v>
      </x:c>
      <x:c r="AB53" s="21" t="n">
        <x:f>0.03*T53*10000/1000000</x:f>
        <x:v>7.191939</x:v>
      </x:c>
      <x:c r="AC53" s="21"/>
      <x:c r="AD53" s="21"/>
      <x:c r="AE53" s="21" t="n">
        <x:f>0.02*T53*10000/1000000</x:f>
        <x:v>4.794626</x:v>
      </x:c>
      <x:c r="AF53" s="21"/>
      <x:c r="AG53" s="19" t="s">
        <x:v>78</x:v>
      </x:c>
      <x:c r="AH53" t="s">
        <x:v>78</x:v>
      </x:c>
      <x:c r="AI53" t="s">
        <x:v>78</x:v>
      </x:c>
      <x:c r="AJ53" s="19"/>
      <x:c r="AK53" s="19" t="s">
        <x:v>78</x:v>
      </x:c>
      <x:c r="AL53" t="s">
        <x:v>78</x:v>
      </x:c>
      <x:c r="AM53" s="19" t="s">
        <x:v>78</x:v>
      </x:c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t="s">
        <x:v>78</x:v>
      </x:c>
      <x:c r="AX53" s="19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t="s">
        <x:v>79</x:v>
      </x:c>
      <x:c r="BI53" s="18">
        <x:v>113</x:v>
      </x:c>
      <x:c r="BJ53" s="18">
        <x:v>33</x:v>
      </x:c>
      <x:c r="BK53" s="18">
        <x:v>55</x:v>
      </x:c>
      <x:c r="BL53" s="18">
        <x:v>22</x:v>
      </x:c>
      <x:c r="BM53" s="18">
        <x:v>48</x:v>
      </x:c>
      <x:c r="BN53" s="18">
        <x:v>54</x:v>
      </x:c>
      <x:c r="BO53" s="22">
        <x:v>113.56527777777799</x:v>
      </x:c>
      <x:c r="BP53" s="22">
        <x:v>22.815000000000001</x:v>
      </x:c>
      <x:c r="BQ53" s="18">
        <x:v>80</x:v>
      </x:c>
      <x:c r="BR53" s="18">
        <x:v>455905.7</x:v>
      </x:c>
      <x:c r="BS53" s="18">
        <x:v>2.887</x:v>
      </x:c>
      <x:c r="BT53" s="18">
        <x:v>2.887</x:v>
      </x:c>
      <x:c r="BU53" s="18">
        <x:v>304.459</x:v>
      </x:c>
      <x:c r="BV53" s="18">
        <x:v>304.459</x:v>
      </x:c>
      <x:c r="BW53" s="18">
        <x:v>24.908000000000001</x:v>
      </x:c>
      <x:c r="BX53" s="18">
        <x:v>24.908000000000001</x:v>
      </x:c>
      <x:c r="BY53" t="s">
        <x:v>78</x:v>
      </x:c>
      <x:c r="BZ53" t="s">
        <x:v>78</x:v>
      </x:c>
      <x:c r="CA53" s="23">
        <x:f t="shared" si="6"/>
        <x:v>2.8873237772000002</x:v>
      </x:c>
      <x:c r="CB53" s="23">
        <x:f t="shared" si="7"/>
        <x:v>982.89832999999999</x:v>
      </x:c>
      <x:c r="CC53" s="23">
        <x:f t="shared" si="8"/>
        <x:v>311.65069000000005</x:v>
      </x:c>
      <x:c r="CD53" s="23">
        <x:f t="shared" si="9"/>
        <x:v>7.1919389999999996</x:v>
      </x:c>
      <x:c r="CE53" s="23">
        <x:f t="shared" si="10"/>
        <x:v>7.1919389999999996</x:v>
      </x:c>
      <x:c r="CF53" s="23">
        <x:f t="shared" si="11"/>
        <x:v>0</x:v>
      </x:c>
      <x:c r="CG53" s="23">
        <x:f t="shared" si="12"/>
        <x:v>0</x:v>
      </x:c>
      <x:c r="CH53" s="23">
        <x:f t="shared" si="13"/>
        <x:v>4.7946260000000001</x:v>
      </x:c>
      <x:c r="CI53" s="23">
        <x:f t="shared" si="14"/>
        <x:v>0</x:v>
      </x:c>
      <x:c r="CJ53" s="24" t="s">
        <x:v>78</x:v>
      </x:c>
      <x:c r="CK53" s="25">
        <x:v>0</x:v>
      </x:c>
      <x:c r="CL53" s="26" t="s">
        <x:v>78</x:v>
      </x:c>
      <x:c r="CM53" s="26">
        <x:v>42</x:v>
      </x:c>
      <x:c r="CN53" s="27" t="s">
        <x:v>78</x:v>
      </x:c>
      <x:c r="CO53" s="27">
        <x:v>0</x:v>
      </x:c>
      <x:c r="CP53" s="27">
        <x:v>0</x:v>
      </x:c>
      <x:c r="CQ53" s="26">
        <x:f t="shared" si="15"/>
        <x:v>2.8873237772000002</x:v>
      </x:c>
      <x:c r="CR53" s="26">
        <x:f t="shared" si="16"/>
        <x:v>570.08103140000003</x:v>
      </x:c>
      <x:c r="CS53" s="26">
        <x:f t="shared" si="22"/>
        <x:v>311.65069000000005</x:v>
      </x:c>
      <x:c r="CT53" s="26">
        <x:f t="shared" si="43"/>
        <x:v>7.1919389999999996</x:v>
      </x:c>
      <x:c r="CU53" s="26">
        <x:f t="shared" si="44"/>
        <x:v>7.1919389999999996</x:v>
      </x:c>
      <x:c r="CV53" s="26">
        <x:f t="shared" si="45"/>
        <x:v>0</x:v>
      </x:c>
      <x:c r="CW53" s="26">
        <x:f t="shared" si="46"/>
        <x:v>0</x:v>
      </x:c>
      <x:c r="CX53" s="26">
        <x:f t="shared" si="23"/>
        <x:v>4.7946260000000001</x:v>
      </x:c>
      <x:c r="CY53" s="26">
        <x:f t="shared" si="24"/>
        <x:v>0</x:v>
      </x:c>
    </x:row>
    <x:row r="54">
      <x:c r="A54" s="18">
        <x:v>2022</x:v>
      </x:c>
      <x:c r="B54" t="s">
        <x:v>173</x:v>
      </x:c>
      <x:c r="C54" t="s">
        <x:v>174</x:v>
      </x:c>
      <x:c r="D54" t="s">
        <x:v>175</x:v>
      </x:c>
      <x:c r="E54" s="18">
        <x:v>440115</x:v>
      </x:c>
      <x:c r="F54" t="s">
        <x:v>151</x:v>
      </x:c>
      <x:c r="G54" t="s">
        <x:v>69</x:v>
      </x:c>
      <x:c r="H54" s="18">
        <x:v>4412</x:v>
      </x:c>
      <x:c r="I54" t="s">
        <x:v>108</x:v>
      </x:c>
      <x:c r="J54" t="s">
        <x:v>78</x:v>
      </x:c>
      <x:c r="K54" t="s">
        <x:v>109</x:v>
      </x:c>
      <x:c r="L54" s="20">
        <x:v>33</x:v>
      </x:c>
      <x:c r="M54" t="s">
        <x:v>110</x:v>
      </x:c>
      <x:c r="N54" s="18">
        <x:v>1100</x:v>
      </x:c>
      <x:c r="O54" t="s">
        <x:v>88</x:v>
      </x:c>
      <x:c r="P54" s="18">
        <x:v>4</x:v>
      </x:c>
      <x:c r="Q54" s="19" t="s">
        <x:v>111</x:v>
      </x:c>
      <x:c r="R54" s="18">
        <x:v>1004222.329</x:v>
      </x:c>
      <x:c r="S54" t="s">
        <x:v>112</x:v>
      </x:c>
      <x:c r="T54" s="19" t="n">
        <x:f t="shared" ref="T54:T58" si="58">R54</x:f>
        <x:v>1004222.329</x:v>
      </x:c>
      <x:c r="U54" s="20">
        <x:v>0.62</x:v>
      </x:c>
      <x:c r="V54" t="s">
        <x:v>113</x:v>
      </x:c>
      <x:c r="W54" s="20">
        <x:v>16.329999999999998</x:v>
      </x:c>
      <x:c r="X54" s="21" t="n">
        <x:f>2*U54/100*(1-0.15)*T54</x:f>
        <x:v>10584.50334766</x:v>
      </x:c>
      <x:c r="Y54" s="21" t="n">
        <x:f>7.21*T54/1000</x:f>
        <x:v>7240.44299209</x:v>
      </x:c>
      <x:c r="Z54" s="21" t="n">
        <x:f>2*T54/1000</x:f>
        <x:v>2008.4446580000001</x:v>
      </x:c>
      <x:c r="AA54" s="21" t="n">
        <x:f>W54/100*(1-0.25)*0.23*T54</x:f>
        <x:v>28288.189841183248</x:v>
      </x:c>
      <x:c r="AB54" s="21" t="n">
        <x:f>W54/100*(1-0.25)*0.06*T54</x:f>
        <x:v>7379.527784656499</x:v>
      </x:c>
      <x:c r="AC54" s="21" t="n">
        <x:f t="shared" ref="AC54:AC56" si="59">0.002*AB54</x:f>
        <x:v>14.759055569312997</x:v>
      </x:c>
      <x:c r="AD54" s="21"/>
      <x:c r="AE54" s="21" t="n">
        <x:f>0.04*T54/1000</x:f>
        <x:v>40.168893159999996</x:v>
      </x:c>
      <x:c r="AF54" s="21"/>
      <x:c r="AG54" s="19" t="s">
        <x:v>176</x:v>
      </x:c>
      <x:c r="AH54" s="18">
        <x:v>132.892</x:v>
      </x:c>
      <x:c r="AI54" t="s">
        <x:v>112</x:v>
      </x:c>
      <x:c r="AJ54" s="19" t="n">
        <x:f>AH54</x:f>
        <x:v>132.892</x:v>
      </x:c>
      <x:c r="AK54" s="20">
        <x:v>0.2</x:v>
      </x:c>
      <x:c r="AL54" t="s">
        <x:v>113</x:v>
      </x:c>
      <x:c r="AM54" s="20">
        <x:v>0</x:v>
      </x:c>
      <x:c r="AN54" s="21" t="n">
        <x:f>2*AK54/100*AJ54</x:f>
        <x:v>0.531568</x:v>
      </x:c>
      <x:c r="AO54" s="21" t="n">
        <x:f>7.4*AJ54/1000</x:f>
        <x:v>0.9834008</x:v>
      </x:c>
      <x:c r="AP54" s="21" t="n">
        <x:f>0.6*AJ54/1000</x:f>
        <x:v>0.07973519999999999</x:v>
      </x:c>
      <x:c r="AQ54" s="21" t="n">
        <x:f>0.5*AJ54/1000</x:f>
        <x:v>0.06644599999999999</x:v>
      </x:c>
      <x:c r="AR54" s="21" t="n">
        <x:f>0.5*AJ54/1000</x:f>
        <x:v>0.06644599999999999</x:v>
      </x:c>
      <x:c r="AS54" s="21" t="n">
        <x:f>0.01*AJ54/1000</x:f>
        <x:v>0.00132892</x:v>
      </x:c>
      <x:c r="AT54" s="21" t="n">
        <x:f>0.04*AJ54/1000</x:f>
        <x:v>0.00531568</x:v>
      </x:c>
      <x:c r="AU54" s="21" t="n">
        <x:f>0.13*AJ54/1000</x:f>
        <x:v>0.01727596</x:v>
      </x:c>
      <x:c r="AV54" s="21"/>
      <x:c r="AW54" t="s">
        <x:v>78</x:v>
      </x:c>
      <x:c r="AX54" s="19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t="s">
        <x:v>81</x:v>
      </x:c>
      <x:c r="BI54" s="18">
        <x:v>113</x:v>
      </x:c>
      <x:c r="BJ54" s="18">
        <x:v>31</x:v>
      </x:c>
      <x:c r="BK54" s="18">
        <x:v>27.26</x:v>
      </x:c>
      <x:c r="BL54" s="18">
        <x:v>22</x:v>
      </x:c>
      <x:c r="BM54" s="18">
        <x:v>51</x:v>
      </x:c>
      <x:c r="BN54" s="18">
        <x:v>48.64</x:v>
      </x:c>
      <x:c r="BO54" s="22">
        <x:v>113.524238888889</x:v>
      </x:c>
      <x:c r="BP54" s="22">
        <x:v>22.863511111111102</x:v>
      </x:c>
      <x:c r="BQ54" s="18">
        <x:v>210</x:v>
      </x:c>
      <x:c r="BR54" s="18">
        <x:v>597944</x:v>
      </x:c>
      <x:c r="BS54" s="18">
        <x:v>10572.61</x:v>
      </x:c>
      <x:c r="BT54" s="18">
        <x:v>139.685</x:v>
      </x:c>
      <x:c r="BU54" s="18">
        <x:v>1687.547</x:v>
      </x:c>
      <x:c r="BV54" s="18">
        <x:v>474.90699999999998</x:v>
      </x:c>
      <x:c r="BW54" s="18">
        <x:v>162211.36300000001</x:v>
      </x:c>
      <x:c r="BX54" s="18">
        <x:v>6.8789999999999996</x:v>
      </x:c>
      <x:c r="BY54" s="18">
        <x:v>11849.823</x:v>
      </x:c>
      <x:c r="BZ54" s="18">
        <x:v>11849.823</x:v>
      </x:c>
      <x:c r="CA54" s="23">
        <x:f t="shared" si="6"/>
        <x:v>10585.03491566</x:v>
      </x:c>
      <x:c r="CB54" s="23">
        <x:f t="shared" si="7"/>
        <x:v>7241.42639289</x:v>
      </x:c>
      <x:c r="CC54" s="23">
        <x:f t="shared" si="8"/>
        <x:v>2008.5243932000001</x:v>
      </x:c>
      <x:c r="CD54" s="23">
        <x:f t="shared" si="9"/>
        <x:v>28288.256287183249</x:v>
      </x:c>
      <x:c r="CE54" s="23">
        <x:f t="shared" si="10"/>
        <x:v>7379.5942306564984</x:v>
      </x:c>
      <x:c r="CF54" s="23">
        <x:f t="shared" si="11"/>
        <x:v>14.760384489312997</x:v>
      </x:c>
      <x:c r="CG54" s="23">
        <x:f t="shared" si="12"/>
        <x:v>5.3156799999999997E-3</x:v>
      </x:c>
      <x:c r="CH54" s="23">
        <x:f t="shared" si="13"/>
        <x:v>40.186169119999995</x:v>
      </x:c>
      <x:c r="CI54" s="23">
        <x:f t="shared" si="14"/>
        <x:v>0</x:v>
      </x:c>
      <x:c r="CJ54" s="24" t="s">
        <x:v>114</x:v>
      </x:c>
      <x:c r="CK54" s="29">
        <x:v>95</x:v>
      </x:c>
      <x:c r="CL54" s="26" t="s">
        <x:v>104</x:v>
      </x:c>
      <x:c r="CM54" s="28">
        <x:v>85</x:v>
      </x:c>
      <x:c r="CN54" s="30" t="s">
        <x:v>163</x:v>
      </x:c>
      <x:c r="CO54" s="27">
        <x:v>99.4</x:v>
      </x:c>
      <x:c r="CP54" s="27">
        <x:v>98.3</x:v>
      </x:c>
      <x:c r="CQ54" s="26">
        <x:f t="shared" si="15"/>
        <x:v>529.2517457830005</x:v>
      </x:c>
      <x:c r="CR54" s="26">
        <x:f t="shared" si="16"/>
        <x:v>1086.2139589335002</x:v>
      </x:c>
      <x:c r="CS54" s="26">
        <x:f t="shared" si="22"/>
        <x:v>2008.5243932000001</x:v>
      </x:c>
      <x:c r="CT54" s="26">
        <x:f t="shared" si="43"/>
        <x:v>169.72953772309651</x:v>
      </x:c>
      <x:c r="CU54" s="26">
        <x:f t="shared" si="44"/>
        <x:v>125.45310192116058</x:v>
      </x:c>
      <x:c r="CV54" s="26">
        <x:f t="shared" si="45"/>
        <x:v>0.25092653631832118</x:v>
      </x:c>
      <x:c r="CW54" s="26">
        <x:f t="shared" si="46"/>
        <x:v>9.0366560000000075E-5</x:v>
      </x:c>
      <x:c r="CX54" s="26">
        <x:f t="shared" si="23"/>
        <x:v>40.186169119999995</x:v>
      </x:c>
      <x:c r="CY54" s="26">
        <x:f t="shared" si="24"/>
        <x:v>0</x:v>
      </x:c>
    </x:row>
    <x:row r="55">
      <x:c r="A55" s="18">
        <x:v>2022</x:v>
      </x:c>
      <x:c r="B55" t="s">
        <x:v>173</x:v>
      </x:c>
      <x:c r="C55" t="s">
        <x:v>174</x:v>
      </x:c>
      <x:c r="D55" t="s">
        <x:v>175</x:v>
      </x:c>
      <x:c r="E55" s="18">
        <x:v>440115</x:v>
      </x:c>
      <x:c r="F55" t="s">
        <x:v>151</x:v>
      </x:c>
      <x:c r="G55" t="s">
        <x:v>69</x:v>
      </x:c>
      <x:c r="H55" s="18">
        <x:v>4412</x:v>
      </x:c>
      <x:c r="I55" t="s">
        <x:v>108</x:v>
      </x:c>
      <x:c r="J55" t="s">
        <x:v>78</x:v>
      </x:c>
      <x:c r="K55" t="s">
        <x:v>109</x:v>
      </x:c>
      <x:c r="L55" s="20">
        <x:v>33</x:v>
      </x:c>
      <x:c r="M55" t="s">
        <x:v>110</x:v>
      </x:c>
      <x:c r="N55" s="18">
        <x:v>1100</x:v>
      </x:c>
      <x:c r="O55" t="s">
        <x:v>88</x:v>
      </x:c>
      <x:c r="P55" s="18">
        <x:v>4</x:v>
      </x:c>
      <x:c r="Q55" s="19" t="s">
        <x:v>111</x:v>
      </x:c>
      <x:c r="R55" s="18">
        <x:v>848442.67099999997</x:v>
      </x:c>
      <x:c r="S55" t="s">
        <x:v>112</x:v>
      </x:c>
      <x:c r="T55" s="19">
        <x:f t="shared" si="58"/>
        <x:v>848442.67099999997</x:v>
      </x:c>
      <x:c r="U55" s="20">
        <x:v>0.64100000000000001</x:v>
      </x:c>
      <x:c r="V55" t="s">
        <x:v>113</x:v>
      </x:c>
      <x:c r="W55" s="20">
        <x:v>17.66</x:v>
      </x:c>
      <x:c r="X55" s="21" t="n">
        <x:f>2*U55/100*(1-0.15)*T55</x:f>
        <x:v>9245.479785886999</x:v>
      </x:c>
      <x:c r="Y55" s="21" t="n">
        <x:f>7.21*T55/1000</x:f>
        <x:v>6117.27165791</x:v>
      </x:c>
      <x:c r="Z55" s="21" t="n">
        <x:f>2*T55/1000</x:f>
        <x:v>1696.885342</x:v>
      </x:c>
      <x:c r="AA55" s="21" t="n">
        <x:f>W55/100*(1-0.25)*0.23*T55</x:f>
        <x:v>25846.533308008504</x:v>
      </x:c>
      <x:c r="AB55" s="21" t="n">
        <x:f>W55/100*(1-0.25)*0.06*T55</x:f>
        <x:v>6742.573906437001</x:v>
      </x:c>
      <x:c r="AC55" s="21">
        <x:f t="shared" si="59"/>
        <x:v>13.485147812874002</x:v>
      </x:c>
      <x:c r="AD55" s="21"/>
      <x:c r="AE55" s="21" t="n">
        <x:f>0.04*T55/1000</x:f>
        <x:v>33.93770684</x:v>
      </x:c>
      <x:c r="AF55" s="21"/>
      <x:c r="AG55" s="19" t="s">
        <x:v>176</x:v>
      </x:c>
      <x:c r="AH55" s="18">
        <x:v>173.14599999999999</x:v>
      </x:c>
      <x:c r="AI55" t="s">
        <x:v>112</x:v>
      </x:c>
      <x:c r="AJ55" s="19" t="n">
        <x:f>AH55</x:f>
        <x:v>173.146</x:v>
      </x:c>
      <x:c r="AK55" s="20">
        <x:v>0.2</x:v>
      </x:c>
      <x:c r="AL55" t="s">
        <x:v>113</x:v>
      </x:c>
      <x:c r="AM55" s="20">
        <x:v>0</x:v>
      </x:c>
      <x:c r="AN55" s="21" t="n">
        <x:f>2*AK55/100*AJ55</x:f>
        <x:v>0.692584</x:v>
      </x:c>
      <x:c r="AO55" s="21" t="n">
        <x:f>7.4*AJ55/1000</x:f>
        <x:v>1.2812803999999998</x:v>
      </x:c>
      <x:c r="AP55" s="21" t="n">
        <x:f>0.6*AJ55/1000</x:f>
        <x:v>0.1038876</x:v>
      </x:c>
      <x:c r="AQ55" s="21" t="n">
        <x:f>0.5*AJ55/1000</x:f>
        <x:v>0.086573</x:v>
      </x:c>
      <x:c r="AR55" s="21" t="n">
        <x:f>0.5*AJ55/1000</x:f>
        <x:v>0.086573</x:v>
      </x:c>
      <x:c r="AS55" s="21" t="n">
        <x:f>0.01*AJ55/1000</x:f>
        <x:v>0.00173146</x:v>
      </x:c>
      <x:c r="AT55" s="21" t="n">
        <x:f>0.04*AJ55/1000</x:f>
        <x:v>0.00692584</x:v>
      </x:c>
      <x:c r="AU55" s="21" t="n">
        <x:f>0.13*AJ55/1000</x:f>
        <x:v>0.022508979999999998</x:v>
      </x:c>
      <x:c r="AV55" s="21"/>
      <x:c r="AW55" t="s">
        <x:v>78</x:v>
      </x:c>
      <x:c r="AX55" s="19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t="s">
        <x:v>79</x:v>
      </x:c>
      <x:c r="BI55" s="18">
        <x:v>113</x:v>
      </x:c>
      <x:c r="BJ55" s="18">
        <x:v>31</x:v>
      </x:c>
      <x:c r="BK55" s="18">
        <x:v>27.26</x:v>
      </x:c>
      <x:c r="BL55" s="18">
        <x:v>22</x:v>
      </x:c>
      <x:c r="BM55" s="18">
        <x:v>51</x:v>
      </x:c>
      <x:c r="BN55" s="18">
        <x:v>48.64</x:v>
      </x:c>
      <x:c r="BO55" s="22">
        <x:v>113.524238888889</x:v>
      </x:c>
      <x:c r="BP55" s="22">
        <x:v>22.863511111111102</x:v>
      </x:c>
      <x:c r="BQ55" s="18">
        <x:v>210</x:v>
      </x:c>
      <x:c r="BR55" s="18">
        <x:v>541698</x:v>
      </x:c>
      <x:c r="BS55" s="18">
        <x:v>9235.3320000000003</x:v>
      </x:c>
      <x:c r="BT55" s="18">
        <x:v>121.15300000000001</x:v>
      </x:c>
      <x:c r="BU55" s="18">
        <x:v>1425.9739999999999</x:v>
      </x:c>
      <x:c r="BV55" s="18">
        <x:v>402.30599999999998</x:v>
      </x:c>
      <x:c r="BW55" s="18">
        <x:v>147441.223</x:v>
      </x:c>
      <x:c r="BX55" s="18">
        <x:v>6.0179999999999998</x:v>
      </x:c>
      <x:c r="BY55" s="18">
        <x:v>10011.624</x:v>
      </x:c>
      <x:c r="BZ55" s="18">
        <x:v>10011.624</x:v>
      </x:c>
      <x:c r="CA55" s="23">
        <x:f t="shared" si="6"/>
        <x:v>9246.1723698869991</x:v>
      </x:c>
      <x:c r="CB55" s="23">
        <x:f t="shared" si="7"/>
        <x:v>6118.5529383099993</x:v>
      </x:c>
      <x:c r="CC55" s="23">
        <x:f t="shared" si="8"/>
        <x:v>1696.9892296</x:v>
      </x:c>
      <x:c r="CD55" s="23">
        <x:f t="shared" si="9"/>
        <x:v>25846.619881008504</x:v>
      </x:c>
      <x:c r="CE55" s="23">
        <x:f t="shared" si="10"/>
        <x:v>6742.6604794370005</x:v>
      </x:c>
      <x:c r="CF55" s="23">
        <x:f t="shared" si="11"/>
        <x:v>13.486879272874003</x:v>
      </x:c>
      <x:c r="CG55" s="23">
        <x:f t="shared" si="12"/>
        <x:v>6.9258399999999999E-3</x:v>
      </x:c>
      <x:c r="CH55" s="23">
        <x:f t="shared" si="13"/>
        <x:v>33.960215819999995</x:v>
      </x:c>
      <x:c r="CI55" s="23">
        <x:f t="shared" si="14"/>
        <x:v>0</x:v>
      </x:c>
      <x:c r="CJ55" s="24" t="s">
        <x:v>114</x:v>
      </x:c>
      <x:c r="CK55" s="29">
        <x:v>95</x:v>
      </x:c>
      <x:c r="CL55" s="26" t="s">
        <x:v>104</x:v>
      </x:c>
      <x:c r="CM55" s="28">
        <x:v>85</x:v>
      </x:c>
      <x:c r="CN55" s="30" t="s">
        <x:v>163</x:v>
      </x:c>
      <x:c r="CO55" s="27">
        <x:v>99.4</x:v>
      </x:c>
      <x:c r="CP55" s="27">
        <x:v>98.3</x:v>
      </x:c>
      <x:c r="CQ55" s="26">
        <x:f t="shared" si="15"/>
        <x:v>462.30861849435036</x:v>
      </x:c>
      <x:c r="CR55" s="26">
        <x:f t="shared" si="16"/>
        <x:v>917.7829407465</x:v>
      </x:c>
      <x:c r="CS55" s="26">
        <x:f t="shared" si="22"/>
        <x:v>1696.9892296</x:v>
      </x:c>
      <x:c r="CT55" s="26">
        <x:f t="shared" si="43"/>
        <x:v>155.07971928604829</x:v>
      </x:c>
      <x:c r="CU55" s="26">
        <x:f t="shared" si="44"/>
        <x:v>114.62522815042911</x:v>
      </x:c>
      <x:c r="CV55" s="26">
        <x:f t="shared" si="45"/>
        <x:v>0.22927694763885825</x:v>
      </x:c>
      <x:c r="CW55" s="26">
        <x:f t="shared" si="46"/>
        <x:v>1.1773928000000011E-4</x:v>
      </x:c>
      <x:c r="CX55" s="26">
        <x:f t="shared" si="23"/>
        <x:v>33.960215819999995</x:v>
      </x:c>
      <x:c r="CY55" s="26">
        <x:f t="shared" si="24"/>
        <x:v>0</x:v>
      </x:c>
    </x:row>
    <x:row r="56">
      <x:c r="A56" s="18">
        <x:v>2022</x:v>
      </x:c>
      <x:c r="B56" t="s">
        <x:v>177</x:v>
      </x:c>
      <x:c r="C56" t="s">
        <x:v>178</x:v>
      </x:c>
      <x:c r="D56" t="s">
        <x:v>179</x:v>
      </x:c>
      <x:c r="E56" s="18">
        <x:v>440115</x:v>
      </x:c>
      <x:c r="F56" t="s">
        <x:v>151</x:v>
      </x:c>
      <x:c r="G56" t="s">
        <x:v>69</x:v>
      </x:c>
      <x:c r="H56" s="18">
        <x:v>2221</x:v>
      </x:c>
      <x:c r="I56" t="s">
        <x:v>158</x:v>
      </x:c>
      <x:c r="J56" t="s">
        <x:v>78</x:v>
      </x:c>
      <x:c r="K56" t="s">
        <x:v>109</x:v>
      </x:c>
      <x:c r="L56" s="20">
        <x:v>0.6</x:v>
      </x:c>
      <x:c r="M56" t="s">
        <x:v>125</x:v>
      </x:c>
      <x:c r="N56" s="18">
        <x:v>130</x:v>
      </x:c>
      <x:c r="O56" t="s">
        <x:v>88</x:v>
      </x:c>
      <x:c r="P56" s="18">
        <x:v>1</x:v>
      </x:c>
      <x:c r="Q56" s="19" t="s">
        <x:v>121</x:v>
      </x:c>
      <x:c r="R56" s="18">
        <x:v>40681</x:v>
      </x:c>
      <x:c r="S56" t="s">
        <x:v>112</x:v>
      </x:c>
      <x:c r="T56" s="19">
        <x:f t="shared" si="58"/>
        <x:v>40681</x:v>
      </x:c>
      <x:c r="U56" s="20">
        <x:v>1.06</x:v>
      </x:c>
      <x:c r="V56" t="s">
        <x:v>113</x:v>
      </x:c>
      <x:c r="W56" s="20">
        <x:v>25.62</x:v>
      </x:c>
      <x:c r="X56" s="21" t="n">
        <x:f>2*U56/100*(1-0.15)*T56</x:f>
        <x:v>733.07162</x:v>
      </x:c>
      <x:c r="Y56" s="21" t="n">
        <x:f>8.96*T56/1000</x:f>
        <x:v>364.50176</x:v>
      </x:c>
      <x:c r="Z56" s="21" t="n">
        <x:f>2*T56/1000</x:f>
        <x:v>81.362</x:v>
      </x:c>
      <x:c r="AA56" s="21" t="n">
        <x:f>W56/100*(1-0.44)*0.29*T56</x:f>
        <x:v>1692.60948528</x:v>
      </x:c>
      <x:c r="AB56" s="21" t="n">
        <x:f>W56/100*(1-0.44)*0.07*T56</x:f>
        <x:v>408.56091024000006</x:v>
      </x:c>
      <x:c r="AC56" s="21">
        <x:f t="shared" si="59"/>
        <x:v>0.81712182048000015</x:v>
      </x:c>
      <x:c r="AD56" s="21"/>
      <x:c r="AE56" s="21" t="n">
        <x:f>0.04*T56/1000</x:f>
        <x:v>1.62724</x:v>
      </x:c>
      <x:c r="AF56" s="21"/>
      <x:c r="AG56" s="19" t="s">
        <x:v>78</x:v>
      </x:c>
      <x:c r="AH56" t="s">
        <x:v>78</x:v>
      </x:c>
      <x:c r="AI56" t="s">
        <x:v>78</x:v>
      </x:c>
      <x:c r="AJ56" s="19"/>
      <x:c r="AK56" s="19" t="s">
        <x:v>78</x:v>
      </x:c>
      <x:c r="AL56" t="s">
        <x:v>78</x:v>
      </x:c>
      <x:c r="AM56" s="19" t="s">
        <x:v>78</x:v>
      </x:c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t="s">
        <x:v>78</x:v>
      </x:c>
      <x:c r="AX56" s="19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t="s">
        <x:v>81</x:v>
      </x:c>
      <x:c r="BI56" s="18">
        <x:v>113</x:v>
      </x:c>
      <x:c r="BJ56" s="18">
        <x:v>30</x:v>
      </x:c>
      <x:c r="BK56" s="18">
        <x:v>34.46</x:v>
      </x:c>
      <x:c r="BL56" s="18">
        <x:v>22</x:v>
      </x:c>
      <x:c r="BM56" s="18">
        <x:v>44</x:v>
      </x:c>
      <x:c r="BN56" s="18">
        <x:v>29.48</x:v>
      </x:c>
      <x:c r="BO56" s="22">
        <x:v>113.509572222222</x:v>
      </x:c>
      <x:c r="BP56" s="22">
        <x:v>22.741522222222201</x:v>
      </x:c>
      <x:c r="BQ56" s="18">
        <x:v>120</x:v>
      </x:c>
      <x:c r="BR56" s="18">
        <x:v>49913.589</x:v>
      </x:c>
      <x:c r="BS56" s="18">
        <x:v>194.048</x:v>
      </x:c>
      <x:c r="BT56" s="18">
        <x:v>0.22600000000000001</x:v>
      </x:c>
      <x:c r="BU56" s="18">
        <x:v>38.646999999999998</x:v>
      </x:c>
      <x:c r="BV56" s="18">
        <x:v>13.629</x:v>
      </x:c>
      <x:c r="BW56" s="18">
        <x:v>5409.2629999999999</x:v>
      </x:c>
      <x:c r="BX56" s="18">
        <x:v>1.0309999999999999</x:v>
      </x:c>
      <x:c r="BY56" s="18">
        <x:v>553.26199999999994</x:v>
      </x:c>
      <x:c r="BZ56" s="18">
        <x:v>553.26199999999994</x:v>
      </x:c>
      <x:c r="CA56" s="23">
        <x:f t="shared" si="6"/>
        <x:v>733.07162000000005</x:v>
      </x:c>
      <x:c r="CB56" s="23">
        <x:f t="shared" si="7"/>
        <x:v>364.50175999999999</x:v>
      </x:c>
      <x:c r="CC56" s="23">
        <x:f t="shared" si="8"/>
        <x:v>81.361999999999995</x:v>
      </x:c>
      <x:c r="CD56" s="23">
        <x:f t="shared" si="9"/>
        <x:v>1692.6094852799999</x:v>
      </x:c>
      <x:c r="CE56" s="23">
        <x:f t="shared" si="10"/>
        <x:v>408.56091024000006</x:v>
      </x:c>
      <x:c r="CF56" s="23">
        <x:f t="shared" si="11"/>
        <x:v>0.81712182048000015</x:v>
      </x:c>
      <x:c r="CG56" s="23">
        <x:f t="shared" si="12"/>
        <x:v>0</x:v>
      </x:c>
      <x:c r="CH56" s="23">
        <x:f t="shared" si="13"/>
        <x:v>1.62724</x:v>
      </x:c>
      <x:c r="CI56" s="23">
        <x:f t="shared" si="14"/>
        <x:v>0</x:v>
      </x:c>
      <x:c r="CJ56" s="24" t="s">
        <x:v>180</x:v>
      </x:c>
      <x:c r="CK56" s="29">
        <x:v>82</x:v>
      </x:c>
      <x:c r="CL56" s="26" t="s">
        <x:v>97</x:v>
      </x:c>
      <x:c r="CM56" s="28">
        <x:v>78</x:v>
      </x:c>
      <x:c r="CN56" s="30" t="s">
        <x:v>154</x:v>
      </x:c>
      <x:c r="CO56" s="27">
        <x:v>99.8</x:v>
      </x:c>
      <x:c r="CP56" s="27">
        <x:v>99.6</x:v>
      </x:c>
      <x:c r="CQ56" s="26">
        <x:f t="shared" si="15"/>
        <x:v>131.95289160000004</x:v>
      </x:c>
      <x:c r="CR56" s="26">
        <x:f t="shared" si="16"/>
        <x:v>80.190387199999989</x:v>
      </x:c>
      <x:c r="CS56" s="26">
        <x:f t="shared" si="22"/>
        <x:v>81.361999999999995</x:v>
      </x:c>
      <x:c r="CT56" s="26">
        <x:f t="shared" si="43"/>
        <x:v>3.3852189705600031</x:v>
      </x:c>
      <x:c r="CU56" s="26">
        <x:f t="shared" si="44"/>
        <x:v>1.6342436409600016</x:v>
      </x:c>
      <x:c r="CV56" s="26">
        <x:f t="shared" si="45"/>
        <x:v>3.2684872819200034E-3</x:v>
      </x:c>
      <x:c r="CW56" s="26">
        <x:f t="shared" si="46"/>
        <x:v>0</x:v>
      </x:c>
      <x:c r="CX56" s="26">
        <x:f t="shared" si="23"/>
        <x:v>1.62724</x:v>
      </x:c>
      <x:c r="CY56" s="26">
        <x:f t="shared" si="24"/>
        <x:v>0</x:v>
      </x:c>
    </x:row>
    <x:row r="57">
      <x:c r="A57" s="18">
        <x:v>2022</x:v>
      </x:c>
      <x:c r="B57" t="s">
        <x:v>181</x:v>
      </x:c>
      <x:c r="C57" t="s">
        <x:v>182</x:v>
      </x:c>
      <x:c r="D57" t="s">
        <x:v>183</x:v>
      </x:c>
      <x:c r="E57" s="18">
        <x:v>440117</x:v>
      </x:c>
      <x:c r="F57" t="s">
        <x:v>184</x:v>
      </x:c>
      <x:c r="G57" t="s">
        <x:v>69</x:v>
      </x:c>
      <x:c r="H57" s="18">
        <x:v>4411</x:v>
      </x:c>
      <x:c r="I57" t="s">
        <x:v>102</x:v>
      </x:c>
      <x:c r="J57" t="s">
        <x:v>185</x:v>
      </x:c>
      <x:c r="K57" t="s">
        <x:v>80</x:v>
      </x:c>
      <x:c r="L57" s="18">
        <x:v>1.44</x:v>
      </x:c>
      <x:c r="M57" t="s">
        <x:v>78</x:v>
      </x:c>
      <x:c r="N57" s="18">
        <x:v>27.3</x:v>
      </x:c>
      <x:c r="O57" t="s">
        <x:v>88</x:v>
      </x:c>
      <x:c r="P57" s="18">
        <x:v>15</x:v>
      </x:c>
      <x:c r="Q57" s="19" t="s">
        <x:v>96</x:v>
      </x:c>
      <x:c r="R57" s="18">
        <x:v>1871.211</x:v>
      </x:c>
      <x:c r="S57" t="s">
        <x:v>76</x:v>
      </x:c>
      <x:c r="T57" s="19">
        <x:f t="shared" si="58"/>
        <x:v>1871.211</x:v>
      </x:c>
      <x:c r="U57" s="20">
        <x:v>150</x:v>
      </x:c>
      <x:c r="V57" t="s">
        <x:v>77</x:v>
      </x:c>
      <x:c r="W57" s="19" t="s">
        <x:v>78</x:v>
      </x:c>
      <x:c r="X57" s="21" t="n">
        <x:f>2*U57*T57*10000/1000000000</x:f>
        <x:v>5.613633</x:v>
      </x:c>
      <x:c r="Y57" s="21" t="n">
        <x:f>4.1*T57*10000/1000000</x:f>
        <x:v>76.719651</x:v>
      </x:c>
      <x:c r="Z57" s="21" t="n">
        <x:f>1.3*T57*10000/1000000</x:f>
        <x:v>24.325743000000003</x:v>
      </x:c>
      <x:c r="AA57" s="21" t="n">
        <x:f>0.03*T57*10000/1000000</x:f>
        <x:v>0.5613633</x:v>
      </x:c>
      <x:c r="AB57" s="21" t="n">
        <x:f>0.03*T57*10000/1000000</x:f>
        <x:v>0.5613633</x:v>
      </x:c>
      <x:c r="AC57" s="21"/>
      <x:c r="AD57" s="21"/>
      <x:c r="AE57" s="21" t="n">
        <x:f>0.02*T57*10000/1000000</x:f>
        <x:v>0.3742422</x:v>
      </x:c>
      <x:c r="AF57" s="21"/>
      <x:c r="AG57" s="19" t="s">
        <x:v>78</x:v>
      </x:c>
      <x:c r="AH57" t="s">
        <x:v>78</x:v>
      </x:c>
      <x:c r="AI57" t="s">
        <x:v>78</x:v>
      </x:c>
      <x:c r="AJ57" s="19"/>
      <x:c r="AK57" s="19" t="s">
        <x:v>78</x:v>
      </x:c>
      <x:c r="AL57" t="s">
        <x:v>78</x:v>
      </x:c>
      <x:c r="AM57" s="19" t="s">
        <x:v>78</x:v>
      </x:c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t="s">
        <x:v>78</x:v>
      </x:c>
      <x:c r="AX57" s="19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t="s">
        <x:v>81</x:v>
      </x:c>
      <x:c r="BI57" s="18">
        <x:v>113</x:v>
      </x:c>
      <x:c r="BJ57" s="18">
        <x:v>27</x:v>
      </x:c>
      <x:c r="BK57" s="18">
        <x:v>0</x:v>
      </x:c>
      <x:c r="BL57" s="18">
        <x:v>23</x:v>
      </x:c>
      <x:c r="BM57" s="18">
        <x:v>36</x:v>
      </x:c>
      <x:c r="BN57" s="18">
        <x:v>46.58</x:v>
      </x:c>
      <x:c r="BO57" s="22">
        <x:v>113.45</x:v>
      </x:c>
      <x:c r="BP57" s="22">
        <x:v>23.612938888888898</x:v>
      </x:c>
      <x:c r="BQ57" s="18">
        <x:v>40</x:v>
      </x:c>
      <x:c r="BR57" s="18">
        <x:v>48245.66</x:v>
      </x:c>
      <x:c r="BS57" s="18">
        <x:v>0</x:v>
      </x:c>
      <x:c r="BT57" s="18">
        <x:v>0</x:v>
      </x:c>
      <x:c r="BU57" s="18">
        <x:v>23.763999999999999</x:v>
      </x:c>
      <x:c r="BV57" s="18">
        <x:v>23.763999999999999</x:v>
      </x:c>
      <x:c r="BW57" s="18">
        <x:v>1.944</x:v>
      </x:c>
      <x:c r="BX57" s="18">
        <x:v>1.944</x:v>
      </x:c>
      <x:c r="BY57" t="s">
        <x:v>78</x:v>
      </x:c>
      <x:c r="BZ57" t="s">
        <x:v>78</x:v>
      </x:c>
      <x:c r="CA57" s="23">
        <x:f t="shared" si="6"/>
        <x:v>5.6136330000000001</x:v>
      </x:c>
      <x:c r="CB57" s="23">
        <x:f t="shared" si="7"/>
        <x:v>76.719650999999999</x:v>
      </x:c>
      <x:c r="CC57" s="23">
        <x:f t="shared" si="8"/>
        <x:v>24.325743000000003</x:v>
      </x:c>
      <x:c r="CD57" s="23">
        <x:f t="shared" si="9"/>
        <x:v>0.56136330000000001</x:v>
      </x:c>
      <x:c r="CE57" s="23">
        <x:f t="shared" si="10"/>
        <x:v>0.56136330000000001</x:v>
      </x:c>
      <x:c r="CF57" s="23">
        <x:f t="shared" si="11"/>
        <x:v>0</x:v>
      </x:c>
      <x:c r="CG57" s="23">
        <x:f t="shared" si="12"/>
        <x:v>0</x:v>
      </x:c>
      <x:c r="CH57" s="23">
        <x:f t="shared" si="13"/>
        <x:v>0.37424220000000002</x:v>
      </x:c>
      <x:c r="CI57" s="23">
        <x:f t="shared" si="14"/>
        <x:v>0</x:v>
      </x:c>
      <x:c r="CJ57" s="24" t="s">
        <x:v>78</x:v>
      </x:c>
      <x:c r="CK57" s="25">
        <x:v>0</x:v>
      </x:c>
      <x:c r="CL57" s="26" t="s">
        <x:v>78</x:v>
      </x:c>
      <x:c r="CM57" s="26">
        <x:v>42</x:v>
      </x:c>
      <x:c r="CN57" s="27" t="s">
        <x:v>78</x:v>
      </x:c>
      <x:c r="CO57" s="27">
        <x:v>0</x:v>
      </x:c>
      <x:c r="CP57" s="27">
        <x:v>0</x:v>
      </x:c>
      <x:c r="CQ57" s="26">
        <x:f t="shared" si="15"/>
        <x:v>5.6136330000000001</x:v>
      </x:c>
      <x:c r="CR57" s="26">
        <x:f t="shared" si="16"/>
        <x:v>44.497397580000005</x:v>
      </x:c>
      <x:c r="CS57" s="26">
        <x:f t="shared" si="22"/>
        <x:v>24.325743000000003</x:v>
      </x:c>
      <x:c r="CT57" s="26">
        <x:f t="shared" si="43"/>
        <x:v>0.56136330000000001</x:v>
      </x:c>
      <x:c r="CU57" s="26">
        <x:f t="shared" si="44"/>
        <x:v>0.56136330000000001</x:v>
      </x:c>
      <x:c r="CV57" s="26">
        <x:f t="shared" si="45"/>
        <x:v>0</x:v>
      </x:c>
      <x:c r="CW57" s="26">
        <x:f t="shared" si="46"/>
        <x:v>0</x:v>
      </x:c>
      <x:c r="CX57" s="26">
        <x:f t="shared" si="23"/>
        <x:v>0.37424220000000002</x:v>
      </x:c>
      <x:c r="CY57" s="26">
        <x:f t="shared" si="24"/>
        <x:v>0</x:v>
      </x:c>
    </x:row>
    <x:row r="58">
      <x:c r="A58" s="18">
        <x:v>2022</x:v>
      </x:c>
      <x:c r="B58" t="s">
        <x:v>181</x:v>
      </x:c>
      <x:c r="C58" t="s">
        <x:v>182</x:v>
      </x:c>
      <x:c r="D58" t="s">
        <x:v>183</x:v>
      </x:c>
      <x:c r="E58" s="18">
        <x:v>440117</x:v>
      </x:c>
      <x:c r="F58" t="s">
        <x:v>184</x:v>
      </x:c>
      <x:c r="G58" t="s">
        <x:v>69</x:v>
      </x:c>
      <x:c r="H58" s="18">
        <x:v>4411</x:v>
      </x:c>
      <x:c r="I58" t="s">
        <x:v>102</x:v>
      </x:c>
      <x:c r="J58" t="s">
        <x:v>185</x:v>
      </x:c>
      <x:c r="K58" t="s">
        <x:v>80</x:v>
      </x:c>
      <x:c r="L58" s="18">
        <x:v>1.44</x:v>
      </x:c>
      <x:c r="M58" t="s">
        <x:v>78</x:v>
      </x:c>
      <x:c r="N58" s="18">
        <x:v>27.3</x:v>
      </x:c>
      <x:c r="O58" t="s">
        <x:v>88</x:v>
      </x:c>
      <x:c r="P58" s="18">
        <x:v>15</x:v>
      </x:c>
      <x:c r="Q58" s="19" t="s">
        <x:v>96</x:v>
      </x:c>
      <x:c r="R58" s="18">
        <x:v>898.09299999999996</x:v>
      </x:c>
      <x:c r="S58" t="s">
        <x:v>76</x:v>
      </x:c>
      <x:c r="T58" s="19">
        <x:f t="shared" si="58"/>
        <x:v>898.09299999999996</x:v>
      </x:c>
      <x:c r="U58" s="20">
        <x:v>150</x:v>
      </x:c>
      <x:c r="V58" t="s">
        <x:v>77</x:v>
      </x:c>
      <x:c r="W58" s="19" t="s">
        <x:v>78</x:v>
      </x:c>
      <x:c r="X58" s="21" t="n">
        <x:f>2*U58*T58*10000/1000000000</x:f>
        <x:v>2.6942789999999994</x:v>
      </x:c>
      <x:c r="Y58" s="21" t="n">
        <x:f>4.1*T58*10000/1000000</x:f>
        <x:v>36.821813</x:v>
      </x:c>
      <x:c r="Z58" s="21" t="n">
        <x:f>1.3*T58*10000/1000000</x:f>
        <x:v>11.675209</x:v>
      </x:c>
      <x:c r="AA58" s="21" t="n">
        <x:f>0.03*T58*10000/1000000</x:f>
        <x:v>0.26942789999999994</x:v>
      </x:c>
      <x:c r="AB58" s="21" t="n">
        <x:f>0.03*T58*10000/1000000</x:f>
        <x:v>0.26942789999999994</x:v>
      </x:c>
      <x:c r="AC58" s="21"/>
      <x:c r="AD58" s="21"/>
      <x:c r="AE58" s="21" t="n">
        <x:f>0.02*T58*10000/1000000</x:f>
        <x:v>0.1796186</x:v>
      </x:c>
      <x:c r="AF58" s="21"/>
      <x:c r="AG58" s="19" t="s">
        <x:v>78</x:v>
      </x:c>
      <x:c r="AH58" t="s">
        <x:v>78</x:v>
      </x:c>
      <x:c r="AI58" t="s">
        <x:v>78</x:v>
      </x:c>
      <x:c r="AJ58" s="19"/>
      <x:c r="AK58" s="19" t="s">
        <x:v>78</x:v>
      </x:c>
      <x:c r="AL58" t="s">
        <x:v>78</x:v>
      </x:c>
      <x:c r="AM58" s="19" t="s">
        <x:v>78</x:v>
      </x:c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t="s">
        <x:v>78</x:v>
      </x:c>
      <x:c r="AX58" s="19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t="s">
        <x:v>79</x:v>
      </x:c>
      <x:c r="BI58" s="18">
        <x:v>113</x:v>
      </x:c>
      <x:c r="BJ58" s="18">
        <x:v>26</x:v>
      </x:c>
      <x:c r="BK58" s="18">
        <x:v>59.57</x:v>
      </x:c>
      <x:c r="BL58" s="18">
        <x:v>23</x:v>
      </x:c>
      <x:c r="BM58" s="18">
        <x:v>36</x:v>
      </x:c>
      <x:c r="BN58" s="18">
        <x:v>48.28</x:v>
      </x:c>
      <x:c r="BO58" s="22">
        <x:v>113.44988055555601</x:v>
      </x:c>
      <x:c r="BP58" s="22">
        <x:v>23.613411111111098</x:v>
      </x:c>
      <x:c r="BQ58" s="18">
        <x:v>40</x:v>
      </x:c>
      <x:c r="BR58" s="18">
        <x:v>20100.63</x:v>
      </x:c>
      <x:c r="BS58" s="18">
        <x:v>0</x:v>
      </x:c>
      <x:c r="BT58" s="18">
        <x:v>0</x:v>
      </x:c>
      <x:c r="BU58" s="18">
        <x:v>11.407</x:v>
      </x:c>
      <x:c r="BV58" s="18">
        <x:v>11.407</x:v>
      </x:c>
      <x:c r="BW58" s="18">
        <x:v>0.93300000000000005</x:v>
      </x:c>
      <x:c r="BX58" s="18">
        <x:v>0.93300000000000005</x:v>
      </x:c>
      <x:c r="BY58" t="s">
        <x:v>78</x:v>
      </x:c>
      <x:c r="BZ58" t="s">
        <x:v>78</x:v>
      </x:c>
      <x:c r="CA58" s="23">
        <x:f t="shared" si="6"/>
        <x:v>2.6942789999999994</x:v>
      </x:c>
      <x:c r="CB58" s="23">
        <x:f t="shared" si="7"/>
        <x:v>36.821812999999999</x:v>
      </x:c>
      <x:c r="CC58" s="23">
        <x:f t="shared" si="8"/>
        <x:v>11.675209000000001</x:v>
      </x:c>
      <x:c r="CD58" s="23">
        <x:f t="shared" si="9"/>
        <x:v>0.26942789999999994</x:v>
      </x:c>
      <x:c r="CE58" s="23">
        <x:f t="shared" si="10"/>
        <x:v>0.26942789999999994</x:v>
      </x:c>
      <x:c r="CF58" s="23">
        <x:f t="shared" si="11"/>
        <x:v>0</x:v>
      </x:c>
      <x:c r="CG58" s="23">
        <x:f t="shared" si="12"/>
        <x:v>0</x:v>
      </x:c>
      <x:c r="CH58" s="23">
        <x:f t="shared" si="13"/>
        <x:v>0.17961859999999999</x:v>
      </x:c>
      <x:c r="CI58" s="23">
        <x:f t="shared" si="14"/>
        <x:v>0</x:v>
      </x:c>
      <x:c r="CJ58" s="24" t="s">
        <x:v>78</x:v>
      </x:c>
      <x:c r="CK58" s="25">
        <x:v>0</x:v>
      </x:c>
      <x:c r="CL58" s="26" t="s">
        <x:v>78</x:v>
      </x:c>
      <x:c r="CM58" s="26">
        <x:v>42</x:v>
      </x:c>
      <x:c r="CN58" s="27" t="s">
        <x:v>78</x:v>
      </x:c>
      <x:c r="CO58" s="27">
        <x:v>0</x:v>
      </x:c>
      <x:c r="CP58" s="27">
        <x:v>0</x:v>
      </x:c>
      <x:c r="CQ58" s="26">
        <x:f t="shared" si="15"/>
        <x:v>2.6942789999999994</x:v>
      </x:c>
      <x:c r="CR58" s="26">
        <x:f t="shared" si="16"/>
        <x:v>21.356651540000001</x:v>
      </x:c>
      <x:c r="CS58" s="26">
        <x:f t="shared" si="22"/>
        <x:v>11.675209000000001</x:v>
      </x:c>
      <x:c r="CT58" s="26">
        <x:f t="shared" si="43"/>
        <x:v>0.26942789999999994</x:v>
      </x:c>
      <x:c r="CU58" s="26">
        <x:f t="shared" si="44"/>
        <x:v>0.26942789999999994</x:v>
      </x:c>
      <x:c r="CV58" s="26">
        <x:f t="shared" si="45"/>
        <x:v>0</x:v>
      </x:c>
      <x:c r="CW58" s="26">
        <x:f t="shared" si="46"/>
        <x:v>0</x:v>
      </x:c>
      <x:c r="CX58" s="26">
        <x:f t="shared" si="23"/>
        <x:v>0.17961859999999999</x:v>
      </x:c>
      <x:c r="CY58" s="26">
        <x:f t="shared" si="24"/>
        <x:v>0</x:v>
      </x:c>
    </x:row>
    <x:row r="59">
      <x:c r="A59" s="18">
        <x:v>2022</x:v>
      </x:c>
      <x:c r="B59" t="s">
        <x:v>186</x:v>
      </x:c>
      <x:c r="C59" t="s">
        <x:v>187</x:v>
      </x:c>
      <x:c r="D59" t="s">
        <x:v>188</x:v>
      </x:c>
      <x:c r="E59" s="18">
        <x:v>440118</x:v>
      </x:c>
      <x:c r="F59" t="s">
        <x:v>189</x:v>
      </x:c>
      <x:c r="G59" t="s">
        <x:v>69</x:v>
      </x:c>
      <x:c r="H59" s="18">
        <x:v>4412</x:v>
      </x:c>
      <x:c r="I59" t="s">
        <x:v>108</x:v>
      </x:c>
      <x:c r="J59" t="s">
        <x:v>190</x:v>
      </x:c>
      <x:c r="K59" t="s">
        <x:v>109</x:v>
      </x:c>
      <x:c r="L59" s="20">
        <x:v>33</x:v>
      </x:c>
      <x:c r="M59" t="s">
        <x:v>110</x:v>
      </x:c>
      <x:c r="N59" s="18">
        <x:v>1080</x:v>
      </x:c>
      <x:c r="O59" t="s">
        <x:v>88</x:v>
      </x:c>
      <x:c r="P59" s="18">
        <x:v>1</x:v>
      </x:c>
      <x:c r="Q59" s="19" t="s">
        <x:v>121</x:v>
      </x:c>
      <x:c r="R59" s="18">
        <x:v>934729.24</x:v>
      </x:c>
      <x:c r="S59" t="s">
        <x:v>112</x:v>
      </x:c>
      <x:c r="T59" s="19" t="n">
        <x:f t="shared" ref="T59:T62" si="60">R59</x:f>
        <x:v>934729.24</x:v>
      </x:c>
      <x:c r="U59" s="20">
        <x:v>0.48</x:v>
      </x:c>
      <x:c r="V59" t="s">
        <x:v>113</x:v>
      </x:c>
      <x:c r="W59" s="20">
        <x:v>12</x:v>
      </x:c>
      <x:c r="X59" s="21" t="n">
        <x:f>2*U59/100*(1-0.15)*T59</x:f>
        <x:v>7627.390598399998</x:v>
      </x:c>
      <x:c r="Y59" s="21" t="n">
        <x:f>7.21*T59/1000</x:f>
        <x:v>6739.3978204</x:v>
      </x:c>
      <x:c r="Z59" s="21" t="n">
        <x:f>2*T59/1000</x:f>
        <x:v>1869.45848</x:v>
      </x:c>
      <x:c r="AA59" s="21" t="n">
        <x:f>W59/100*(1-0.25)*0.23*T59</x:f>
        <x:v>19348.895268</x:v>
      </x:c>
      <x:c r="AB59" s="21" t="n">
        <x:f>W59/100*(1-0.25)*0.06*T59</x:f>
        <x:v>5047.537896</x:v>
      </x:c>
      <x:c r="AC59" s="21" t="n">
        <x:f t="shared" ref="AC59:AC60" si="61">0.002*AB59</x:f>
        <x:v>10.095075792</x:v>
      </x:c>
      <x:c r="AD59" s="21"/>
      <x:c r="AE59" s="21" t="n">
        <x:f>0.04*T59/1000</x:f>
        <x:v>37.3891696</x:v>
      </x:c>
      <x:c r="AF59" s="21"/>
      <x:c r="AG59" s="19" t="s">
        <x:v>78</x:v>
      </x:c>
      <x:c r="AH59" t="s">
        <x:v>78</x:v>
      </x:c>
      <x:c r="AI59" t="s">
        <x:v>78</x:v>
      </x:c>
      <x:c r="AJ59" s="19"/>
      <x:c r="AK59" s="19" t="s">
        <x:v>78</x:v>
      </x:c>
      <x:c r="AL59" t="s">
        <x:v>78</x:v>
      </x:c>
      <x:c r="AM59" s="19" t="s">
        <x:v>78</x:v>
      </x:c>
      <x:c r="AN59" s="21"/>
      <x:c r="AO59" s="21"/>
      <x:c r="AP59" s="21"/>
      <x:c r="AQ59" s="21"/>
      <x:c r="AR59" s="21"/>
      <x:c r="AS59" s="21"/>
      <x:c r="AT59" s="21"/>
      <x:c r="AU59" s="21"/>
      <x:c r="AV59" s="21"/>
      <x:c r="AW59" t="s">
        <x:v>78</x:v>
      </x:c>
      <x:c r="AX59" s="19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t="s">
        <x:v>81</x:v>
      </x:c>
      <x:c r="BI59" s="18">
        <x:v>113</x:v>
      </x:c>
      <x:c r="BJ59" s="18">
        <x:v>33</x:v>
      </x:c>
      <x:c r="BK59" s="18">
        <x:v>56.74</x:v>
      </x:c>
      <x:c r="BL59" s="18">
        <x:v>23</x:v>
      </x:c>
      <x:c r="BM59" s="18">
        <x:v>5</x:v>
      </x:c>
      <x:c r="BN59" s="18">
        <x:v>39.619999999999997</x:v>
      </x:c>
      <x:c r="BO59" s="22">
        <x:v>113.565761111111</x:v>
      </x:c>
      <x:c r="BP59" s="22">
        <x:v>23.094338888888899</x:v>
      </x:c>
      <x:c r="BQ59" s="18">
        <x:v>210</x:v>
      </x:c>
      <x:c r="BR59" s="18">
        <x:v>637392.19999999995</x:v>
      </x:c>
      <x:c r="BS59" s="18">
        <x:v>7618.4170000000004</x:v>
      </x:c>
      <x:c r="BT59" s="18">
        <x:v>137.827</x:v>
      </x:c>
      <x:c r="BU59" s="18">
        <x:v>2617.2420000000002</x:v>
      </x:c>
      <x:c r="BV59" s="18">
        <x:v>263.85599999999999</x:v>
      </x:c>
      <x:c r="BW59" s="18">
        <x:v>113709.81200000001</x:v>
      </x:c>
      <x:c r="BX59" s="18">
        <x:v>14.054</x:v>
      </x:c>
      <x:c r="BY59" s="18">
        <x:v>6458.9790000000003</x:v>
      </x:c>
      <x:c r="BZ59" s="18">
        <x:v>6458.9790000000003</x:v>
      </x:c>
      <x:c r="CA59" s="23">
        <x:f t="shared" si="6"/>
        <x:v>7627.3905983999985</x:v>
      </x:c>
      <x:c r="CB59" s="23">
        <x:f t="shared" si="7"/>
        <x:v>6739.3978203999995</x:v>
      </x:c>
      <x:c r="CC59" s="23">
        <x:f t="shared" si="8"/>
        <x:v>1869.45848</x:v>
      </x:c>
      <x:c r="CD59" s="23">
        <x:f t="shared" si="9"/>
        <x:v>19348.895268</x:v>
      </x:c>
      <x:c r="CE59" s="23">
        <x:f t="shared" si="10"/>
        <x:v>5047.5378959999998</x:v>
      </x:c>
      <x:c r="CF59" s="23">
        <x:f t="shared" si="11"/>
        <x:v>10.095075791999999</x:v>
      </x:c>
      <x:c r="CG59" s="23">
        <x:f t="shared" si="12"/>
        <x:v>0</x:v>
      </x:c>
      <x:c r="CH59" s="23">
        <x:f t="shared" si="13"/>
        <x:v>37.389169600000002</x:v>
      </x:c>
      <x:c r="CI59" s="23">
        <x:f t="shared" si="14"/>
        <x:v>0</x:v>
      </x:c>
      <x:c r="CJ59" s="24" t="s">
        <x:v>114</x:v>
      </x:c>
      <x:c r="CK59" s="29">
        <x:v>95</x:v>
      </x:c>
      <x:c r="CL59" s="26" t="s">
        <x:v>104</x:v>
      </x:c>
      <x:c r="CM59" s="28">
        <x:v>80</x:v>
      </x:c>
      <x:c r="CN59" s="30" t="s">
        <x:v>168</x:v>
      </x:c>
      <x:c r="CO59" s="27">
        <x:v>99.4</x:v>
      </x:c>
      <x:c r="CP59" s="27">
        <x:v>98.3</x:v>
      </x:c>
      <x:c r="CQ59" s="26">
        <x:f t="shared" si="15"/>
        <x:v>381.36952992000028</x:v>
      </x:c>
      <x:c r="CR59" s="26">
        <x:f t="shared" si="16"/>
        <x:v>1347.8795640799997</x:v>
      </x:c>
      <x:c r="CS59" s="26">
        <x:f t="shared" si="22"/>
        <x:v>1869.45848</x:v>
      </x:c>
      <x:c r="CT59" s="26">
        <x:f t="shared" si="43"/>
        <x:v>116.09337160799795</x:v>
      </x:c>
      <x:c r="CU59" s="26">
        <x:f t="shared" si="44"/>
        <x:v>85.808144232000075</x:v>
      </x:c>
      <x:c r="CV59" s="26">
        <x:f t="shared" si="45"/>
        <x:v>0.17161628846400015</x:v>
      </x:c>
      <x:c r="CW59" s="26">
        <x:f t="shared" si="46"/>
        <x:v>0</x:v>
      </x:c>
      <x:c r="CX59" s="26">
        <x:f t="shared" si="23"/>
        <x:v>37.389169600000002</x:v>
      </x:c>
      <x:c r="CY59" s="26">
        <x:f t="shared" si="24"/>
        <x:v>0</x:v>
      </x:c>
    </x:row>
    <x:row r="60">
      <x:c r="A60" s="18">
        <x:v>2022</x:v>
      </x:c>
      <x:c r="B60" t="s">
        <x:v>186</x:v>
      </x:c>
      <x:c r="C60" t="s">
        <x:v>187</x:v>
      </x:c>
      <x:c r="D60" t="s">
        <x:v>188</x:v>
      </x:c>
      <x:c r="E60" s="18">
        <x:v>440118</x:v>
      </x:c>
      <x:c r="F60" t="s">
        <x:v>189</x:v>
      </x:c>
      <x:c r="G60" t="s">
        <x:v>69</x:v>
      </x:c>
      <x:c r="H60" s="18">
        <x:v>4412</x:v>
      </x:c>
      <x:c r="I60" t="s">
        <x:v>108</x:v>
      </x:c>
      <x:c r="J60" t="s">
        <x:v>190</x:v>
      </x:c>
      <x:c r="K60" t="s">
        <x:v>109</x:v>
      </x:c>
      <x:c r="L60" s="20">
        <x:v>33</x:v>
      </x:c>
      <x:c r="M60" t="s">
        <x:v>110</x:v>
      </x:c>
      <x:c r="N60" s="18">
        <x:v>1080</x:v>
      </x:c>
      <x:c r="O60" t="s">
        <x:v>88</x:v>
      </x:c>
      <x:c r="P60" s="18">
        <x:v>1</x:v>
      </x:c>
      <x:c r="Q60" s="19" t="s">
        <x:v>121</x:v>
      </x:c>
      <x:c r="R60" s="18">
        <x:v>812692.7</x:v>
      </x:c>
      <x:c r="S60" t="s">
        <x:v>112</x:v>
      </x:c>
      <x:c r="T60" s="19">
        <x:f t="shared" si="60"/>
        <x:v>812692.7</x:v>
      </x:c>
      <x:c r="U60" s="20">
        <x:v>0.48</x:v>
      </x:c>
      <x:c r="V60" t="s">
        <x:v>113</x:v>
      </x:c>
      <x:c r="W60" s="20">
        <x:v>11.96</x:v>
      </x:c>
      <x:c r="X60" s="21" t="n">
        <x:f>2*U60/100*(1-0.15)*T60</x:f>
        <x:v>6631.572431999999</x:v>
      </x:c>
      <x:c r="Y60" s="21" t="n">
        <x:f>7.21*T60/1000</x:f>
        <x:v>5859.514367</x:v>
      </x:c>
      <x:c r="Z60" s="21" t="n">
        <x:f>2*T60/1000</x:f>
        <x:v>1625.3854</x:v>
      </x:c>
      <x:c r="AA60" s="21" t="n">
        <x:f>W60/100*(1-0.25)*0.23*T60</x:f>
        <x:v>16766.663093699997</x:v>
      </x:c>
      <x:c r="AB60" s="21" t="n">
        <x:f>W60/100*(1-0.25)*0.06*T60</x:f>
        <x:v>4373.912111399999</x:v>
      </x:c>
      <x:c r="AC60" s="21">
        <x:f t="shared" si="61"/>
        <x:v>8.7478242227999985</x:v>
      </x:c>
      <x:c r="AD60" s="21"/>
      <x:c r="AE60" s="21" t="n">
        <x:f>0.04*T60/1000</x:f>
        <x:v>32.507708</x:v>
      </x:c>
      <x:c r="AF60" s="21"/>
      <x:c r="AG60" s="19" t="s">
        <x:v>78</x:v>
      </x:c>
      <x:c r="AH60" t="s">
        <x:v>78</x:v>
      </x:c>
      <x:c r="AI60" t="s">
        <x:v>78</x:v>
      </x:c>
      <x:c r="AJ60" s="19"/>
      <x:c r="AK60" s="19" t="s">
        <x:v>78</x:v>
      </x:c>
      <x:c r="AL60" t="s">
        <x:v>78</x:v>
      </x:c>
      <x:c r="AM60" s="19" t="s">
        <x:v>78</x:v>
      </x:c>
      <x:c r="AN60" s="21"/>
      <x:c r="AO60" s="21"/>
      <x:c r="AP60" s="21"/>
      <x:c r="AQ60" s="21"/>
      <x:c r="AR60" s="21"/>
      <x:c r="AS60" s="21"/>
      <x:c r="AT60" s="21"/>
      <x:c r="AU60" s="21"/>
      <x:c r="AV60" s="21"/>
      <x:c r="AW60" t="s">
        <x:v>78</x:v>
      </x:c>
      <x:c r="AX60" s="19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t="s">
        <x:v>79</x:v>
      </x:c>
      <x:c r="BI60" s="18">
        <x:v>113</x:v>
      </x:c>
      <x:c r="BJ60" s="18">
        <x:v>33</x:v>
      </x:c>
      <x:c r="BK60" s="18">
        <x:v>56.74</x:v>
      </x:c>
      <x:c r="BL60" s="18">
        <x:v>23</x:v>
      </x:c>
      <x:c r="BM60" s="18">
        <x:v>5</x:v>
      </x:c>
      <x:c r="BN60" s="18">
        <x:v>39.619999999999997</x:v>
      </x:c>
      <x:c r="BO60" s="22">
        <x:v>113.565761111111</x:v>
      </x:c>
      <x:c r="BP60" s="22">
        <x:v>23.094338888888899</x:v>
      </x:c>
      <x:c r="BQ60" s="18">
        <x:v>210</x:v>
      </x:c>
      <x:c r="BR60" s="18">
        <x:v>467247.38</x:v>
      </x:c>
      <x:c r="BS60" s="18">
        <x:v>6623.7709999999997</x:v>
      </x:c>
      <x:c r="BT60" s="18">
        <x:v>91.522000000000006</x:v>
      </x:c>
      <x:c r="BU60" s="18">
        <x:v>2275.54</x:v>
      </x:c>
      <x:c r="BV60" s="18">
        <x:v>188.488</x:v>
      </x:c>
      <x:c r="BW60" s="18">
        <x:v>98564.671000000002</x:v>
      </x:c>
      <x:c r="BX60" s="18">
        <x:v>10.602</x:v>
      </x:c>
      <x:c r="BY60" s="18">
        <x:v>5615.7070000000003</x:v>
      </x:c>
      <x:c r="BZ60" s="18">
        <x:v>5615.7070000000003</x:v>
      </x:c>
      <x:c r="CA60" s="23">
        <x:f t="shared" si="6"/>
        <x:v>6631.572431999999</x:v>
      </x:c>
      <x:c r="CB60" s="23">
        <x:f t="shared" si="7"/>
        <x:v>5859.5143669999998</x:v>
      </x:c>
      <x:c r="CC60" s="23">
        <x:f t="shared" si="8"/>
        <x:v>1625.3853999999999</x:v>
      </x:c>
      <x:c r="CD60" s="23">
        <x:f t="shared" si="9"/>
        <x:v>16766.663093699997</x:v>
      </x:c>
      <x:c r="CE60" s="23">
        <x:f t="shared" si="10"/>
        <x:v>4373.912111399999</x:v>
      </x:c>
      <x:c r="CF60" s="23">
        <x:f t="shared" si="11"/>
        <x:v>8.7478242227999985</x:v>
      </x:c>
      <x:c r="CG60" s="23">
        <x:f t="shared" si="12"/>
        <x:v>0</x:v>
      </x:c>
      <x:c r="CH60" s="23">
        <x:f t="shared" si="13"/>
        <x:v>32.507708000000001</x:v>
      </x:c>
      <x:c r="CI60" s="23">
        <x:f t="shared" si="14"/>
        <x:v>0</x:v>
      </x:c>
      <x:c r="CJ60" s="24" t="s">
        <x:v>114</x:v>
      </x:c>
      <x:c r="CK60" s="29">
        <x:v>95</x:v>
      </x:c>
      <x:c r="CL60" s="26" t="s">
        <x:v>104</x:v>
      </x:c>
      <x:c r="CM60" s="28">
        <x:v>80</x:v>
      </x:c>
      <x:c r="CN60" s="30" t="s">
        <x:v>168</x:v>
      </x:c>
      <x:c r="CO60" s="27">
        <x:v>99.4</x:v>
      </x:c>
      <x:c r="CP60" s="27">
        <x:v>98.3</x:v>
      </x:c>
      <x:c r="CQ60" s="26">
        <x:f t="shared" si="15"/>
        <x:v>331.57862160000025</x:v>
      </x:c>
      <x:c r="CR60" s="26">
        <x:f t="shared" si="16"/>
        <x:v>1171.9028733999996</x:v>
      </x:c>
      <x:c r="CS60" s="26">
        <x:f t="shared" si="22"/>
        <x:v>1625.3853999999999</x:v>
      </x:c>
      <x:c r="CT60" s="26">
        <x:f t="shared" si="43"/>
        <x:v>100.59997856219822</x:v>
      </x:c>
      <x:c r="CU60" s="26">
        <x:f t="shared" si="44"/>
        <x:v>74.356505893800048</x:v>
      </x:c>
      <x:c r="CV60" s="26">
        <x:f t="shared" si="45"/>
        <x:v>0.1487130117876001</x:v>
      </x:c>
      <x:c r="CW60" s="26">
        <x:f t="shared" si="46"/>
        <x:v>0</x:v>
      </x:c>
      <x:c r="CX60" s="26">
        <x:f t="shared" si="23"/>
        <x:v>32.507708000000001</x:v>
      </x:c>
      <x:c r="CY60" s="26">
        <x:f t="shared" si="24"/>
        <x:v>0</x:v>
      </x:c>
    </x:row>
    <x:row r="61">
      <x:c r="A61" s="18">
        <x:v>2022</x:v>
      </x:c>
      <x:c r="B61" t="s">
        <x:v>191</x:v>
      </x:c>
      <x:c r="C61" t="s">
        <x:v>192</x:v>
      </x:c>
      <x:c r="D61" t="s">
        <x:v>193</x:v>
      </x:c>
      <x:c r="E61" s="18">
        <x:v>440118</x:v>
      </x:c>
      <x:c r="F61" t="s">
        <x:v>189</x:v>
      </x:c>
      <x:c r="G61" t="s">
        <x:v>69</x:v>
      </x:c>
      <x:c r="H61" s="18">
        <x:v>4411</x:v>
      </x:c>
      <x:c r="I61" t="s">
        <x:v>102</x:v>
      </x:c>
      <x:c r="J61" t="s">
        <x:v>78</x:v>
      </x:c>
      <x:c r="K61" t="s">
        <x:v>194</x:v>
      </x:c>
      <x:c r="L61" s="18">
        <x:v>66.930000000000007</x:v>
      </x:c>
      <x:c r="M61" t="s">
        <x:v>78</x:v>
      </x:c>
      <x:c r="N61" t="s">
        <x:v>78</x:v>
      </x:c>
      <x:c r="O61" t="s">
        <x:v>88</x:v>
      </x:c>
      <x:c r="P61" s="18">
        <x:v>15</x:v>
      </x:c>
      <x:c r="Q61" s="19" t="s">
        <x:v>96</x:v>
      </x:c>
      <x:c r="R61" s="18">
        <x:v>36785.194000000003</x:v>
      </x:c>
      <x:c r="S61" t="s">
        <x:v>76</x:v>
      </x:c>
      <x:c r="T61" s="19">
        <x:f t="shared" si="60"/>
        <x:v>36785.194000000003</x:v>
      </x:c>
      <x:c r="U61" s="20">
        <x:v>0.23</x:v>
      </x:c>
      <x:c r="V61" t="s">
        <x:v>77</x:v>
      </x:c>
      <x:c r="W61" s="20">
        <x:v>0</x:v>
      </x:c>
      <x:c r="X61" s="21" t="n">
        <x:f>2*U61*T61*10000/1000000000</x:f>
        <x:v>0.16921189240000004</x:v>
      </x:c>
      <x:c r="Y61" s="21" t="n">
        <x:f>4.1*T61*10000/1000000</x:f>
        <x:v>1508.192954</x:v>
      </x:c>
      <x:c r="Z61" s="21" t="n">
        <x:f>1.3*T61*10000/1000000</x:f>
        <x:v>478.207522</x:v>
      </x:c>
      <x:c r="AA61" s="21" t="n">
        <x:f>0.03*T61*10000/1000000</x:f>
        <x:v>11.0355582</x:v>
      </x:c>
      <x:c r="AB61" s="21" t="n">
        <x:f>0.03*T61*10000/1000000</x:f>
        <x:v>11.0355582</x:v>
      </x:c>
      <x:c r="AC61" s="21"/>
      <x:c r="AD61" s="21"/>
      <x:c r="AE61" s="21" t="n">
        <x:f>0.02*T61*10000/1000000</x:f>
        <x:v>7.3570388</x:v>
      </x:c>
      <x:c r="AF61" s="21"/>
      <x:c r="AG61" s="19" t="s">
        <x:v>78</x:v>
      </x:c>
      <x:c r="AH61" t="s">
        <x:v>78</x:v>
      </x:c>
      <x:c r="AI61" t="s">
        <x:v>78</x:v>
      </x:c>
      <x:c r="AJ61" s="19"/>
      <x:c r="AK61" s="19" t="s">
        <x:v>78</x:v>
      </x:c>
      <x:c r="AL61" t="s">
        <x:v>78</x:v>
      </x:c>
      <x:c r="AM61" s="19" t="s">
        <x:v>78</x:v>
      </x:c>
      <x:c r="AN61" s="21"/>
      <x:c r="AO61" s="21"/>
      <x:c r="AP61" s="21"/>
      <x:c r="AQ61" s="21"/>
      <x:c r="AR61" s="21"/>
      <x:c r="AS61" s="21"/>
      <x:c r="AT61" s="21"/>
      <x:c r="AU61" s="21"/>
      <x:c r="AV61" s="21"/>
      <x:c r="AW61" t="s">
        <x:v>78</x:v>
      </x:c>
      <x:c r="AX61" s="19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t="s">
        <x:v>81</x:v>
      </x:c>
      <x:c r="BI61" s="18">
        <x:v>113</x:v>
      </x:c>
      <x:c r="BJ61" s="18">
        <x:v>41</x:v>
      </x:c>
      <x:c r="BK61" s="18">
        <x:v>54.78</x:v>
      </x:c>
      <x:c r="BL61" s="18">
        <x:v>23</x:v>
      </x:c>
      <x:c r="BM61" s="18">
        <x:v>10</x:v>
      </x:c>
      <x:c r="BN61" s="18">
        <x:v>33.380000000000003</x:v>
      </x:c>
      <x:c r="BO61" s="22">
        <x:v>113.69855</x:v>
      </x:c>
      <x:c r="BP61" s="22">
        <x:v>23.175938888888901</x:v>
      </x:c>
      <x:c r="BQ61" s="18">
        <x:v>60</x:v>
      </x:c>
      <x:c r="BR61" s="18">
        <x:v>791312</x:v>
      </x:c>
      <x:c r="BS61" s="18">
        <x:v>0.11799999999999999</x:v>
      </x:c>
      <x:c r="BT61" s="18">
        <x:v>0.72199999999999998</x:v>
      </x:c>
      <x:c r="BU61" s="18">
        <x:v>467.17200000000003</x:v>
      </x:c>
      <x:c r="BV61" s="18">
        <x:v>159.31899999999999</x:v>
      </x:c>
      <x:c r="BW61" s="18">
        <x:v>38.22</x:v>
      </x:c>
      <x:c r="BX61" s="18">
        <x:v>0.79200000000000004</x:v>
      </x:c>
      <x:c r="BY61" t="s">
        <x:v>78</x:v>
      </x:c>
      <x:c r="BZ61" t="s">
        <x:v>78</x:v>
      </x:c>
      <x:c r="CA61" s="23">
        <x:f t="shared" si="6"/>
        <x:v>0.16921189240000004</x:v>
      </x:c>
      <x:c r="CB61" s="23">
        <x:f t="shared" si="7"/>
        <x:v>1508.1929540000001</x:v>
      </x:c>
      <x:c r="CC61" s="23">
        <x:f t="shared" si="8"/>
        <x:v>478.20752199999998</x:v>
      </x:c>
      <x:c r="CD61" s="23">
        <x:f t="shared" si="9"/>
        <x:v>11.035558200000001</x:v>
      </x:c>
      <x:c r="CE61" s="23">
        <x:f t="shared" si="10"/>
        <x:v>11.035558200000001</x:v>
      </x:c>
      <x:c r="CF61" s="23">
        <x:f t="shared" si="11"/>
        <x:v>0</x:v>
      </x:c>
      <x:c r="CG61" s="23">
        <x:f t="shared" si="12"/>
        <x:v>0</x:v>
      </x:c>
      <x:c r="CH61" s="23">
        <x:f t="shared" si="13"/>
        <x:v>7.3570387999999998</x:v>
      </x:c>
      <x:c r="CI61" s="23">
        <x:f t="shared" si="14"/>
        <x:v>0</x:v>
      </x:c>
      <x:c r="CJ61" s="24" t="s">
        <x:v>78</x:v>
      </x:c>
      <x:c r="CK61" s="25">
        <x:v>0</x:v>
      </x:c>
      <x:c r="CL61" s="26" t="s">
        <x:v>97</x:v>
      </x:c>
      <x:c r="CM61" s="28">
        <x:v>78</x:v>
      </x:c>
      <x:c r="CN61" s="27" t="s">
        <x:v>78</x:v>
      </x:c>
      <x:c r="CO61" s="27">
        <x:v>0</x:v>
      </x:c>
      <x:c r="CP61" s="27">
        <x:v>0</x:v>
      </x:c>
      <x:c r="CQ61" s="26">
        <x:f t="shared" si="15"/>
        <x:v>0.16921189240000004</x:v>
      </x:c>
      <x:c r="CR61" s="26">
        <x:f t="shared" si="16"/>
        <x:v>331.80244987999998</x:v>
      </x:c>
      <x:c r="CS61" s="26">
        <x:f t="shared" si="22"/>
        <x:v>478.20752199999998</x:v>
      </x:c>
      <x:c r="CT61" s="26">
        <x:f t="shared" si="43"/>
        <x:v>11.035558200000001</x:v>
      </x:c>
      <x:c r="CU61" s="26">
        <x:f t="shared" si="44"/>
        <x:v>11.035558200000001</x:v>
      </x:c>
      <x:c r="CV61" s="26">
        <x:f t="shared" si="45"/>
        <x:v>0</x:v>
      </x:c>
      <x:c r="CW61" s="26">
        <x:f t="shared" si="46"/>
        <x:v>0</x:v>
      </x:c>
      <x:c r="CX61" s="26">
        <x:f t="shared" si="23"/>
        <x:v>7.3570387999999998</x:v>
      </x:c>
      <x:c r="CY61" s="26">
        <x:f t="shared" si="24"/>
        <x:v>0</x:v>
      </x:c>
    </x:row>
    <x:row r="62">
      <x:c r="A62" s="18">
        <x:v>2022</x:v>
      </x:c>
      <x:c r="B62" t="s">
        <x:v>191</x:v>
      </x:c>
      <x:c r="C62" t="s">
        <x:v>192</x:v>
      </x:c>
      <x:c r="D62" t="s">
        <x:v>193</x:v>
      </x:c>
      <x:c r="E62" s="18">
        <x:v>440118</x:v>
      </x:c>
      <x:c r="F62" t="s">
        <x:v>189</x:v>
      </x:c>
      <x:c r="G62" t="s">
        <x:v>69</x:v>
      </x:c>
      <x:c r="H62" s="18">
        <x:v>4411</x:v>
      </x:c>
      <x:c r="I62" t="s">
        <x:v>102</x:v>
      </x:c>
      <x:c r="J62" t="s">
        <x:v>78</x:v>
      </x:c>
      <x:c r="K62" t="s">
        <x:v>194</x:v>
      </x:c>
      <x:c r="L62" s="18">
        <x:v>66.930000000000007</x:v>
      </x:c>
      <x:c r="M62" t="s">
        <x:v>78</x:v>
      </x:c>
      <x:c r="N62" t="s">
        <x:v>78</x:v>
      </x:c>
      <x:c r="O62" t="s">
        <x:v>88</x:v>
      </x:c>
      <x:c r="P62" s="18">
        <x:v>15</x:v>
      </x:c>
      <x:c r="Q62" s="19" t="s">
        <x:v>96</x:v>
      </x:c>
      <x:c r="R62" s="18">
        <x:v>47415.044999999998</x:v>
      </x:c>
      <x:c r="S62" t="s">
        <x:v>76</x:v>
      </x:c>
      <x:c r="T62" s="19">
        <x:f t="shared" si="60"/>
        <x:v>47415.044999999998</x:v>
      </x:c>
      <x:c r="U62" s="20">
        <x:v>0.23</x:v>
      </x:c>
      <x:c r="V62" t="s">
        <x:v>77</x:v>
      </x:c>
      <x:c r="W62" s="20">
        <x:v>0</x:v>
      </x:c>
      <x:c r="X62" s="21" t="n">
        <x:f>2*U62*T62*10000/1000000000</x:f>
        <x:v>0.218109207</x:v>
      </x:c>
      <x:c r="Y62" s="21" t="n">
        <x:f>4.1*T62*10000/1000000</x:f>
        <x:v>1944.0168449999996</x:v>
      </x:c>
      <x:c r="Z62" s="21" t="n">
        <x:f>1.3*T62*10000/1000000</x:f>
        <x:v>616.395585</x:v>
      </x:c>
      <x:c r="AA62" s="21" t="n">
        <x:f>0.03*T62*10000/1000000</x:f>
        <x:v>14.224513499999999</x:v>
      </x:c>
      <x:c r="AB62" s="21" t="n">
        <x:f>0.03*T62*10000/1000000</x:f>
        <x:v>14.224513499999999</x:v>
      </x:c>
      <x:c r="AC62" s="21"/>
      <x:c r="AD62" s="21"/>
      <x:c r="AE62" s="21" t="n">
        <x:f>0.02*T62*10000/1000000</x:f>
        <x:v>9.483009</x:v>
      </x:c>
      <x:c r="AF62" s="21"/>
      <x:c r="AG62" s="19" t="s">
        <x:v>78</x:v>
      </x:c>
      <x:c r="AH62" t="s">
        <x:v>78</x:v>
      </x:c>
      <x:c r="AI62" t="s">
        <x:v>78</x:v>
      </x:c>
      <x:c r="AJ62" s="19"/>
      <x:c r="AK62" s="19" t="s">
        <x:v>78</x:v>
      </x:c>
      <x:c r="AL62" t="s">
        <x:v>78</x:v>
      </x:c>
      <x:c r="AM62" s="19" t="s">
        <x:v>78</x:v>
      </x:c>
      <x:c r="AN62" s="21"/>
      <x:c r="AO62" s="21"/>
      <x:c r="AP62" s="21"/>
      <x:c r="AQ62" s="21"/>
      <x:c r="AR62" s="21"/>
      <x:c r="AS62" s="21"/>
      <x:c r="AT62" s="21"/>
      <x:c r="AU62" s="21"/>
      <x:c r="AV62" s="21"/>
      <x:c r="AW62" t="s">
        <x:v>78</x:v>
      </x:c>
      <x:c r="AX62" s="19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t="s">
        <x:v>79</x:v>
      </x:c>
      <x:c r="BI62" s="18">
        <x:v>113</x:v>
      </x:c>
      <x:c r="BJ62" s="18">
        <x:v>41</x:v>
      </x:c>
      <x:c r="BK62" s="18">
        <x:v>53.02</x:v>
      </x:c>
      <x:c r="BL62" s="18">
        <x:v>23</x:v>
      </x:c>
      <x:c r="BM62" s="18">
        <x:v>10</x:v>
      </x:c>
      <x:c r="BN62" s="18">
        <x:v>32.270000000000003</x:v>
      </x:c>
      <x:c r="BO62" s="22">
        <x:v>113.698061111111</x:v>
      </x:c>
      <x:c r="BP62" s="22">
        <x:v>23.1756305555556</x:v>
      </x:c>
      <x:c r="BQ62" s="18">
        <x:v>60</x:v>
      </x:c>
      <x:c r="BR62" s="18">
        <x:v>943425</x:v>
      </x:c>
      <x:c r="BS62" s="18">
        <x:v>0.153</x:v>
      </x:c>
      <x:c r="BT62" s="18">
        <x:v>0.69299999999999995</x:v>
      </x:c>
      <x:c r="BU62" s="18">
        <x:v>602.17100000000005</x:v>
      </x:c>
      <x:c r="BV62" s="18">
        <x:v>176.99299999999999</x:v>
      </x:c>
      <x:c r="BW62" s="18">
        <x:v>49.264000000000003</x:v>
      </x:c>
      <x:c r="BX62" s="18">
        <x:v>1.3169999999999999</x:v>
      </x:c>
      <x:c r="BY62" t="s">
        <x:v>78</x:v>
      </x:c>
      <x:c r="BZ62" t="s">
        <x:v>78</x:v>
      </x:c>
      <x:c r="CA62" s="23">
        <x:f t="shared" si="6"/>
        <x:v>0.218109207</x:v>
      </x:c>
      <x:c r="CB62" s="23">
        <x:f t="shared" si="7"/>
        <x:v>1944.0168449999996</x:v>
      </x:c>
      <x:c r="CC62" s="23">
        <x:f t="shared" si="8"/>
        <x:v>616.39558499999998</x:v>
      </x:c>
      <x:c r="CD62" s="23">
        <x:f t="shared" si="9"/>
        <x:v>14.224513499999999</x:v>
      </x:c>
      <x:c r="CE62" s="23">
        <x:f t="shared" si="10"/>
        <x:v>14.224513499999999</x:v>
      </x:c>
      <x:c r="CF62" s="23">
        <x:f t="shared" si="11"/>
        <x:v>0</x:v>
      </x:c>
      <x:c r="CG62" s="23">
        <x:f t="shared" si="12"/>
        <x:v>0</x:v>
      </x:c>
      <x:c r="CH62" s="23">
        <x:f t="shared" si="13"/>
        <x:v>9.4830089999999991</x:v>
      </x:c>
      <x:c r="CI62" s="23">
        <x:f t="shared" si="14"/>
        <x:v>0</x:v>
      </x:c>
      <x:c r="CJ62" s="24" t="s">
        <x:v>78</x:v>
      </x:c>
      <x:c r="CK62" s="25">
        <x:v>0</x:v>
      </x:c>
      <x:c r="CL62" s="26" t="s">
        <x:v>97</x:v>
      </x:c>
      <x:c r="CM62" s="28">
        <x:v>78</x:v>
      </x:c>
      <x:c r="CN62" s="27" t="s">
        <x:v>78</x:v>
      </x:c>
      <x:c r="CO62" s="27">
        <x:v>0</x:v>
      </x:c>
      <x:c r="CP62" s="27">
        <x:v>0</x:v>
      </x:c>
      <x:c r="CQ62" s="26">
        <x:f t="shared" si="15"/>
        <x:v>0.218109207</x:v>
      </x:c>
      <x:c r="CR62" s="26">
        <x:f t="shared" si="16"/>
        <x:v>427.68370589999989</x:v>
      </x:c>
      <x:c r="CS62" s="26">
        <x:f t="shared" si="22"/>
        <x:v>616.39558499999998</x:v>
      </x:c>
      <x:c r="CT62" s="26">
        <x:f t="shared" si="43"/>
        <x:v>14.224513499999999</x:v>
      </x:c>
      <x:c r="CU62" s="26">
        <x:f t="shared" si="44"/>
        <x:v>14.224513499999999</x:v>
      </x:c>
      <x:c r="CV62" s="26">
        <x:f t="shared" si="45"/>
        <x:v>0</x:v>
      </x:c>
      <x:c r="CW62" s="26">
        <x:f t="shared" si="46"/>
        <x:v>0</x:v>
      </x:c>
      <x:c r="CX62" s="26">
        <x:f t="shared" si="23"/>
        <x:v>9.4830089999999991</x:v>
      </x:c>
      <x:c r="CY62" s="26">
        <x:f t="shared" si="24"/>
        <x:v>0</x:v>
      </x:c>
    </x:row>
    <x:row r="63">
      <x:c r="A63" s="18">
        <x:v>2022</x:v>
      </x:c>
      <x:c r="B63" t="s">
        <x:v>195</x:v>
      </x:c>
      <x:c r="C63" t="s">
        <x:v>196</x:v>
      </x:c>
      <x:c r="D63" t="s">
        <x:v>197</x:v>
      </x:c>
      <x:c r="E63" s="18">
        <x:v>440204</x:v>
      </x:c>
      <x:c r="F63" t="s">
        <x:v>198</x:v>
      </x:c>
      <x:c r="G63" t="s">
        <x:v>199</x:v>
      </x:c>
      <x:c r="H63" s="18">
        <x:v>4411</x:v>
      </x:c>
      <x:c r="I63" t="s">
        <x:v>102</x:v>
      </x:c>
      <x:c r="J63" t="s">
        <x:v>200</x:v>
      </x:c>
      <x:c r="K63" t="s">
        <x:v>109</x:v>
      </x:c>
      <x:c r="L63" s="20">
        <x:v>35</x:v>
      </x:c>
      <x:c r="M63" t="s">
        <x:v>125</x:v>
      </x:c>
      <x:c r="N63" s="18">
        <x:v>1164</x:v>
      </x:c>
      <x:c r="O63" t="s">
        <x:v>88</x:v>
      </x:c>
      <x:c r="P63" s="18">
        <x:v>1</x:v>
      </x:c>
      <x:c r="Q63" s="19" t="s">
        <x:v>121</x:v>
      </x:c>
      <x:c r="R63" s="18">
        <x:v>901743.24699999997</x:v>
      </x:c>
      <x:c r="S63" t="s">
        <x:v>112</x:v>
      </x:c>
      <x:c r="T63" s="19" t="n">
        <x:f t="shared" ref="T63:T66" si="62">R63</x:f>
        <x:v>901743.247</x:v>
      </x:c>
      <x:c r="U63" s="20">
        <x:v>0.83</x:v>
      </x:c>
      <x:c r="V63" t="s">
        <x:v>113</x:v>
      </x:c>
      <x:c r="W63" s="20">
        <x:v>19.690000000000001</x:v>
      </x:c>
      <x:c r="X63" s="21" t="n">
        <x:f>2*U63/100*(1-0.15)*T63</x:f>
        <x:v>12723.597215169999</x:v>
      </x:c>
      <x:c r="Y63" s="21" t="n">
        <x:f>7.21*T63/1000</x:f>
        <x:v>6501.568810870001</x:v>
      </x:c>
      <x:c r="Z63" s="21" t="n">
        <x:f>2*T63/1000</x:f>
        <x:v>1803.486494</x:v>
      </x:c>
      <x:c r="AA63" s="21" t="n">
        <x:f>W63/100*(1-0.44)*0.29*T63</x:f>
        <x:v>28834.64704229032</x:v>
      </x:c>
      <x:c r="AB63" s="21" t="n">
        <x:f>W63/100*(1-0.44)*0.07*T63</x:f>
        <x:v>6960.087217104561</x:v>
      </x:c>
      <x:c r="AC63" s="21" t="n">
        <x:f t="shared" ref="AC63:AC64" si="63">0.002*AB63</x:f>
        <x:v>13.920174434209123</x:v>
      </x:c>
      <x:c r="AD63" s="21"/>
      <x:c r="AE63" s="21" t="n">
        <x:f>0.04*T63/1000</x:f>
        <x:v>36.06972988</x:v>
      </x:c>
      <x:c r="AF63" s="21"/>
      <x:c r="AG63" s="19" t="s">
        <x:v>201</x:v>
      </x:c>
      <x:c r="AH63" s="18">
        <x:v>870488.24699999997</x:v>
      </x:c>
      <x:c r="AI63" t="s">
        <x:v>112</x:v>
      </x:c>
      <x:c r="AJ63" s="19" t="n">
        <x:f>AH63</x:f>
        <x:v>870488.247</x:v>
      </x:c>
      <x:c r="AK63" s="20">
        <x:v>1.23</x:v>
      </x:c>
      <x:c r="AL63" t="s">
        <x:v>113</x:v>
      </x:c>
      <x:c r="AM63" s="20">
        <x:v>75.94</x:v>
      </x:c>
      <x:c r="AN63" s="21" t="n">
        <x:f>2*AK63/100*(1-0.15)*AJ63</x:f>
        <x:v>18201.90924477</x:v>
      </x:c>
      <x:c r="AO63" s="21" t="n">
        <x:f>7.21*AJ63/1000</x:f>
        <x:v>6276.220260869999</x:v>
      </x:c>
      <x:c r="AP63" s="21" t="n">
        <x:f>2*AJ63/1000</x:f>
        <x:v>1740.976494</x:v>
      </x:c>
      <x:c r="AQ63" s="21" t="n">
        <x:f>AM63/100*(1-0.44)*0.29*AJ63</x:f>
        <x:v>107354.32102294032</x:v>
      </x:c>
      <x:c r="AR63" s="21" t="n">
        <x:f>AM63/100*(1-0.44)*0.07*AJ63</x:f>
        <x:v>25913.11197105456</x:v>
      </x:c>
      <x:c r="AS63" s="21" t="n">
        <x:f t="shared" ref="AS63:AS64" si="64">0.002*AR63</x:f>
        <x:v>51.826223942109124</x:v>
      </x:c>
      <x:c r="AT63" s="21"/>
      <x:c r="AU63" s="21" t="n">
        <x:f>0.04*AJ63/1000</x:f>
        <x:v>34.819529880000005</x:v>
      </x:c>
      <x:c r="AV63" s="21"/>
      <x:c r="AW63" s="18">
        <x:v>0</x:v>
      </x:c>
      <x:c r="AX63" s="19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t="s">
        <x:v>79</x:v>
      </x:c>
      <x:c r="BI63" s="18">
        <x:v>113</x:v>
      </x:c>
      <x:c r="BJ63" s="18">
        <x:v>32</x:v>
      </x:c>
      <x:c r="BK63" s="18">
        <x:v>51</x:v>
      </x:c>
      <x:c r="BL63" s="18">
        <x:v>24</x:v>
      </x:c>
      <x:c r="BM63" s="18">
        <x:v>56</x:v>
      </x:c>
      <x:c r="BN63" s="18">
        <x:v>33</x:v>
      </x:c>
      <x:c r="BO63" s="22">
        <x:v>113.5475</x:v>
      </x:c>
      <x:c r="BP63" s="22">
        <x:v>24.942499999999999</x:v>
      </x:c>
      <x:c r="BQ63" s="18">
        <x:v>210</x:v>
      </x:c>
      <x:c r="BR63" s="18">
        <x:v>701658</x:v>
      </x:c>
      <x:c r="BS63" s="18">
        <x:v>30263.998</x:v>
      </x:c>
      <x:c r="BT63" s="18">
        <x:v>174.24799999999999</x:v>
      </x:c>
      <x:c r="BU63" s="18">
        <x:v>1485.3920000000001</x:v>
      </x:c>
      <x:c r="BV63" s="18">
        <x:v>222.809</x:v>
      </x:c>
      <x:c r="BW63" s="18">
        <x:v>173543.62899999999</x:v>
      </x:c>
      <x:c r="BX63" s="18">
        <x:v>18.111000000000001</x:v>
      </x:c>
      <x:c r="BY63" s="18">
        <x:v>28193.643</x:v>
      </x:c>
      <x:c r="BZ63" s="18">
        <x:v>28193.643</x:v>
      </x:c>
      <x:c r="CA63" s="23">
        <x:f t="shared" si="6"/>
        <x:v>30925.506459939999</x:v>
      </x:c>
      <x:c r="CB63" s="23">
        <x:f t="shared" si="7"/>
        <x:v>12777.789071740001</x:v>
      </x:c>
      <x:c r="CC63" s="23">
        <x:f t="shared" si="8"/>
        <x:v>3544.4629880000002</x:v>
      </x:c>
      <x:c r="CD63" s="23">
        <x:f t="shared" si="9"/>
        <x:v>136188.96806523064</x:v>
      </x:c>
      <x:c r="CE63" s="23">
        <x:f t="shared" si="10"/>
        <x:v>32873.199188159124</x:v>
      </x:c>
      <x:c r="CF63" s="23">
        <x:f t="shared" si="11"/>
        <x:v>65.74639837631824</x:v>
      </x:c>
      <x:c r="CG63" s="23">
        <x:f t="shared" si="12"/>
        <x:v>0</x:v>
      </x:c>
      <x:c r="CH63" s="23">
        <x:f t="shared" si="13"/>
        <x:v>70.889259760000002</x:v>
      </x:c>
      <x:c r="CI63" s="23">
        <x:f t="shared" si="14"/>
        <x:v>0</x:v>
      </x:c>
      <x:c r="CJ63" s="24" t="s">
        <x:v>202</x:v>
      </x:c>
      <x:c r="CK63" s="25">
        <x:v>97.9</x:v>
      </x:c>
      <x:c r="CL63" s="26" t="s">
        <x:v>123</x:v>
      </x:c>
      <x:c r="CM63" s="26">
        <x:v>85</x:v>
      </x:c>
      <x:c r="CN63" s="27" t="s">
        <x:v>203</x:v>
      </x:c>
      <x:c r="CO63" s="27">
        <x:v>99.4</x:v>
      </x:c>
      <x:c r="CP63" s="27">
        <x:v>98.3</x:v>
      </x:c>
      <x:c r="CQ63" s="26">
        <x:f t="shared" si="15"/>
        <x:v>649.43563565873717</x:v>
      </x:c>
      <x:c r="CR63" s="26">
        <x:f t="shared" si="16"/>
        <x:v>1916.6683607610003</x:v>
      </x:c>
      <x:c r="CS63" s="26">
        <x:f t="shared" si="22"/>
        <x:v>3544.4629880000002</x:v>
      </x:c>
      <x:c r="CT63" s="26">
        <x:f t="shared" si="43"/>
        <x:v>817.13380839136948</x:v>
      </x:c>
      <x:c r="CU63" s="26">
        <x:f t="shared" si="44"/>
        <x:v>558.84438619870559</x:v>
      </x:c>
      <x:c r="CV63" s="26">
        <x:f t="shared" si="45"/>
        <x:v>1.1176887723974112</x:v>
      </x:c>
      <x:c r="CW63" s="26">
        <x:f t="shared" si="46"/>
        <x:v>0</x:v>
      </x:c>
      <x:c r="CX63" s="26">
        <x:f t="shared" si="23"/>
        <x:v>70.889259760000002</x:v>
      </x:c>
      <x:c r="CY63" s="26">
        <x:f t="shared" si="24"/>
        <x:v>0</x:v>
      </x:c>
    </x:row>
    <x:row r="64">
      <x:c r="A64" s="18">
        <x:v>2022</x:v>
      </x:c>
      <x:c r="B64" t="s">
        <x:v>195</x:v>
      </x:c>
      <x:c r="C64" t="s">
        <x:v>196</x:v>
      </x:c>
      <x:c r="D64" t="s">
        <x:v>197</x:v>
      </x:c>
      <x:c r="E64" s="18">
        <x:v>440204</x:v>
      </x:c>
      <x:c r="F64" t="s">
        <x:v>198</x:v>
      </x:c>
      <x:c r="G64" t="s">
        <x:v>199</x:v>
      </x:c>
      <x:c r="H64" s="18">
        <x:v>4411</x:v>
      </x:c>
      <x:c r="I64" t="s">
        <x:v>102</x:v>
      </x:c>
      <x:c r="J64" t="s">
        <x:v>200</x:v>
      </x:c>
      <x:c r="K64" t="s">
        <x:v>109</x:v>
      </x:c>
      <x:c r="L64" s="20">
        <x:v>35</x:v>
      </x:c>
      <x:c r="M64" t="s">
        <x:v>125</x:v>
      </x:c>
      <x:c r="N64" s="18">
        <x:v>1164</x:v>
      </x:c>
      <x:c r="O64" t="s">
        <x:v>88</x:v>
      </x:c>
      <x:c r="P64" s="18">
        <x:v>1</x:v>
      </x:c>
      <x:c r="Q64" s="19" t="s">
        <x:v>121</x:v>
      </x:c>
      <x:c r="R64" s="18">
        <x:v>805917.60400000005</x:v>
      </x:c>
      <x:c r="S64" t="s">
        <x:v>112</x:v>
      </x:c>
      <x:c r="T64" s="19">
        <x:f t="shared" si="62"/>
        <x:v>805917.60400000005</x:v>
      </x:c>
      <x:c r="U64" s="20">
        <x:v>0.83</x:v>
      </x:c>
      <x:c r="V64" t="s">
        <x:v>113</x:v>
      </x:c>
      <x:c r="W64" s="20">
        <x:v>19.690000000000001</x:v>
      </x:c>
      <x:c r="X64" s="21" t="n">
        <x:f>2*U64/100*(1-0.15)*T64</x:f>
        <x:v>11371.49739244</x:v>
      </x:c>
      <x:c r="Y64" s="21" t="n">
        <x:f>7.21*T64/1000</x:f>
        <x:v>5810.66592484</x:v>
      </x:c>
      <x:c r="Z64" s="21" t="n">
        <x:f>2*T64/1000</x:f>
        <x:v>1611.8352080000002</x:v>
      </x:c>
      <x:c r="AA64" s="21" t="n">
        <x:f>W64/100*(1-0.44)*0.29*T64</x:f>
        <x:v>25770.47261936224</x:v>
      </x:c>
      <x:c r="AB64" s="21" t="n">
        <x:f>W64/100*(1-0.44)*0.07*T64</x:f>
        <x:v>6220.458908121922</x:v>
      </x:c>
      <x:c r="AC64" s="21">
        <x:f t="shared" si="63"/>
        <x:v>12.440917816243845</x:v>
      </x:c>
      <x:c r="AD64" s="21"/>
      <x:c r="AE64" s="21" t="n">
        <x:f>0.04*T64/1000</x:f>
        <x:v>32.23670416</x:v>
      </x:c>
      <x:c r="AF64" s="21"/>
      <x:c r="AG64" s="19" t="s">
        <x:v>201</x:v>
      </x:c>
      <x:c r="AH64" s="18">
        <x:v>777983.98300000001</x:v>
      </x:c>
      <x:c r="AI64" t="s">
        <x:v>112</x:v>
      </x:c>
      <x:c r="AJ64" s="19" t="n">
        <x:f>AH64</x:f>
        <x:v>777983.983</x:v>
      </x:c>
      <x:c r="AK64" s="20">
        <x:v>1.23</x:v>
      </x:c>
      <x:c r="AL64" t="s">
        <x:v>113</x:v>
      </x:c>
      <x:c r="AM64" s="20">
        <x:v>75.92</x:v>
      </x:c>
      <x:c r="AN64" s="21" t="n">
        <x:f>2*AK64/100*(1-0.15)*AJ64</x:f>
        <x:v>16267.645084529999</x:v>
      </x:c>
      <x:c r="AO64" s="21" t="n">
        <x:f>7.21*AJ64/1000</x:f>
        <x:v>5609.26451743</x:v>
      </x:c>
      <x:c r="AP64" s="21" t="n">
        <x:f>2*AJ64/1000</x:f>
        <x:v>1555.967966</x:v>
      </x:c>
      <x:c r="AQ64" s="21" t="n">
        <x:f>AM64/100*(1-0.44)*0.29*AJ64</x:f>
        <x:v>95920.81943872065</x:v>
      </x:c>
      <x:c r="AR64" s="21" t="n">
        <x:f>AM64/100*(1-0.44)*0.07*AJ64</x:f>
        <x:v>23153.301243829123</x:v>
      </x:c>
      <x:c r="AS64" s="21">
        <x:f t="shared" si="64"/>
        <x:v>46.306602487658246</x:v>
      </x:c>
      <x:c r="AT64" s="21"/>
      <x:c r="AU64" s="21" t="n">
        <x:f>0.04*AJ64/1000</x:f>
        <x:v>31.11935932</x:v>
      </x:c>
      <x:c r="AV64" s="21"/>
      <x:c r="AW64" s="18">
        <x:v>0</x:v>
      </x:c>
      <x:c r="AX64" s="19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t="s">
        <x:v>79</x:v>
      </x:c>
      <x:c r="BI64" s="18">
        <x:v>113</x:v>
      </x:c>
      <x:c r="BJ64" s="18">
        <x:v>32</x:v>
      </x:c>
      <x:c r="BK64" s="18">
        <x:v>51</x:v>
      </x:c>
      <x:c r="BL64" s="18">
        <x:v>24</x:v>
      </x:c>
      <x:c r="BM64" s="18">
        <x:v>56</x:v>
      </x:c>
      <x:c r="BN64" s="18">
        <x:v>33</x:v>
      </x:c>
      <x:c r="BO64" s="22">
        <x:v>113.5475</x:v>
      </x:c>
      <x:c r="BP64" s="22">
        <x:v>24.942499999999999</x:v>
      </x:c>
      <x:c r="BQ64" s="18">
        <x:v>210</x:v>
      </x:c>
      <x:c r="BR64" s="18">
        <x:v>744424</x:v>
      </x:c>
      <x:c r="BS64" s="18">
        <x:v>25639.399000000001</x:v>
      </x:c>
      <x:c r="BT64" s="18">
        <x:v>160.90600000000001</x:v>
      </x:c>
      <x:c r="BU64" s="18">
        <x:v>1371.662</x:v>
      </x:c>
      <x:c r="BV64" s="18">
        <x:v>205.749</x:v>
      </x:c>
      <x:c r="BW64" s="18">
        <x:v>169793.83499999999</x:v>
      </x:c>
      <x:c r="BX64" s="18">
        <x:v>16.724</x:v>
      </x:c>
      <x:c r="BY64" s="18">
        <x:v>25197.585999999999</x:v>
      </x:c>
      <x:c r="BZ64" s="18">
        <x:v>25197.585999999999</x:v>
      </x:c>
      <x:c r="CA64" s="23">
        <x:f t="shared" si="6"/>
        <x:v>27639.142476969999</x:v>
      </x:c>
      <x:c r="CB64" s="23">
        <x:f t="shared" si="7"/>
        <x:v>11419.930442270001</x:v>
      </x:c>
      <x:c r="CC64" s="23">
        <x:f t="shared" si="8"/>
        <x:v>3167.8031740000001</x:v>
      </x:c>
      <x:c r="CD64" s="23">
        <x:f t="shared" si="9"/>
        <x:v>121691.29205808288</x:v>
      </x:c>
      <x:c r="CE64" s="23">
        <x:f t="shared" si="10"/>
        <x:v>29373.760151951043</x:v>
      </x:c>
      <x:c r="CF64" s="23">
        <x:f t="shared" si="11"/>
        <x:v>58.747520303902093</x:v>
      </x:c>
      <x:c r="CG64" s="23">
        <x:f t="shared" si="12"/>
        <x:v>0</x:v>
      </x:c>
      <x:c r="CH64" s="23">
        <x:f t="shared" si="13"/>
        <x:v>63.356063480000003</x:v>
      </x:c>
      <x:c r="CI64" s="23">
        <x:f t="shared" si="14"/>
        <x:v>0</x:v>
      </x:c>
      <x:c r="CJ64" s="24" t="s">
        <x:v>202</x:v>
      </x:c>
      <x:c r="CK64" s="25">
        <x:v>97.9</x:v>
      </x:c>
      <x:c r="CL64" s="26" t="s">
        <x:v>123</x:v>
      </x:c>
      <x:c r="CM64" s="26">
        <x:v>85</x:v>
      </x:c>
      <x:c r="CN64" s="27" t="s">
        <x:v>203</x:v>
      </x:c>
      <x:c r="CO64" s="27">
        <x:v>99.4</x:v>
      </x:c>
      <x:c r="CP64" s="27">
        <x:v>98.3</x:v>
      </x:c>
      <x:c r="CQ64" s="26">
        <x:f t="shared" si="15"/>
        <x:v>580.42199201636743</x:v>
      </x:c>
      <x:c r="CR64" s="26">
        <x:f t="shared" si="16"/>
        <x:v>1712.9895663405005</x:v>
      </x:c>
      <x:c r="CS64" s="26">
        <x:f t="shared" si="22"/>
        <x:v>3167.8031740000001</x:v>
      </x:c>
      <x:c r="CT64" s="26">
        <x:f t="shared" si="43"/>
        <x:v>730.14775234848446</x:v>
      </x:c>
      <x:c r="CU64" s="26">
        <x:f t="shared" si="44"/>
        <x:v>499.35392258316818</x:v>
      </x:c>
      <x:c r="CV64" s="26">
        <x:f t="shared" si="45"/>
        <x:v>0.99870784516633648</x:v>
      </x:c>
      <x:c r="CW64" s="26">
        <x:f t="shared" si="46"/>
        <x:v>0</x:v>
      </x:c>
      <x:c r="CX64" s="26">
        <x:f t="shared" si="23"/>
        <x:v>63.356063480000003</x:v>
      </x:c>
      <x:c r="CY64" s="26">
        <x:f t="shared" si="24"/>
        <x:v>0</x:v>
      </x:c>
    </x:row>
    <x:row r="65">
      <x:c r="A65" s="18">
        <x:v>2022</x:v>
      </x:c>
      <x:c r="B65" t="s">
        <x:v>204</x:v>
      </x:c>
      <x:c r="C65" t="s">
        <x:v>78</x:v>
      </x:c>
      <x:c r="D65" t="s">
        <x:v>205</x:v>
      </x:c>
      <x:c r="E65" s="18">
        <x:v>440204</x:v>
      </x:c>
      <x:c r="F65" t="s">
        <x:v>198</x:v>
      </x:c>
      <x:c r="G65" t="s">
        <x:v>199</x:v>
      </x:c>
      <x:c r="H65" s="18">
        <x:v>3212</x:v>
      </x:c>
      <x:c r="I65" t="s">
        <x:v>206</x:v>
      </x:c>
      <x:c r="J65" t="s">
        <x:v>78</x:v>
      </x:c>
      <x:c r="K65" t="s">
        <x:v>72</x:v>
      </x:c>
      <x:c r="L65" s="18">
        <x:v>0.6</x:v>
      </x:c>
      <x:c r="M65" t="s">
        <x:v>136</x:v>
      </x:c>
      <x:c r="N65" s="18">
        <x:v>35</x:v>
      </x:c>
      <x:c r="O65" t="s">
        <x:v>88</x:v>
      </x:c>
      <x:c r="P65" s="18">
        <x:v>15</x:v>
      </x:c>
      <x:c r="Q65" s="19" t="s">
        <x:v>96</x:v>
      </x:c>
      <x:c r="R65" s="18">
        <x:v>128.589</x:v>
      </x:c>
      <x:c r="S65" t="s">
        <x:v>76</x:v>
      </x:c>
      <x:c r="T65" s="19">
        <x:f t="shared" si="62"/>
        <x:v>128.589</x:v>
      </x:c>
      <x:c r="U65" s="19">
        <x:v>19.52</x:v>
      </x:c>
      <x:c r="V65" t="s">
        <x:v>77</x:v>
      </x:c>
      <x:c r="W65" s="19" t="s">
        <x:v>78</x:v>
      </x:c>
      <x:c r="X65" s="21" t="n">
        <x:f>2*U65*T65*10000/1000000000</x:f>
        <x:v>0.050201145600000004</x:v>
      </x:c>
      <x:c r="Y65" s="21" t="n">
        <x:f>4.1*T65*10000/1000000</x:f>
        <x:v>5.272148999999999</x:v>
      </x:c>
      <x:c r="Z65" s="21" t="n">
        <x:f>1.3*T65*10000/1000000</x:f>
        <x:v>1.6716570000000002</x:v>
      </x:c>
      <x:c r="AA65" s="21" t="n">
        <x:f>0.03*T65*10000/1000000</x:f>
        <x:v>0.0385767</x:v>
      </x:c>
      <x:c r="AB65" s="21" t="n">
        <x:f>0.03*T65*10000/1000000</x:f>
        <x:v>0.0385767</x:v>
      </x:c>
      <x:c r="AC65" s="21"/>
      <x:c r="AD65" s="21"/>
      <x:c r="AE65" s="21" t="n">
        <x:f>0.02*T65*10000/1000000</x:f>
        <x:v>0.0257178</x:v>
      </x:c>
      <x:c r="AF65" s="21"/>
      <x:c r="AG65" s="19" t="s">
        <x:v>78</x:v>
      </x:c>
      <x:c r="AH65" t="s">
        <x:v>78</x:v>
      </x:c>
      <x:c r="AI65" t="s">
        <x:v>78</x:v>
      </x:c>
      <x:c r="AJ65" s="19"/>
      <x:c r="AK65" s="19" t="s">
        <x:v>78</x:v>
      </x:c>
      <x:c r="AL65" t="s">
        <x:v>78</x:v>
      </x:c>
      <x:c r="AM65" s="19" t="s">
        <x:v>78</x:v>
      </x:c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t="s">
        <x:v>78</x:v>
      </x:c>
      <x:c r="AX65" s="19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t="s">
        <x:v>207</x:v>
      </x:c>
      <x:c r="BI65" s="18">
        <x:v>113</x:v>
      </x:c>
      <x:c r="BJ65" s="18">
        <x:v>34</x:v>
      </x:c>
      <x:c r="BK65" s="18">
        <x:v>42</x:v>
      </x:c>
      <x:c r="BL65" s="18">
        <x:v>24</x:v>
      </x:c>
      <x:c r="BM65" s="18">
        <x:v>43</x:v>
      </x:c>
      <x:c r="BN65" s="18">
        <x:v>16</x:v>
      </x:c>
      <x:c r="BO65" s="22">
        <x:v>113.57833333333301</x:v>
      </x:c>
      <x:c r="BP65" s="22">
        <x:v>24.721111111111099</x:v>
      </x:c>
      <x:c r="BQ65" s="18">
        <x:v>35</x:v>
      </x:c>
      <x:c r="BR65" s="18">
        <x:v>43660.677000000003</x:v>
      </x:c>
      <x:c r="BS65" t="s">
        <x:v>78</x:v>
      </x:c>
      <x:c r="BT65" t="s">
        <x:v>78</x:v>
      </x:c>
      <x:c r="BU65" s="18">
        <x:v>1.849</x:v>
      </x:c>
      <x:c r="BV65" s="18">
        <x:v>1.849</x:v>
      </x:c>
      <x:c r="BW65" t="s">
        <x:v>78</x:v>
      </x:c>
      <x:c r="BX65" t="s">
        <x:v>78</x:v>
      </x:c>
      <x:c r="BY65" s="18">
        <x:v>216.03</x:v>
      </x:c>
      <x:c r="BZ65" s="18">
        <x:v>216.03</x:v>
      </x:c>
      <x:c r="CA65" s="23">
        <x:f t="shared" si="6"/>
        <x:v>5.0201145600000004E-2</x:v>
      </x:c>
      <x:c r="CB65" s="23">
        <x:f t="shared" si="7"/>
        <x:v>5.2721489999999989</x:v>
      </x:c>
      <x:c r="CC65" s="23">
        <x:f t="shared" si="8"/>
        <x:v>1.6716570000000002</x:v>
      </x:c>
      <x:c r="CD65" s="23">
        <x:f t="shared" si="9"/>
        <x:v>3.8576699999999998E-2</x:v>
      </x:c>
      <x:c r="CE65" s="23">
        <x:f t="shared" si="10"/>
        <x:v>3.8576699999999998E-2</x:v>
      </x:c>
      <x:c r="CF65" s="23">
        <x:f t="shared" si="11"/>
        <x:v>0</x:v>
      </x:c>
      <x:c r="CG65" s="23">
        <x:f t="shared" si="12"/>
        <x:v>0</x:v>
      </x:c>
      <x:c r="CH65" s="23">
        <x:f t="shared" si="13"/>
        <x:v>2.5717799999999999E-2</x:v>
      </x:c>
      <x:c r="CI65" s="23">
        <x:f t="shared" si="14"/>
        <x:v>0</x:v>
      </x:c>
      <x:c r="CJ65" s="24" t="s">
        <x:v>78</x:v>
      </x:c>
      <x:c r="CK65" s="25">
        <x:v>20</x:v>
      </x:c>
      <x:c r="CL65" s="26" t="s">
        <x:v>78</x:v>
      </x:c>
      <x:c r="CM65" s="26">
        <x:v>42</x:v>
      </x:c>
      <x:c r="CN65" s="30" t="s">
        <x:v>208</x:v>
      </x:c>
      <x:c r="CO65" s="27">
        <x:v>98.7</x:v>
      </x:c>
      <x:c r="CP65" s="27">
        <x:v>97</x:v>
      </x:c>
      <x:c r="CQ65" s="26">
        <x:f t="shared" si="15"/>
        <x:v>4.0160916480000003E-2</x:v>
      </x:c>
      <x:c r="CR65" s="26">
        <x:f t="shared" si="16"/>
        <x:v>3.0578464199999997</x:v>
      </x:c>
      <x:c r="CS65" s="26">
        <x:f t="shared" si="22"/>
        <x:v>1.6716570000000002</x:v>
      </x:c>
      <x:c r="CT65" s="26">
        <x:f t="shared" si="43"/>
        <x:v>5.0149710000000041E-4</x:v>
      </x:c>
      <x:c r="CU65" s="26">
        <x:f t="shared" si="44"/>
        <x:v>1.157301000000001E-3</x:v>
      </x:c>
      <x:c r="CV65" s="26">
        <x:f t="shared" si="45"/>
        <x:v>0</x:v>
      </x:c>
      <x:c r="CW65" s="26">
        <x:f t="shared" si="46"/>
        <x:v>0</x:v>
      </x:c>
      <x:c r="CX65" s="26">
        <x:f t="shared" si="23"/>
        <x:v>2.5717799999999999E-2</x:v>
      </x:c>
      <x:c r="CY65" s="26">
        <x:f t="shared" si="24"/>
        <x:v>0</x:v>
      </x:c>
    </x:row>
    <x:row r="66">
      <x:c r="A66" s="18">
        <x:v>2022</x:v>
      </x:c>
      <x:c r="B66" t="s">
        <x:v>209</x:v>
      </x:c>
      <x:c r="C66" t="s">
        <x:v>210</x:v>
      </x:c>
      <x:c r="D66" t="s">
        <x:v>211</x:v>
      </x:c>
      <x:c r="E66" s="18">
        <x:v>440205</x:v>
      </x:c>
      <x:c r="F66" t="s">
        <x:v>212</x:v>
      </x:c>
      <x:c r="G66" t="s">
        <x:v>199</x:v>
      </x:c>
      <x:c r="H66" s="18">
        <x:v>3120</x:v>
      </x:c>
      <x:c r="I66" t="s">
        <x:v>213</x:v>
      </x:c>
      <x:c r="J66" t="s">
        <x:v>214</x:v>
      </x:c>
      <x:c r="K66" t="s">
        <x:v>72</x:v>
      </x:c>
      <x:c r="L66" s="18">
        <x:v>6</x:v>
      </x:c>
      <x:c r="M66" t="s">
        <x:v>73</x:v>
      </x:c>
      <x:c r="N66" s="18">
        <x:v>220</x:v>
      </x:c>
      <x:c r="O66" t="s">
        <x:v>88</x:v>
      </x:c>
      <x:c r="P66" s="18">
        <x:v>12</x:v>
      </x:c>
      <x:c r="Q66" s="19" t="s">
        <x:v>215</x:v>
      </x:c>
      <x:c r="R66" s="18">
        <x:v>81635.365999999995</x:v>
      </x:c>
      <x:c r="S66" t="s">
        <x:v>76</x:v>
      </x:c>
      <x:c r="T66" s="19">
        <x:f t="shared" si="62"/>
        <x:v>81635.365999999995</x:v>
      </x:c>
      <x:c r="U66" s="20">
        <x:v>9</x:v>
      </x:c>
      <x:c r="V66" t="s">
        <x:v>77</x:v>
      </x:c>
      <x:c r="W66" s="19" t="s">
        <x:v>78</x:v>
      </x:c>
      <x:c r="X66" s="21" t="n">
        <x:f>2*U66*T66*10000/1000000000</x:f>
        <x:v>14.69436588</x:v>
      </x:c>
      <x:c r="Y66" s="21" t="n">
        <x:f>1.35*T66*10000/1000000</x:f>
        <x:v>1102.077441</x:v>
      </x:c>
      <x:c r="Z66" s="21" t="n">
        <x:f>1.3*T66*10000/1000000</x:f>
        <x:v>1061.259758</x:v>
      </x:c>
      <x:c r="AA66" s="21" t="n">
        <x:f>0.03*T66*10000/1000000</x:f>
        <x:v>24.490609799999998</x:v>
      </x:c>
      <x:c r="AB66" s="21" t="n">
        <x:f>0.03*T66*10000/1000000</x:f>
        <x:v>24.490609799999998</x:v>
      </x:c>
      <x:c r="AC66" s="21"/>
      <x:c r="AD66" s="21"/>
      <x:c r="AE66" s="21" t="n">
        <x:f>0.05*T66*10000/1000000</x:f>
        <x:v>40.817683</x:v>
      </x:c>
      <x:c r="AF66" s="21"/>
      <x:c r="AG66" s="19" t="s">
        <x:v>75</x:v>
      </x:c>
      <x:c r="AH66" s="18">
        <x:v>2433.7649999999999</x:v>
      </x:c>
      <x:c r="AI66" t="s">
        <x:v>76</x:v>
      </x:c>
      <x:c r="AJ66" s="19" t="n">
        <x:f>AH66</x:f>
        <x:v>2433.765</x:v>
      </x:c>
      <x:c r="AK66" s="20">
        <x:v>102</x:v>
      </x:c>
      <x:c r="AL66" t="s">
        <x:v>77</x:v>
      </x:c>
      <x:c r="AM66" s="19" t="s">
        <x:v>78</x:v>
      </x:c>
      <x:c r="AN66" s="21" t="n">
        <x:f>2*AK66*AJ66*10000/1000000000</x:f>
        <x:v>4.9648806</x:v>
      </x:c>
      <x:c r="AO66" s="21" t="n">
        <x:f>1.35*AJ66*10000/1000000</x:f>
        <x:v>32.8558275</x:v>
      </x:c>
      <x:c r="AP66" s="21" t="n">
        <x:f>1.3*AJ66*10000/1000000</x:f>
        <x:v>31.638945</x:v>
      </x:c>
      <x:c r="AQ66" s="21" t="n">
        <x:f>0.03*AJ66*10000/1000000</x:f>
        <x:v>0.7301294999999999</x:v>
      </x:c>
      <x:c r="AR66" s="21" t="n">
        <x:f>0.03*AJ66*10000/1000000</x:f>
        <x:v>0.7301294999999999</x:v>
      </x:c>
      <x:c r="AS66" s="21"/>
      <x:c r="AT66" s="21"/>
      <x:c r="AU66" s="21" t="n">
        <x:f>0.02*AJ66*10000/1000000</x:f>
        <x:v>0.486753</x:v>
      </x:c>
      <x:c r="AV66" s="21"/>
      <x:c r="AW66" t="s">
        <x:v>78</x:v>
      </x:c>
      <x:c r="AX66" s="19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t="s">
        <x:v>82</x:v>
      </x:c>
      <x:c r="BI66" s="18">
        <x:v>113</x:v>
      </x:c>
      <x:c r="BJ66" s="18">
        <x:v>38</x:v>
      </x:c>
      <x:c r="BK66" s="18">
        <x:v>12</x:v>
      </x:c>
      <x:c r="BL66" s="18">
        <x:v>24</x:v>
      </x:c>
      <x:c r="BM66" s="18">
        <x:v>42</x:v>
      </x:c>
      <x:c r="BN66" s="18">
        <x:v>18</x:v>
      </x:c>
      <x:c r="BO66" s="22">
        <x:v>113.636666666667</x:v>
      </x:c>
      <x:c r="BP66" s="22">
        <x:v>24.704999999999998</x:v>
      </x:c>
      <x:c r="BQ66" s="18">
        <x:v>100</x:v>
      </x:c>
      <x:c r="BR66" s="18">
        <x:v>38824.053</x:v>
      </x:c>
      <x:c r="BS66" s="18">
        <x:v>15.132</x:v>
      </x:c>
      <x:c r="BT66" s="18">
        <x:v>17.132999999999999</x:v>
      </x:c>
      <x:c r="BU66" s="18">
        <x:v>722.995</x:v>
      </x:c>
      <x:c r="BV66" s="18">
        <x:v>6.7539999999999996</x:v>
      </x:c>
      <x:c r="BW66" s="18">
        <x:v>87.347999999999999</x:v>
      </x:c>
      <x:c r="BX66" s="18">
        <x:v>1.524</x:v>
      </x:c>
      <x:c r="BY66" s="18">
        <x:v>13303.089</x:v>
      </x:c>
      <x:c r="BZ66" s="18">
        <x:v>13303.089</x:v>
      </x:c>
      <x:c r="CA66" s="23" t="n">
        <x:f t="shared" ref="CA66:CA129" si="65">X66+AN66+AY66</x:f>
        <x:v>19.65924648</x:v>
      </x:c>
      <x:c r="CB66" s="23" t="n">
        <x:f t="shared" ref="CB66:CB129" si="66">Y66+AO66+AZ66</x:f>
        <x:v>1134.9332685</x:v>
      </x:c>
      <x:c r="CC66" s="23" t="n">
        <x:f t="shared" ref="CC66:CC129" si="67">Z66+AP66+BA66</x:f>
        <x:v>1092.8987029999998</x:v>
      </x:c>
      <x:c r="CD66" s="23" t="n">
        <x:f t="shared" ref="CD66:CD129" si="68">AA66+AQ66+BB66</x:f>
        <x:v>25.220739299999998</x:v>
      </x:c>
      <x:c r="CE66" s="23" t="n">
        <x:f t="shared" ref="CE66:CE129" si="69">AB66+AR66+BC66</x:f>
        <x:v>25.220739299999998</x:v>
      </x:c>
      <x:c r="CF66" s="23" t="n">
        <x:f t="shared" ref="CF66:CF129" si="70">AC66+AS66+BD66</x:f>
        <x:v>0</x:v>
      </x:c>
      <x:c r="CG66" s="23" t="n">
        <x:f t="shared" ref="CG66:CG129" si="71">AD66+AT66+BE66</x:f>
        <x:v>0</x:v>
      </x:c>
      <x:c r="CH66" s="23" t="n">
        <x:f t="shared" ref="CH66:CH129" si="72">AE66+AU66+BF66</x:f>
        <x:v>41.304436</x:v>
      </x:c>
      <x:c r="CI66" s="23" t="n">
        <x:f t="shared" ref="CI66:CI129" si="73">AF66+AV66+BG66</x:f>
        <x:v>0</x:v>
      </x:c>
      <x:c r="CJ66" s="24" t="s">
        <x:v>216</x:v>
      </x:c>
      <x:c r="CK66" s="29">
        <x:v>85.8</x:v>
      </x:c>
      <x:c r="CL66" s="26" t="s">
        <x:v>97</x:v>
      </x:c>
      <x:c r="CM66" s="28">
        <x:v>65</x:v>
      </x:c>
      <x:c r="CN66" s="30" t="s">
        <x:v>154</x:v>
      </x:c>
      <x:c r="CO66" s="27">
        <x:v>99.8</x:v>
      </x:c>
      <x:c r="CP66" s="27">
        <x:v>99.6</x:v>
      </x:c>
      <x:c r="CQ66" s="26" t="n">
        <x:f t="shared" ref="CQ66:CQ129" si="74">CA66*(1-CK66/100)</x:f>
        <x:v>2.7916130001600004</x:v>
      </x:c>
      <x:c r="CR66" s="26" t="n">
        <x:f t="shared" ref="CR66:CR129" si="75">CB66*(1-CM66/100)</x:f>
        <x:v>397.22664397499994</x:v>
      </x:c>
      <x:c r="CS66" s="26">
        <x:f t="shared" si="22"/>
        <x:v>1092.8987029999998</x:v>
      </x:c>
      <x:c r="CT66" s="26">
        <x:f t="shared" si="43"/>
        <x:v>5.0441478600000041E-2</x:v>
      </x:c>
      <x:c r="CU66" s="26">
        <x:f t="shared" si="44"/>
        <x:v>0.10088295720000008</x:v>
      </x:c>
      <x:c r="CV66" s="26">
        <x:f t="shared" si="45"/>
        <x:v>0</x:v>
      </x:c>
      <x:c r="CW66" s="26">
        <x:f t="shared" si="46"/>
        <x:v>0</x:v>
      </x:c>
      <x:c r="CX66" s="26">
        <x:f t="shared" si="23"/>
        <x:v>41.304436000000003</x:v>
      </x:c>
      <x:c r="CY66" s="26">
        <x:f t="shared" si="24"/>
        <x:v>0</x:v>
      </x:c>
    </x:row>
    <x:row r="67">
      <x:c r="A67" s="18">
        <x:v>2022</x:v>
      </x:c>
      <x:c r="B67" t="s">
        <x:v>209</x:v>
      </x:c>
      <x:c r="C67" t="s">
        <x:v>210</x:v>
      </x:c>
      <x:c r="D67" t="s">
        <x:v>211</x:v>
      </x:c>
      <x:c r="E67" s="18">
        <x:v>440205</x:v>
      </x:c>
      <x:c r="F67" t="s">
        <x:v>212</x:v>
      </x:c>
      <x:c r="G67" t="s">
        <x:v>199</x:v>
      </x:c>
      <x:c r="H67" s="18">
        <x:v>3120</x:v>
      </x:c>
      <x:c r="I67" t="s">
        <x:v>213</x:v>
      </x:c>
      <x:c r="J67" t="s">
        <x:v>214</x:v>
      </x:c>
      <x:c r="K67" t="s">
        <x:v>72</x:v>
      </x:c>
      <x:c r="L67" s="18">
        <x:v>6</x:v>
      </x:c>
      <x:c r="M67" t="s">
        <x:v>73</x:v>
      </x:c>
      <x:c r="N67" s="18">
        <x:v>220</x:v>
      </x:c>
      <x:c r="O67" t="s">
        <x:v>88</x:v>
      </x:c>
      <x:c r="P67" s="18">
        <x:v>12</x:v>
      </x:c>
      <x:c r="Q67" s="19" t="s">
        <x:v>215</x:v>
      </x:c>
      <x:c r="R67" s="18">
        <x:v>6727.6890000000003</x:v>
      </x:c>
      <x:c r="S67" t="s">
        <x:v>76</x:v>
      </x:c>
      <x:c r="T67" s="19" t="n">
        <x:f t="shared" ref="T67:T69" si="76">R67</x:f>
        <x:v>6727.689</x:v>
      </x:c>
      <x:c r="U67" s="20">
        <x:v>9</x:v>
      </x:c>
      <x:c r="V67" t="s">
        <x:v>77</x:v>
      </x:c>
      <x:c r="W67" s="19" t="s">
        <x:v>78</x:v>
      </x:c>
      <x:c r="X67" s="21" t="n">
        <x:f>2*U67*T67*10000/1000000000</x:f>
        <x:v>1.21098402</x:v>
      </x:c>
      <x:c r="Y67" s="21" t="n">
        <x:f>1.35*T67*10000/1000000</x:f>
        <x:v>90.82380150000002</x:v>
      </x:c>
      <x:c r="Z67" s="21" t="n">
        <x:f>1.3*T67*10000/1000000</x:f>
        <x:v>87.45995700000002</x:v>
      </x:c>
      <x:c r="AA67" s="21" t="n">
        <x:f>0.03*T67*10000/1000000</x:f>
        <x:v>2.0183067</x:v>
      </x:c>
      <x:c r="AB67" s="21" t="n">
        <x:f>0.03*T67*10000/1000000</x:f>
        <x:v>2.0183067</x:v>
      </x:c>
      <x:c r="AC67" s="21"/>
      <x:c r="AD67" s="21"/>
      <x:c r="AE67" s="21" t="n">
        <x:f>0.05*T67*10000/1000000</x:f>
        <x:v>3.3638445</x:v>
      </x:c>
      <x:c r="AF67" s="21"/>
      <x:c r="AG67" s="19" t="s">
        <x:v>75</x:v>
      </x:c>
      <x:c r="AH67" s="18">
        <x:v>225.39400000000001</x:v>
      </x:c>
      <x:c r="AI67" t="s">
        <x:v>76</x:v>
      </x:c>
      <x:c r="AJ67" s="19" t="n">
        <x:f t="shared" ref="AJ67:AJ69" si="77">AH67</x:f>
        <x:v>225.394</x:v>
      </x:c>
      <x:c r="AK67" s="20">
        <x:v>102</x:v>
      </x:c>
      <x:c r="AL67" t="s">
        <x:v>77</x:v>
      </x:c>
      <x:c r="AM67" s="19" t="s">
        <x:v>78</x:v>
      </x:c>
      <x:c r="AN67" s="21" t="n">
        <x:f>2*AK67*AJ67*10000/1000000000</x:f>
        <x:v>0.45980376000000006</x:v>
      </x:c>
      <x:c r="AO67" s="21" t="n">
        <x:f>1.35*AJ67*10000/1000000</x:f>
        <x:v>3.042819</x:v>
      </x:c>
      <x:c r="AP67" s="21" t="n">
        <x:f>1.3*AJ67*10000/1000000</x:f>
        <x:v>2.930122</x:v>
      </x:c>
      <x:c r="AQ67" s="21" t="n">
        <x:f>0.03*AJ67*10000/1000000</x:f>
        <x:v>0.0676182</x:v>
      </x:c>
      <x:c r="AR67" s="21" t="n">
        <x:f>0.03*AJ67*10000/1000000</x:f>
        <x:v>0.0676182</x:v>
      </x:c>
      <x:c r="AS67" s="21"/>
      <x:c r="AT67" s="21"/>
      <x:c r="AU67" s="21" t="n">
        <x:f>0.02*AJ67*10000/1000000</x:f>
        <x:v>0.0450788</x:v>
      </x:c>
      <x:c r="AV67" s="21"/>
      <x:c r="AW67" t="s">
        <x:v>78</x:v>
      </x:c>
      <x:c r="AX67" s="19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t="s">
        <x:v>82</x:v>
      </x:c>
      <x:c r="BI67" s="18">
        <x:v>113</x:v>
      </x:c>
      <x:c r="BJ67" s="18">
        <x:v>38</x:v>
      </x:c>
      <x:c r="BK67" s="18">
        <x:v>12</x:v>
      </x:c>
      <x:c r="BL67" s="18">
        <x:v>24</x:v>
      </x:c>
      <x:c r="BM67" s="18">
        <x:v>42</x:v>
      </x:c>
      <x:c r="BN67" s="18">
        <x:v>18</x:v>
      </x:c>
      <x:c r="BO67" s="22">
        <x:v>113.636666666667</x:v>
      </x:c>
      <x:c r="BP67" s="22">
        <x:v>24.704999999999998</x:v>
      </x:c>
      <x:c r="BQ67" s="18">
        <x:v>100</x:v>
      </x:c>
      <x:c r="BR67" s="18">
        <x:v>0</x:v>
      </x:c>
      <x:c r="BS67" s="18">
        <x:v>1.252</x:v>
      </x:c>
      <x:c r="BT67" t="s">
        <x:v>78</x:v>
      </x:c>
      <x:c r="BU67" s="18">
        <x:v>59.796999999999997</x:v>
      </x:c>
      <x:c r="BV67" t="s">
        <x:v>78</x:v>
      </x:c>
      <x:c r="BW67" s="18">
        <x:v>7.2240000000000002</x:v>
      </x:c>
      <x:c r="BX67" t="s">
        <x:v>78</x:v>
      </x:c>
      <x:c r="BY67" s="18">
        <x:v>1104.6179999999999</x:v>
      </x:c>
      <x:c r="BZ67" s="18">
        <x:v>1104.6179999999999</x:v>
      </x:c>
      <x:c r="CA67" s="23">
        <x:f t="shared" si="65"/>
        <x:v>1.6707877799999999</x:v>
      </x:c>
      <x:c r="CB67" s="23">
        <x:f t="shared" si="66"/>
        <x:v>93.86662050000001</x:v>
      </x:c>
      <x:c r="CC67" s="23">
        <x:f t="shared" si="67"/>
        <x:v>90.390079000000014</x:v>
      </x:c>
      <x:c r="CD67" s="23">
        <x:f t="shared" si="68"/>
        <x:v>2.0859249000000002</x:v>
      </x:c>
      <x:c r="CE67" s="23">
        <x:f t="shared" si="69"/>
        <x:v>2.0859249000000002</x:v>
      </x:c>
      <x:c r="CF67" s="23">
        <x:f t="shared" si="70"/>
        <x:v>0</x:v>
      </x:c>
      <x:c r="CG67" s="23">
        <x:f t="shared" si="71"/>
        <x:v>0</x:v>
      </x:c>
      <x:c r="CH67" s="23">
        <x:f t="shared" si="72"/>
        <x:v>3.4089233000000001</x:v>
      </x:c>
      <x:c r="CI67" s="23">
        <x:f t="shared" si="73"/>
        <x:v>0</x:v>
      </x:c>
      <x:c r="CJ67" s="24" t="s">
        <x:v>216</x:v>
      </x:c>
      <x:c r="CK67" s="29">
        <x:v>85.8</x:v>
      </x:c>
      <x:c r="CL67" s="26" t="s">
        <x:v>97</x:v>
      </x:c>
      <x:c r="CM67" s="28">
        <x:v>65</x:v>
      </x:c>
      <x:c r="CN67" s="30" t="s">
        <x:v>154</x:v>
      </x:c>
      <x:c r="CO67" s="27">
        <x:v>99.8</x:v>
      </x:c>
      <x:c r="CP67" s="27">
        <x:v>99.6</x:v>
      </x:c>
      <x:c r="CQ67" s="26">
        <x:f t="shared" si="74"/>
        <x:v>0.23725186476000001</x:v>
      </x:c>
      <x:c r="CR67" s="26">
        <x:f t="shared" si="75"/>
        <x:v>32.853317175000001</x:v>
      </x:c>
      <x:c r="CS67" s="26" t="n">
        <x:f t="shared" ref="CS67:CS130" si="78">CC67</x:f>
        <x:v>90.39007900000001</x:v>
      </x:c>
      <x:c r="CT67" s="26">
        <x:f t="shared" si="43"/>
        <x:v>4.1718498000000038E-3</x:v>
      </x:c>
      <x:c r="CU67" s="26">
        <x:f t="shared" si="44"/>
        <x:v>8.3436996000000076E-3</x:v>
      </x:c>
      <x:c r="CV67" s="26">
        <x:f t="shared" si="45"/>
        <x:v>0</x:v>
      </x:c>
      <x:c r="CW67" s="26">
        <x:f t="shared" si="46"/>
        <x:v>0</x:v>
      </x:c>
      <x:c r="CX67" s="26" t="n">
        <x:f t="shared" ref="CX67:CX130" si="79">CH67</x:f>
        <x:v>3.4089233</x:v>
      </x:c>
      <x:c r="CY67" s="26" t="n">
        <x:f t="shared" ref="CY67:CY130" si="80">CI67</x:f>
        <x:v>0</x:v>
      </x:c>
    </x:row>
    <x:row r="68">
      <x:c r="A68" s="18">
        <x:v>2022</x:v>
      </x:c>
      <x:c r="B68" t="s">
        <x:v>209</x:v>
      </x:c>
      <x:c r="C68" t="s">
        <x:v>210</x:v>
      </x:c>
      <x:c r="D68" t="s">
        <x:v>211</x:v>
      </x:c>
      <x:c r="E68" s="18">
        <x:v>440205</x:v>
      </x:c>
      <x:c r="F68" t="s">
        <x:v>212</x:v>
      </x:c>
      <x:c r="G68" t="s">
        <x:v>199</x:v>
      </x:c>
      <x:c r="H68" s="18">
        <x:v>3120</x:v>
      </x:c>
      <x:c r="I68" t="s">
        <x:v>213</x:v>
      </x:c>
      <x:c r="J68" t="s">
        <x:v>214</x:v>
      </x:c>
      <x:c r="K68" t="s">
        <x:v>72</x:v>
      </x:c>
      <x:c r="L68" s="18">
        <x:v>13.5</x:v>
      </x:c>
      <x:c r="M68" t="s">
        <x:v>73</x:v>
      </x:c>
      <x:c r="N68" s="18">
        <x:v>440</x:v>
      </x:c>
      <x:c r="O68" t="s">
        <x:v>88</x:v>
      </x:c>
      <x:c r="P68" s="18">
        <x:v>12</x:v>
      </x:c>
      <x:c r="Q68" s="19" t="s">
        <x:v>215</x:v>
      </x:c>
      <x:c r="R68" s="18">
        <x:v>193010.16899999999</x:v>
      </x:c>
      <x:c r="S68" t="s">
        <x:v>76</x:v>
      </x:c>
      <x:c r="T68" s="19">
        <x:f t="shared" si="76"/>
        <x:v>193010.16899999999</x:v>
      </x:c>
      <x:c r="U68" s="20">
        <x:v>9</x:v>
      </x:c>
      <x:c r="V68" t="s">
        <x:v>77</x:v>
      </x:c>
      <x:c r="W68" s="19" t="s">
        <x:v>78</x:v>
      </x:c>
      <x:c r="X68" s="21" t="n">
        <x:f>2*U68*T68*10000/1000000000</x:f>
        <x:v>34.74183042</x:v>
      </x:c>
      <x:c r="Y68" s="21" t="n">
        <x:f>1.35*T68*10000/1000000</x:f>
        <x:v>2605.6372815</x:v>
      </x:c>
      <x:c r="Z68" s="21" t="n">
        <x:f>1.3*T68*10000/1000000</x:f>
        <x:v>2509.132197</x:v>
      </x:c>
      <x:c r="AA68" s="21" t="n">
        <x:f>0.03*T68*10000/1000000</x:f>
        <x:v>57.903050699999994</x:v>
      </x:c>
      <x:c r="AB68" s="21" t="n">
        <x:f>0.03*T68*10000/1000000</x:f>
        <x:v>57.903050699999994</x:v>
      </x:c>
      <x:c r="AC68" s="21"/>
      <x:c r="AD68" s="21"/>
      <x:c r="AE68" s="21" t="n">
        <x:f>0.05*T68*10000/1000000</x:f>
        <x:v>96.5050845</x:v>
      </x:c>
      <x:c r="AF68" s="21"/>
      <x:c r="AG68" s="19" t="s">
        <x:v>75</x:v>
      </x:c>
      <x:c r="AH68" s="18">
        <x:v>14117.698</x:v>
      </x:c>
      <x:c r="AI68" t="s">
        <x:v>76</x:v>
      </x:c>
      <x:c r="AJ68" s="19">
        <x:f t="shared" si="77"/>
        <x:v>14117.698</x:v>
      </x:c>
      <x:c r="AK68" s="20">
        <x:v>102</x:v>
      </x:c>
      <x:c r="AL68" t="s">
        <x:v>77</x:v>
      </x:c>
      <x:c r="AM68" s="19" t="s">
        <x:v>78</x:v>
      </x:c>
      <x:c r="AN68" s="21" t="n">
        <x:f>2*AK68*AJ68*10000/1000000000</x:f>
        <x:v>28.80010392</x:v>
      </x:c>
      <x:c r="AO68" s="21" t="n">
        <x:f>1.35*AJ68*10000/1000000</x:f>
        <x:v>190.58892300000002</x:v>
      </x:c>
      <x:c r="AP68" s="21" t="n">
        <x:f>1.3*AJ68*10000/1000000</x:f>
        <x:v>183.53007400000004</x:v>
      </x:c>
      <x:c r="AQ68" s="21" t="n">
        <x:f>0.03*AJ68*10000/1000000</x:f>
        <x:v>4.235309399999999</x:v>
      </x:c>
      <x:c r="AR68" s="21" t="n">
        <x:f>0.03*AJ68*10000/1000000</x:f>
        <x:v>4.235309399999999</x:v>
      </x:c>
      <x:c r="AS68" s="21"/>
      <x:c r="AT68" s="21"/>
      <x:c r="AU68" s="21" t="n">
        <x:f>0.02*AJ68*10000/1000000</x:f>
        <x:v>2.8235396</x:v>
      </x:c>
      <x:c r="AV68" s="21"/>
      <x:c r="AW68" t="s">
        <x:v>78</x:v>
      </x:c>
      <x:c r="AX68" s="19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t="s">
        <x:v>89</x:v>
      </x:c>
      <x:c r="BI68" s="18">
        <x:v>113</x:v>
      </x:c>
      <x:c r="BJ68" s="18">
        <x:v>37</x:v>
      </x:c>
      <x:c r="BK68" s="18">
        <x:v>47.35</x:v>
      </x:c>
      <x:c r="BL68" s="18">
        <x:v>24</x:v>
      </x:c>
      <x:c r="BM68" s="18">
        <x:v>42</x:v>
      </x:c>
      <x:c r="BN68" s="18">
        <x:v>17.420000000000002</x:v>
      </x:c>
      <x:c r="BO68" s="22">
        <x:v>113.629819444444</x:v>
      </x:c>
      <x:c r="BP68" s="22">
        <x:v>24.704838888888901</x:v>
      </x:c>
      <x:c r="BQ68" s="18">
        <x:v>120</x:v>
      </x:c>
      <x:c r="BR68" s="18">
        <x:v>901066.39500000002</x:v>
      </x:c>
      <x:c r="BS68" s="18">
        <x:v>37.283000000000001</x:v>
      </x:c>
      <x:c r="BT68" s="18">
        <x:v>268.05</x:v>
      </x:c>
      <x:c r="BU68" s="18">
        <x:v>1781.3</x:v>
      </x:c>
      <x:c r="BV68" s="18">
        <x:v>442.60399999999998</x:v>
      </x:c>
      <x:c r="BW68" s="18">
        <x:v>215.20599999999999</x:v>
      </x:c>
      <x:c r="BX68" s="18">
        <x:v>19.07</x:v>
      </x:c>
      <x:c r="BY68" s="18">
        <x:v>34245.866999999998</x:v>
      </x:c>
      <x:c r="BZ68" s="18">
        <x:v>34245.866999999998</x:v>
      </x:c>
      <x:c r="CA68" s="23">
        <x:f t="shared" si="65"/>
        <x:v>63.541934339999997</x:v>
      </x:c>
      <x:c r="CB68" s="23">
        <x:f t="shared" si="66"/>
        <x:v>2796.2262044999998</x:v>
      </x:c>
      <x:c r="CC68" s="23">
        <x:f t="shared" si="67"/>
        <x:v>2692.6622710000001</x:v>
      </x:c>
      <x:c r="CD68" s="23">
        <x:f t="shared" si="68"/>
        <x:v>62.138360099999993</x:v>
      </x:c>
      <x:c r="CE68" s="23">
        <x:f t="shared" si="69"/>
        <x:v>62.138360099999993</x:v>
      </x:c>
      <x:c r="CF68" s="23">
        <x:f t="shared" si="70"/>
        <x:v>0</x:v>
      </x:c>
      <x:c r="CG68" s="23">
        <x:f t="shared" si="71"/>
        <x:v>0</x:v>
      </x:c>
      <x:c r="CH68" s="23">
        <x:f t="shared" si="72"/>
        <x:v>99.328624099999999</x:v>
      </x:c>
      <x:c r="CI68" s="23">
        <x:f t="shared" si="73"/>
        <x:v>0</x:v>
      </x:c>
      <x:c r="CJ68" s="24" t="s">
        <x:v>216</x:v>
      </x:c>
      <x:c r="CK68" s="29">
        <x:v>85.8</x:v>
      </x:c>
      <x:c r="CL68" s="26" t="s">
        <x:v>97</x:v>
      </x:c>
      <x:c r="CM68" s="28">
        <x:v>65</x:v>
      </x:c>
      <x:c r="CN68" s="30" t="s">
        <x:v>154</x:v>
      </x:c>
      <x:c r="CO68" s="27">
        <x:v>99.8</x:v>
      </x:c>
      <x:c r="CP68" s="27">
        <x:v>99.6</x:v>
      </x:c>
      <x:c r="CQ68" s="26">
        <x:f t="shared" si="74"/>
        <x:v>9.0229546762800013</x:v>
      </x:c>
      <x:c r="CR68" s="26">
        <x:f t="shared" si="75"/>
        <x:v>978.67917157499983</x:v>
      </x:c>
      <x:c r="CS68" s="26">
        <x:f t="shared" si="78"/>
        <x:v>2692.6622710000001</x:v>
      </x:c>
      <x:c r="CT68" s="26">
        <x:f t="shared" si="43"/>
        <x:v>0.12427672020000009</x:v>
      </x:c>
      <x:c r="CU68" s="26">
        <x:f t="shared" si="44"/>
        <x:v>0.24855344040000019</x:v>
      </x:c>
      <x:c r="CV68" s="26">
        <x:f t="shared" si="45"/>
        <x:v>0</x:v>
      </x:c>
      <x:c r="CW68" s="26">
        <x:f t="shared" si="46"/>
        <x:v>0</x:v>
      </x:c>
      <x:c r="CX68" s="26">
        <x:f t="shared" si="79"/>
        <x:v>99.328624099999999</x:v>
      </x:c>
      <x:c r="CY68" s="26">
        <x:f t="shared" si="80"/>
        <x:v>0</x:v>
      </x:c>
    </x:row>
    <x:row r="69">
      <x:c r="A69" s="18">
        <x:v>2022</x:v>
      </x:c>
      <x:c r="B69" t="s">
        <x:v>209</x:v>
      </x:c>
      <x:c r="C69" t="s">
        <x:v>210</x:v>
      </x:c>
      <x:c r="D69" t="s">
        <x:v>211</x:v>
      </x:c>
      <x:c r="E69" s="18">
        <x:v>440205</x:v>
      </x:c>
      <x:c r="F69" t="s">
        <x:v>212</x:v>
      </x:c>
      <x:c r="G69" t="s">
        <x:v>199</x:v>
      </x:c>
      <x:c r="H69" s="18">
        <x:v>3120</x:v>
      </x:c>
      <x:c r="I69" t="s">
        <x:v>213</x:v>
      </x:c>
      <x:c r="J69" t="s">
        <x:v>214</x:v>
      </x:c>
      <x:c r="K69" t="s">
        <x:v>72</x:v>
      </x:c>
      <x:c r="L69" s="18">
        <x:v>13.5</x:v>
      </x:c>
      <x:c r="M69" t="s">
        <x:v>73</x:v>
      </x:c>
      <x:c r="N69" s="18">
        <x:v>440</x:v>
      </x:c>
      <x:c r="O69" t="s">
        <x:v>88</x:v>
      </x:c>
      <x:c r="P69" s="18">
        <x:v>12</x:v>
      </x:c>
      <x:c r="Q69" s="19" t="s">
        <x:v>215</x:v>
      </x:c>
      <x:c r="R69" s="18">
        <x:v>196745.16399999999</x:v>
      </x:c>
      <x:c r="S69" t="s">
        <x:v>76</x:v>
      </x:c>
      <x:c r="T69" s="19">
        <x:f t="shared" si="76"/>
        <x:v>196745.16399999999</x:v>
      </x:c>
      <x:c r="U69" s="20">
        <x:v>9</x:v>
      </x:c>
      <x:c r="V69" t="s">
        <x:v>77</x:v>
      </x:c>
      <x:c r="W69" s="19" t="s">
        <x:v>78</x:v>
      </x:c>
      <x:c r="X69" s="21" t="n">
        <x:f>2*U69*T69*10000/1000000000</x:f>
        <x:v>35.414129519999996</x:v>
      </x:c>
      <x:c r="Y69" s="21" t="n">
        <x:f>1.35*T69*10000/1000000</x:f>
        <x:v>2656.059714</x:v>
      </x:c>
      <x:c r="Z69" s="21" t="n">
        <x:f>1.3*T69*10000/1000000</x:f>
        <x:v>2557.687132</x:v>
      </x:c>
      <x:c r="AA69" s="21" t="n">
        <x:f>0.03*T69*10000/1000000</x:f>
        <x:v>59.0235492</x:v>
      </x:c>
      <x:c r="AB69" s="21" t="n">
        <x:f>0.03*T69*10000/1000000</x:f>
        <x:v>59.0235492</x:v>
      </x:c>
      <x:c r="AC69" s="21"/>
      <x:c r="AD69" s="21"/>
      <x:c r="AE69" s="21" t="n">
        <x:f>0.05*T69*10000/1000000</x:f>
        <x:v>98.372582</x:v>
      </x:c>
      <x:c r="AF69" s="21"/>
      <x:c r="AG69" s="19" t="s">
        <x:v>75</x:v>
      </x:c>
      <x:c r="AH69" s="18">
        <x:v>14420.544</x:v>
      </x:c>
      <x:c r="AI69" t="s">
        <x:v>76</x:v>
      </x:c>
      <x:c r="AJ69" s="19">
        <x:f t="shared" si="77"/>
        <x:v>14420.544</x:v>
      </x:c>
      <x:c r="AK69" s="20">
        <x:v>102</x:v>
      </x:c>
      <x:c r="AL69" t="s">
        <x:v>77</x:v>
      </x:c>
      <x:c r="AM69" s="19" t="s">
        <x:v>78</x:v>
      </x:c>
      <x:c r="AN69" s="21" t="n">
        <x:f>2*AK69*AJ69*10000/1000000000</x:f>
        <x:v>29.417909759999997</x:v>
      </x:c>
      <x:c r="AO69" s="21" t="n">
        <x:f>1.35*AJ69*10000/1000000</x:f>
        <x:v>194.677344</x:v>
      </x:c>
      <x:c r="AP69" s="21" t="n">
        <x:f>1.3*AJ69*10000/1000000</x:f>
        <x:v>187.467072</x:v>
      </x:c>
      <x:c r="AQ69" s="21" t="n">
        <x:f>0.03*AJ69*10000/1000000</x:f>
        <x:v>4.3261632</x:v>
      </x:c>
      <x:c r="AR69" s="21" t="n">
        <x:f>0.03*AJ69*10000/1000000</x:f>
        <x:v>4.3261632</x:v>
      </x:c>
      <x:c r="AS69" s="21"/>
      <x:c r="AT69" s="21"/>
      <x:c r="AU69" s="21" t="n">
        <x:f>0.02*AJ69*10000/1000000</x:f>
        <x:v>2.8841088000000004</x:v>
      </x:c>
      <x:c r="AV69" s="21"/>
      <x:c r="AW69" t="s">
        <x:v>78</x:v>
      </x:c>
      <x:c r="AX69" s="19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t="s">
        <x:v>89</x:v>
      </x:c>
      <x:c r="BI69" s="18">
        <x:v>113</x:v>
      </x:c>
      <x:c r="BJ69" s="18">
        <x:v>37</x:v>
      </x:c>
      <x:c r="BK69" s="18">
        <x:v>47.35</x:v>
      </x:c>
      <x:c r="BL69" s="18">
        <x:v>24</x:v>
      </x:c>
      <x:c r="BM69" s="18">
        <x:v>42</x:v>
      </x:c>
      <x:c r="BN69" s="18">
        <x:v>17.420000000000002</x:v>
      </x:c>
      <x:c r="BO69" s="22">
        <x:v>113.629819444444</x:v>
      </x:c>
      <x:c r="BP69" s="22">
        <x:v>24.704838888888901</x:v>
      </x:c>
      <x:c r="BQ69" s="18">
        <x:v>120</x:v>
      </x:c>
      <x:c r="BR69" s="18">
        <x:v>0</x:v>
      </x:c>
      <x:c r="BS69" s="18">
        <x:v>38.01</x:v>
      </x:c>
      <x:c r="BT69" t="s">
        <x:v>78</x:v>
      </x:c>
      <x:c r="BU69" s="18">
        <x:v>1816.0250000000001</x:v>
      </x:c>
      <x:c r="BV69" t="s">
        <x:v>78</x:v>
      </x:c>
      <x:c r="BW69" s="18">
        <x:v>219.40100000000001</x:v>
      </x:c>
      <x:c r="BX69" t="s">
        <x:v>78</x:v>
      </x:c>
      <x:c r="BY69" s="18">
        <x:v>34918.472000000002</x:v>
      </x:c>
      <x:c r="BZ69" s="18">
        <x:v>34918.472000000002</x:v>
      </x:c>
      <x:c r="CA69" s="23">
        <x:f t="shared" si="65"/>
        <x:v>64.832039279999989</x:v>
      </x:c>
      <x:c r="CB69" s="23">
        <x:f t="shared" si="66"/>
        <x:v>2850.7370580000002</x:v>
      </x:c>
      <x:c r="CC69" s="23">
        <x:f t="shared" si="67"/>
        <x:v>2745.1542039999999</x:v>
      </x:c>
      <x:c r="CD69" s="23">
        <x:f t="shared" si="68"/>
        <x:v>63.349712400000001</x:v>
      </x:c>
      <x:c r="CE69" s="23">
        <x:f t="shared" si="69"/>
        <x:v>63.349712400000001</x:v>
      </x:c>
      <x:c r="CF69" s="23">
        <x:f t="shared" si="70"/>
        <x:v>0</x:v>
      </x:c>
      <x:c r="CG69" s="23">
        <x:f t="shared" si="71"/>
        <x:v>0</x:v>
      </x:c>
      <x:c r="CH69" s="23">
        <x:f t="shared" si="72"/>
        <x:v>101.2566908</x:v>
      </x:c>
      <x:c r="CI69" s="23">
        <x:f t="shared" si="73"/>
        <x:v>0</x:v>
      </x:c>
      <x:c r="CJ69" s="24" t="s">
        <x:v>216</x:v>
      </x:c>
      <x:c r="CK69" s="29">
        <x:v>85.8</x:v>
      </x:c>
      <x:c r="CL69" s="26" t="s">
        <x:v>97</x:v>
      </x:c>
      <x:c r="CM69" s="28">
        <x:v>65</x:v>
      </x:c>
      <x:c r="CN69" s="30" t="s">
        <x:v>154</x:v>
      </x:c>
      <x:c r="CO69" s="27">
        <x:v>99.8</x:v>
      </x:c>
      <x:c r="CP69" s="27">
        <x:v>99.6</x:v>
      </x:c>
      <x:c r="CQ69" s="26">
        <x:f t="shared" si="74"/>
        <x:v>9.2061495777599998</x:v>
      </x:c>
      <x:c r="CR69" s="26">
        <x:f t="shared" si="75"/>
        <x:v>997.75797030000001</x:v>
      </x:c>
      <x:c r="CS69" s="26">
        <x:f t="shared" si="78"/>
        <x:v>2745.1542039999999</x:v>
      </x:c>
      <x:c r="CT69" s="26">
        <x:f t="shared" si="43"/>
        <x:v>0.12669942480000013</x:v>
      </x:c>
      <x:c r="CU69" s="26">
        <x:f t="shared" si="44"/>
        <x:v>0.25339884960000025</x:v>
      </x:c>
      <x:c r="CV69" s="26">
        <x:f t="shared" si="45"/>
        <x:v>0</x:v>
      </x:c>
      <x:c r="CW69" s="26">
        <x:f t="shared" si="46"/>
        <x:v>0</x:v>
      </x:c>
      <x:c r="CX69" s="26">
        <x:f t="shared" si="79"/>
        <x:v>101.2566908</x:v>
      </x:c>
      <x:c r="CY69" s="26">
        <x:f t="shared" si="80"/>
        <x:v>0</x:v>
      </x:c>
    </x:row>
    <x:row r="70">
      <x:c r="A70" s="18">
        <x:v>2022</x:v>
      </x:c>
      <x:c r="B70" t="s">
        <x:v>217</x:v>
      </x:c>
      <x:c r="C70" t="s">
        <x:v>218</x:v>
      </x:c>
      <x:c r="D70" t="s">
        <x:v>219</x:v>
      </x:c>
      <x:c r="E70" s="18">
        <x:v>440205</x:v>
      </x:c>
      <x:c r="F70" t="s">
        <x:v>212</x:v>
      </x:c>
      <x:c r="G70" t="s">
        <x:v>199</x:v>
      </x:c>
      <x:c r="H70" s="18">
        <x:v>4411</x:v>
      </x:c>
      <x:c r="I70" t="s">
        <x:v>102</x:v>
      </x:c>
      <x:c r="J70" t="s">
        <x:v>220</x:v>
      </x:c>
      <x:c r="K70" t="s">
        <x:v>109</x:v>
      </x:c>
      <x:c r="L70" s="20">
        <x:v>60</x:v>
      </x:c>
      <x:c r="M70" t="s">
        <x:v>110</x:v>
      </x:c>
      <x:c r="N70" s="18">
        <x:v>2012</x:v>
      </x:c>
      <x:c r="O70" t="s">
        <x:v>88</x:v>
      </x:c>
      <x:c r="P70" s="18">
        <x:v>4</x:v>
      </x:c>
      <x:c r="Q70" s="19" t="s">
        <x:v>111</x:v>
      </x:c>
      <x:c r="R70" s="18">
        <x:v>971583</x:v>
      </x:c>
      <x:c r="S70" t="s">
        <x:v>112</x:v>
      </x:c>
      <x:c r="T70" s="19" t="n">
        <x:f t="shared" ref="T70:T81" si="81">R70</x:f>
        <x:v>971583</x:v>
      </x:c>
      <x:c r="U70" s="20">
        <x:v>0.8</x:v>
      </x:c>
      <x:c r="V70" t="s">
        <x:v>113</x:v>
      </x:c>
      <x:c r="W70" s="20">
        <x:v>18.64</x:v>
      </x:c>
      <x:c r="X70" s="21" t="n">
        <x:f t="shared" ref="X70:X79" si="82">2*U70/100*(1-0.15)*T70</x:f>
        <x:v>13213.5288</x:v>
      </x:c>
      <x:c r="Y70" s="21" t="n">
        <x:f>7.21*T70/1000</x:f>
        <x:v>7005.113429999999</x:v>
      </x:c>
      <x:c r="Z70" s="21" t="n">
        <x:f t="shared" ref="Z70:Z79" si="83">2*T70/1000</x:f>
        <x:v>1943.166</x:v>
      </x:c>
      <x:c r="AA70" s="21" t="n">
        <x:f>W70/100*(1-0.25)*0.23*T70</x:f>
        <x:v>31240.279782</x:v>
      </x:c>
      <x:c r="AB70" s="21" t="n">
        <x:f>W70/100*(1-0.25)*0.06*T70</x:f>
        <x:v>8149.638204</x:v>
      </x:c>
      <x:c r="AC70" s="21" t="n">
        <x:f t="shared" ref="AC70:AC79" si="84">0.002*AB70</x:f>
        <x:v>16.299276408</x:v>
      </x:c>
      <x:c r="AD70" s="21"/>
      <x:c r="AE70" s="21" t="n">
        <x:f t="shared" ref="AE70:AE79" si="85">0.04*T70/1000</x:f>
        <x:v>38.86332</x:v>
      </x:c>
      <x:c r="AF70" s="21"/>
      <x:c r="AG70" s="19" t="s">
        <x:v>78</x:v>
      </x:c>
      <x:c r="AH70" t="s">
        <x:v>78</x:v>
      </x:c>
      <x:c r="AI70" t="s">
        <x:v>78</x:v>
      </x:c>
      <x:c r="AJ70" s="19"/>
      <x:c r="AK70" s="19" t="s">
        <x:v>78</x:v>
      </x:c>
      <x:c r="AL70" t="s">
        <x:v>78</x:v>
      </x:c>
      <x:c r="AM70" s="19" t="s">
        <x:v>78</x:v>
      </x:c>
      <x:c r="AN70" s="21"/>
      <x:c r="AO70" s="21"/>
      <x:c r="AP70" s="21"/>
      <x:c r="AQ70" s="21"/>
      <x:c r="AR70" s="21"/>
      <x:c r="AS70" s="21"/>
      <x:c r="AT70" s="21"/>
      <x:c r="AU70" s="21"/>
      <x:c r="AV70" s="21"/>
      <x:c r="AW70" t="s">
        <x:v>78</x:v>
      </x:c>
      <x:c r="AX70" s="19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t="s">
        <x:v>83</x:v>
      </x:c>
      <x:c r="BI70" s="18">
        <x:v>113</x:v>
      </x:c>
      <x:c r="BJ70" s="18">
        <x:v>34</x:v>
      </x:c>
      <x:c r="BK70" s="18">
        <x:v>52</x:v>
      </x:c>
      <x:c r="BL70" s="18">
        <x:v>24</x:v>
      </x:c>
      <x:c r="BM70" s="18">
        <x:v>35</x:v>
      </x:c>
      <x:c r="BN70" s="18">
        <x:v>8</x:v>
      </x:c>
      <x:c r="BO70" s="22">
        <x:v>113.581111111111</x:v>
      </x:c>
      <x:c r="BP70" s="22">
        <x:v>24.585555555555601</x:v>
      </x:c>
      <x:c r="BQ70" s="18">
        <x:v>240</x:v>
      </x:c>
      <x:c r="BR70" s="18">
        <x:v>784772.38800000004</x:v>
      </x:c>
      <x:c r="BS70" s="18">
        <x:v>13244.619000000001</x:v>
      </x:c>
      <x:c r="BT70" s="18">
        <x:v>113.304</x:v>
      </x:c>
      <x:c r="BU70" s="18">
        <x:v>2467.8209999999999</x:v>
      </x:c>
      <x:c r="BV70" s="18">
        <x:v>293.36</x:v>
      </x:c>
      <x:c r="BW70" s="18">
        <x:v>175679.69500000001</x:v>
      </x:c>
      <x:c r="BX70" s="18">
        <x:v>21.515999999999998</x:v>
      </x:c>
      <x:c r="BY70" s="18">
        <x:v>11464.679</x:v>
      </x:c>
      <x:c r="BZ70" s="18">
        <x:v>11464.679</x:v>
      </x:c>
      <x:c r="CA70" s="23">
        <x:f t="shared" si="65"/>
        <x:v>13213.5288</x:v>
      </x:c>
      <x:c r="CB70" s="23">
        <x:f t="shared" si="66"/>
        <x:v>7005.1134299999994</x:v>
      </x:c>
      <x:c r="CC70" s="23">
        <x:f t="shared" si="67"/>
        <x:v>1943.1659999999999</x:v>
      </x:c>
      <x:c r="CD70" s="23">
        <x:f t="shared" si="68"/>
        <x:v>31240.279782000001</x:v>
      </x:c>
      <x:c r="CE70" s="23">
        <x:f t="shared" si="69"/>
        <x:v>8149.6382039999999</x:v>
      </x:c>
      <x:c r="CF70" s="23">
        <x:f t="shared" si="70"/>
        <x:v>16.299276408000001</x:v>
      </x:c>
      <x:c r="CG70" s="23">
        <x:f t="shared" si="71"/>
        <x:v>0</x:v>
      </x:c>
      <x:c r="CH70" s="23">
        <x:f t="shared" si="72"/>
        <x:v>38.863320000000002</x:v>
      </x:c>
      <x:c r="CI70" s="23">
        <x:f t="shared" si="73"/>
        <x:v>0</x:v>
      </x:c>
      <x:c r="CJ70" s="24" t="s">
        <x:v>114</x:v>
      </x:c>
      <x:c r="CK70" s="29">
        <x:v>99</x:v>
      </x:c>
      <x:c r="CL70" s="26" t="s">
        <x:v>104</x:v>
      </x:c>
      <x:c r="CM70" s="28">
        <x:v>83</x:v>
      </x:c>
      <x:c r="CN70" s="30" t="s">
        <x:v>132</x:v>
      </x:c>
      <x:c r="CO70" s="27">
        <x:v>99.4</x:v>
      </x:c>
      <x:c r="CP70" s="27">
        <x:v>98.3</x:v>
      </x:c>
      <x:c r="CQ70" s="26">
        <x:f t="shared" si="74"/>
        <x:v>132.13528800000012</x:v>
      </x:c>
      <x:c r="CR70" s="26">
        <x:f t="shared" si="75"/>
        <x:v>1190.8692831000001</x:v>
      </x:c>
      <x:c r="CS70" s="26">
        <x:f t="shared" si="78"/>
        <x:v>1943.1659999999999</x:v>
      </x:c>
      <x:c r="CT70" s="26">
        <x:f t="shared" si="43"/>
        <x:v>187.44167869199671</x:v>
      </x:c>
      <x:c r="CU70" s="26">
        <x:f t="shared" si="44"/>
        <x:v>138.54384946800013</x:v>
      </x:c>
      <x:c r="CV70" s="26">
        <x:f t="shared" si="45"/>
        <x:v>0.27708769893600027</x:v>
      </x:c>
      <x:c r="CW70" s="26">
        <x:f t="shared" si="46"/>
        <x:v>0</x:v>
      </x:c>
      <x:c r="CX70" s="26">
        <x:f t="shared" si="79"/>
        <x:v>38.863320000000002</x:v>
      </x:c>
      <x:c r="CY70" s="26">
        <x:f t="shared" si="80"/>
        <x:v>0</x:v>
      </x:c>
    </x:row>
    <x:row r="71">
      <x:c r="A71" s="18">
        <x:v>2022</x:v>
      </x:c>
      <x:c r="B71" t="s">
        <x:v>217</x:v>
      </x:c>
      <x:c r="C71" t="s">
        <x:v>218</x:v>
      </x:c>
      <x:c r="D71" t="s">
        <x:v>219</x:v>
      </x:c>
      <x:c r="E71" s="18">
        <x:v>440205</x:v>
      </x:c>
      <x:c r="F71" t="s">
        <x:v>212</x:v>
      </x:c>
      <x:c r="G71" t="s">
        <x:v>199</x:v>
      </x:c>
      <x:c r="H71" s="18">
        <x:v>4411</x:v>
      </x:c>
      <x:c r="I71" t="s">
        <x:v>102</x:v>
      </x:c>
      <x:c r="J71" t="s">
        <x:v>220</x:v>
      </x:c>
      <x:c r="K71" t="s">
        <x:v>109</x:v>
      </x:c>
      <x:c r="L71" s="20">
        <x:v>60</x:v>
      </x:c>
      <x:c r="M71" t="s">
        <x:v>110</x:v>
      </x:c>
      <x:c r="N71" s="18">
        <x:v>2012</x:v>
      </x:c>
      <x:c r="O71" t="s">
        <x:v>88</x:v>
      </x:c>
      <x:c r="P71" s="18">
        <x:v>4</x:v>
      </x:c>
      <x:c r="Q71" s="19" t="s">
        <x:v>111</x:v>
      </x:c>
      <x:c r="R71" s="18">
        <x:v>688652</x:v>
      </x:c>
      <x:c r="S71" t="s">
        <x:v>112</x:v>
      </x:c>
      <x:c r="T71" s="19">
        <x:f t="shared" si="81"/>
        <x:v>688652</x:v>
      </x:c>
      <x:c r="U71" s="20">
        <x:v>0.83</x:v>
      </x:c>
      <x:c r="V71" t="s">
        <x:v>113</x:v>
      </x:c>
      <x:c r="W71" s="20">
        <x:v>19.64</x:v>
      </x:c>
      <x:c r="X71" s="21">
        <x:f t="shared" si="82"/>
        <x:v>9716.879719999999</x:v>
      </x:c>
      <x:c r="Y71" s="21" t="n">
        <x:f>7.21*T71/1000</x:f>
        <x:v>4965.18092</x:v>
      </x:c>
      <x:c r="Z71" s="21">
        <x:f t="shared" si="83"/>
        <x:v>1377.3040000000001</x:v>
      </x:c>
      <x:c r="AA71" s="21" t="n">
        <x:f>W71/100*(1-0.25)*0.23*T71</x:f>
        <x:v>23330.841108000004</x:v>
      </x:c>
      <x:c r="AB71" s="21" t="n">
        <x:f>W71/100*(1-0.25)*0.06*T71</x:f>
        <x:v>6086.3063760000005</x:v>
      </x:c>
      <x:c r="AC71" s="21">
        <x:f t="shared" si="84"/>
        <x:v>12.172612752000001</x:v>
      </x:c>
      <x:c r="AD71" s="21"/>
      <x:c r="AE71" s="21">
        <x:f t="shared" si="85"/>
        <x:v>27.546080000000003</x:v>
      </x:c>
      <x:c r="AF71" s="21"/>
      <x:c r="AG71" s="19" t="s">
        <x:v>78</x:v>
      </x:c>
      <x:c r="AH71" t="s">
        <x:v>78</x:v>
      </x:c>
      <x:c r="AI71" t="s">
        <x:v>78</x:v>
      </x:c>
      <x:c r="AJ71" s="19"/>
      <x:c r="AK71" s="19" t="s">
        <x:v>78</x:v>
      </x:c>
      <x:c r="AL71" t="s">
        <x:v>78</x:v>
      </x:c>
      <x:c r="AM71" s="19" t="s">
        <x:v>78</x:v>
      </x:c>
      <x:c r="AN71" s="21"/>
      <x:c r="AO71" s="21"/>
      <x:c r="AP71" s="21"/>
      <x:c r="AQ71" s="21"/>
      <x:c r="AR71" s="21"/>
      <x:c r="AS71" s="21"/>
      <x:c r="AT71" s="21"/>
      <x:c r="AU71" s="21"/>
      <x:c r="AV71" s="21"/>
      <x:c r="AW71" t="s">
        <x:v>78</x:v>
      </x:c>
      <x:c r="AX71" s="19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t="s">
        <x:v>79</x:v>
      </x:c>
      <x:c r="BI71" s="18">
        <x:v>113</x:v>
      </x:c>
      <x:c r="BJ71" s="18">
        <x:v>34</x:v>
      </x:c>
      <x:c r="BK71" s="18">
        <x:v>52</x:v>
      </x:c>
      <x:c r="BL71" s="18">
        <x:v>24</x:v>
      </x:c>
      <x:c r="BM71" s="18">
        <x:v>35</x:v>
      </x:c>
      <x:c r="BN71" s="18">
        <x:v>8</x:v>
      </x:c>
      <x:c r="BO71" s="22">
        <x:v>113.581111111111</x:v>
      </x:c>
      <x:c r="BP71" s="22">
        <x:v>24.585555555555601</x:v>
      </x:c>
      <x:c r="BQ71" s="18">
        <x:v>240</x:v>
      </x:c>
      <x:c r="BR71" s="18">
        <x:v>735996.48</x:v>
      </x:c>
      <x:c r="BS71" s="18">
        <x:v>9739.7430000000004</x:v>
      </x:c>
      <x:c r="BT71" s="18">
        <x:v>126.23399999999999</x:v>
      </x:c>
      <x:c r="BU71" s="18">
        <x:v>1749.1759999999999</x:v>
      </x:c>
      <x:c r="BV71" s="18">
        <x:v>266.62900000000002</x:v>
      </x:c>
      <x:c r="BW71" s="18">
        <x:v>130856.276</x:v>
      </x:c>
      <x:c r="BX71" s="18">
        <x:v>12.029</x:v>
      </x:c>
      <x:c r="BY71" s="18">
        <x:v>8126.0940000000001</x:v>
      </x:c>
      <x:c r="BZ71" s="18">
        <x:v>8126.0940000000001</x:v>
      </x:c>
      <x:c r="CA71" s="23">
        <x:f t="shared" si="65"/>
        <x:v>9716.879719999999</x:v>
      </x:c>
      <x:c r="CB71" s="23">
        <x:f t="shared" si="66"/>
        <x:v>4965.1809199999998</x:v>
      </x:c>
      <x:c r="CC71" s="23">
        <x:f t="shared" si="67"/>
        <x:v>1377.3040000000001</x:v>
      </x:c>
      <x:c r="CD71" s="23">
        <x:f t="shared" si="68"/>
        <x:v>23330.841108000004</x:v>
      </x:c>
      <x:c r="CE71" s="23">
        <x:f t="shared" si="69"/>
        <x:v>6086.3063760000005</x:v>
      </x:c>
      <x:c r="CF71" s="23">
        <x:f t="shared" si="70"/>
        <x:v>12.172612752000001</x:v>
      </x:c>
      <x:c r="CG71" s="23">
        <x:f t="shared" si="71"/>
        <x:v>0</x:v>
      </x:c>
      <x:c r="CH71" s="23">
        <x:f t="shared" si="72"/>
        <x:v>27.546080000000003</x:v>
      </x:c>
      <x:c r="CI71" s="23">
        <x:f t="shared" si="73"/>
        <x:v>0</x:v>
      </x:c>
      <x:c r="CJ71" s="24" t="s">
        <x:v>114</x:v>
      </x:c>
      <x:c r="CK71" s="29">
        <x:v>99</x:v>
      </x:c>
      <x:c r="CL71" s="26" t="s">
        <x:v>104</x:v>
      </x:c>
      <x:c r="CM71" s="28">
        <x:v>83</x:v>
      </x:c>
      <x:c r="CN71" s="30" t="s">
        <x:v>132</x:v>
      </x:c>
      <x:c r="CO71" s="27">
        <x:v>99.4</x:v>
      </x:c>
      <x:c r="CP71" s="27">
        <x:v>98.3</x:v>
      </x:c>
      <x:c r="CQ71" s="26">
        <x:f t="shared" si="74"/>
        <x:v>97.168797200000071</x:v>
      </x:c>
      <x:c r="CR71" s="26">
        <x:f t="shared" si="75"/>
        <x:v>844.08075640000015</x:v>
      </x:c>
      <x:c r="CS71" s="26">
        <x:f t="shared" si="78"/>
        <x:v>1377.3040000000001</x:v>
      </x:c>
      <x:c r="CT71" s="26">
        <x:f t="shared" si="43"/>
        <x:v>139.98504664799756</x:v>
      </x:c>
      <x:c r="CU71" s="26">
        <x:f t="shared" si="44"/>
        <x:v>103.4672083920001</x:v>
      </x:c>
      <x:c r="CV71" s="26">
        <x:f t="shared" si="45"/>
        <x:v>0.20693441678400021</x:v>
      </x:c>
      <x:c r="CW71" s="26">
        <x:f t="shared" si="46"/>
        <x:v>0</x:v>
      </x:c>
      <x:c r="CX71" s="26">
        <x:f t="shared" si="79"/>
        <x:v>27.546080000000003</x:v>
      </x:c>
      <x:c r="CY71" s="26">
        <x:f t="shared" si="80"/>
        <x:v>0</x:v>
      </x:c>
    </x:row>
    <x:row r="72">
      <x:c r="A72" s="18">
        <x:v>2022</x:v>
      </x:c>
      <x:c r="B72" t="s">
        <x:v>217</x:v>
      </x:c>
      <x:c r="C72" t="s">
        <x:v>218</x:v>
      </x:c>
      <x:c r="D72" t="s">
        <x:v>219</x:v>
      </x:c>
      <x:c r="E72" s="18">
        <x:v>440205</x:v>
      </x:c>
      <x:c r="F72" t="s">
        <x:v>212</x:v>
      </x:c>
      <x:c r="G72" t="s">
        <x:v>199</x:v>
      </x:c>
      <x:c r="H72" s="18">
        <x:v>4411</x:v>
      </x:c>
      <x:c r="I72" t="s">
        <x:v>102</x:v>
      </x:c>
      <x:c r="J72" t="s">
        <x:v>220</x:v>
      </x:c>
      <x:c r="K72" t="s">
        <x:v>109</x:v>
      </x:c>
      <x:c r="L72" s="20">
        <x:v>33</x:v>
      </x:c>
      <x:c r="M72" t="s">
        <x:v>110</x:v>
      </x:c>
      <x:c r="N72" s="18">
        <x:v>1025</x:v>
      </x:c>
      <x:c r="O72" t="s">
        <x:v>88</x:v>
      </x:c>
      <x:c r="P72" s="18">
        <x:v>4</x:v>
      </x:c>
      <x:c r="Q72" s="19" t="s">
        <x:v>111</x:v>
      </x:c>
      <x:c r="R72" s="18">
        <x:v>684208</x:v>
      </x:c>
      <x:c r="S72" t="s">
        <x:v>112</x:v>
      </x:c>
      <x:c r="T72" s="19">
        <x:f t="shared" si="81"/>
        <x:v>684208</x:v>
      </x:c>
      <x:c r="U72" s="20">
        <x:v>0.92</x:v>
      </x:c>
      <x:c r="V72" t="s">
        <x:v>113</x:v>
      </x:c>
      <x:c r="W72" s="20">
        <x:v>23.11</x:v>
      </x:c>
      <x:c r="X72" s="21">
        <x:f t="shared" si="82"/>
        <x:v>10701.013119999998</x:v>
      </x:c>
      <x:c r="Y72" s="21" t="n">
        <x:f>7.21*T72/1000</x:f>
        <x:v>4933.139679999999</x:v>
      </x:c>
      <x:c r="Z72" s="21">
        <x:f t="shared" si="83"/>
        <x:v>1368.4159999999999</x:v>
      </x:c>
      <x:c r="AA72" s="21" t="n">
        <x:f>W72/100*(1-0.25)*0.23*T72</x:f>
        <x:v>27275.780868</x:v>
      </x:c>
      <x:c r="AB72" s="21" t="n">
        <x:f>W72/100*(1-0.25)*0.06*T72</x:f>
        <x:v>7115.421096000001</x:v>
      </x:c>
      <x:c r="AC72" s="21">
        <x:f t="shared" si="84"/>
        <x:v>14.230842192000003</x:v>
      </x:c>
      <x:c r="AD72" s="21"/>
      <x:c r="AE72" s="21">
        <x:f t="shared" si="85"/>
        <x:v>27.368320000000001</x:v>
      </x:c>
      <x:c r="AF72" s="21"/>
      <x:c r="AG72" s="19" t="s">
        <x:v>78</x:v>
      </x:c>
      <x:c r="AH72" t="s">
        <x:v>78</x:v>
      </x:c>
      <x:c r="AI72" t="s">
        <x:v>78</x:v>
      </x:c>
      <x:c r="AJ72" s="19"/>
      <x:c r="AK72" s="19" t="s">
        <x:v>78</x:v>
      </x:c>
      <x:c r="AL72" t="s">
        <x:v>78</x:v>
      </x:c>
      <x:c r="AM72" s="19" t="s">
        <x:v>78</x:v>
      </x:c>
      <x:c r="AN72" s="21"/>
      <x:c r="AO72" s="21"/>
      <x:c r="AP72" s="21"/>
      <x:c r="AQ72" s="21"/>
      <x:c r="AR72" s="21"/>
      <x:c r="AS72" s="21"/>
      <x:c r="AT72" s="21"/>
      <x:c r="AU72" s="21"/>
      <x:c r="AV72" s="21"/>
      <x:c r="AW72" t="s">
        <x:v>78</x:v>
      </x:c>
      <x:c r="AX72" s="19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t="s">
        <x:v>81</x:v>
      </x:c>
      <x:c r="BI72" s="18">
        <x:v>113</x:v>
      </x:c>
      <x:c r="BJ72" s="18">
        <x:v>35</x:v>
      </x:c>
      <x:c r="BK72" s="18">
        <x:v>4</x:v>
      </x:c>
      <x:c r="BL72" s="18">
        <x:v>24</x:v>
      </x:c>
      <x:c r="BM72" s="18">
        <x:v>35</x:v>
      </x:c>
      <x:c r="BN72" s="18">
        <x:v>0</x:v>
      </x:c>
      <x:c r="BO72" s="22">
        <x:v>113.584444444444</x:v>
      </x:c>
      <x:c r="BP72" s="22">
        <x:v>24.5833333333333</x:v>
      </x:c>
      <x:c r="BQ72" s="18">
        <x:v>210</x:v>
      </x:c>
      <x:c r="BR72" s="18">
        <x:v>411620.49200000003</x:v>
      </x:c>
      <x:c r="BS72" s="18">
        <x:v>10688.424000000001</x:v>
      </x:c>
      <x:c r="BT72" s="18">
        <x:v>82.832999999999998</x:v>
      </x:c>
      <x:c r="BU72" s="18">
        <x:v>1648.941</x:v>
      </x:c>
      <x:c r="BV72" s="18">
        <x:v>143.28299999999999</x:v>
      </x:c>
      <x:c r="BW72" s="18">
        <x:v>153244.18700000001</x:v>
      </x:c>
      <x:c r="BX72" s="18">
        <x:v>6.9610000000000003</x:v>
      </x:c>
      <x:c r="BY72" s="18">
        <x:v>8073.6540000000005</x:v>
      </x:c>
      <x:c r="BZ72" s="18">
        <x:v>8073.6540000000005</x:v>
      </x:c>
      <x:c r="CA72" s="23">
        <x:f t="shared" si="65"/>
        <x:v>10701.013119999998</x:v>
      </x:c>
      <x:c r="CB72" s="23">
        <x:f t="shared" si="66"/>
        <x:v>4933.1396799999993</x:v>
      </x:c>
      <x:c r="CC72" s="23">
        <x:f t="shared" si="67"/>
        <x:v>1368.4159999999999</x:v>
      </x:c>
      <x:c r="CD72" s="23">
        <x:f t="shared" si="68"/>
        <x:v>27275.780868000002</x:v>
      </x:c>
      <x:c r="CE72" s="23">
        <x:f t="shared" si="69"/>
        <x:v>7115.4210960000009</x:v>
      </x:c>
      <x:c r="CF72" s="23">
        <x:f t="shared" si="70"/>
        <x:v>14.230842192000003</x:v>
      </x:c>
      <x:c r="CG72" s="23">
        <x:f t="shared" si="71"/>
        <x:v>0</x:v>
      </x:c>
      <x:c r="CH72" s="23">
        <x:f t="shared" si="72"/>
        <x:v>27.368320000000001</x:v>
      </x:c>
      <x:c r="CI72" s="23">
        <x:f t="shared" si="73"/>
        <x:v>0</x:v>
      </x:c>
      <x:c r="CJ72" s="24" t="s">
        <x:v>114</x:v>
      </x:c>
      <x:c r="CK72" s="29">
        <x:v>99</x:v>
      </x:c>
      <x:c r="CL72" s="26" t="s">
        <x:v>104</x:v>
      </x:c>
      <x:c r="CM72" s="28">
        <x:v>83</x:v>
      </x:c>
      <x:c r="CN72" s="30" t="s">
        <x:v>132</x:v>
      </x:c>
      <x:c r="CO72" s="27">
        <x:v>99.4</x:v>
      </x:c>
      <x:c r="CP72" s="27">
        <x:v>98.3</x:v>
      </x:c>
      <x:c r="CQ72" s="26">
        <x:f t="shared" si="74"/>
        <x:v>107.01013120000007</x:v>
      </x:c>
      <x:c r="CR72" s="26">
        <x:f t="shared" si="75"/>
        <x:v>838.63374560000011</x:v>
      </x:c>
      <x:c r="CS72" s="26">
        <x:f t="shared" si="78"/>
        <x:v>1368.4159999999999</x:v>
      </x:c>
      <x:c r="CT72" s="26">
        <x:f t="shared" si="43"/>
        <x:v>163.65468520799712</x:v>
      </x:c>
      <x:c r="CU72" s="26">
        <x:f t="shared" si="44"/>
        <x:v>120.96215863200013</x:v>
      </x:c>
      <x:c r="CV72" s="26">
        <x:f t="shared" si="45"/>
        <x:v>0.24192431726400027</x:v>
      </x:c>
      <x:c r="CW72" s="26">
        <x:f t="shared" si="46"/>
        <x:v>0</x:v>
      </x:c>
      <x:c r="CX72" s="26">
        <x:f t="shared" si="79"/>
        <x:v>27.368320000000001</x:v>
      </x:c>
      <x:c r="CY72" s="26">
        <x:f t="shared" si="80"/>
        <x:v>0</x:v>
      </x:c>
    </x:row>
    <x:row r="73">
      <x:c r="A73" s="18">
        <x:v>2022</x:v>
      </x:c>
      <x:c r="B73" t="s">
        <x:v>217</x:v>
      </x:c>
      <x:c r="C73" t="s">
        <x:v>218</x:v>
      </x:c>
      <x:c r="D73" t="s">
        <x:v>219</x:v>
      </x:c>
      <x:c r="E73" s="18">
        <x:v>440205</x:v>
      </x:c>
      <x:c r="F73" t="s">
        <x:v>212</x:v>
      </x:c>
      <x:c r="G73" t="s">
        <x:v>199</x:v>
      </x:c>
      <x:c r="H73" s="18">
        <x:v>4411</x:v>
      </x:c>
      <x:c r="I73" t="s">
        <x:v>102</x:v>
      </x:c>
      <x:c r="J73" t="s">
        <x:v>220</x:v>
      </x:c>
      <x:c r="K73" t="s">
        <x:v>109</x:v>
      </x:c>
      <x:c r="L73" s="20">
        <x:v>33</x:v>
      </x:c>
      <x:c r="M73" t="s">
        <x:v>110</x:v>
      </x:c>
      <x:c r="N73" s="18">
        <x:v>1025</x:v>
      </x:c>
      <x:c r="O73" t="s">
        <x:v>88</x:v>
      </x:c>
      <x:c r="P73" s="18">
        <x:v>4</x:v>
      </x:c>
      <x:c r="Q73" s="19" t="s">
        <x:v>111</x:v>
      </x:c>
      <x:c r="R73" s="18">
        <x:v>554137</x:v>
      </x:c>
      <x:c r="S73" t="s">
        <x:v>112</x:v>
      </x:c>
      <x:c r="T73" s="19">
        <x:f t="shared" si="81"/>
        <x:v>554137</x:v>
      </x:c>
      <x:c r="U73" s="20">
        <x:v>0.94</x:v>
      </x:c>
      <x:c r="V73" t="s">
        <x:v>113</x:v>
      </x:c>
      <x:c r="W73" s="20">
        <x:v>23.64</x:v>
      </x:c>
      <x:c r="X73" s="21">
        <x:f t="shared" si="82"/>
        <x:v>8855.1092599999993</x:v>
      </x:c>
      <x:c r="Y73" s="21" t="n">
        <x:f>7.21*T73/1000</x:f>
        <x:v>3995.32777</x:v>
      </x:c>
      <x:c r="Z73" s="21">
        <x:f t="shared" si="83"/>
        <x:v>1108.2739999999999</x:v>
      </x:c>
      <x:c r="AA73" s="21" t="n">
        <x:f>W73/100*(1-0.25)*0.23*T73</x:f>
        <x:v>22597.152723000003</x:v>
      </x:c>
      <x:c r="AB73" s="21" t="n">
        <x:f>W73/100*(1-0.25)*0.06*T73</x:f>
        <x:v>5894.909406</x:v>
      </x:c>
      <x:c r="AC73" s="21">
        <x:f t="shared" si="84"/>
        <x:v>11.789818812</x:v>
      </x:c>
      <x:c r="AD73" s="21"/>
      <x:c r="AE73" s="21">
        <x:f t="shared" si="85"/>
        <x:v>22.165479999999999</x:v>
      </x:c>
      <x:c r="AF73" s="21"/>
      <x:c r="AG73" s="19" t="s">
        <x:v>78</x:v>
      </x:c>
      <x:c r="AH73" t="s">
        <x:v>78</x:v>
      </x:c>
      <x:c r="AI73" t="s">
        <x:v>78</x:v>
      </x:c>
      <x:c r="AJ73" s="19"/>
      <x:c r="AK73" s="19" t="s">
        <x:v>78</x:v>
      </x:c>
      <x:c r="AL73" t="s">
        <x:v>78</x:v>
      </x:c>
      <x:c r="AM73" s="19" t="s">
        <x:v>78</x:v>
      </x:c>
      <x:c r="AN73" s="21"/>
      <x:c r="AO73" s="21"/>
      <x:c r="AP73" s="21"/>
      <x:c r="AQ73" s="21"/>
      <x:c r="AR73" s="21"/>
      <x:c r="AS73" s="21"/>
      <x:c r="AT73" s="21"/>
      <x:c r="AU73" s="21"/>
      <x:c r="AV73" s="21"/>
      <x:c r="AW73" t="s">
        <x:v>78</x:v>
      </x:c>
      <x:c r="AX73" s="19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t="s">
        <x:v>82</x:v>
      </x:c>
      <x:c r="BI73" s="18">
        <x:v>113</x:v>
      </x:c>
      <x:c r="BJ73" s="18">
        <x:v>35</x:v>
      </x:c>
      <x:c r="BK73" s="18">
        <x:v>4</x:v>
      </x:c>
      <x:c r="BL73" s="18">
        <x:v>24</x:v>
      </x:c>
      <x:c r="BM73" s="18">
        <x:v>35</x:v>
      </x:c>
      <x:c r="BN73" s="18">
        <x:v>0</x:v>
      </x:c>
      <x:c r="BO73" s="22">
        <x:v>113.584444444444</x:v>
      </x:c>
      <x:c r="BP73" s="22">
        <x:v>24.5833333333333</x:v>
      </x:c>
      <x:c r="BQ73" s="18">
        <x:v>210</x:v>
      </x:c>
      <x:c r="BR73" s="18">
        <x:v>379230.93199999997</x:v>
      </x:c>
      <x:c r="BS73" s="18">
        <x:v>8844.6910000000007</x:v>
      </x:c>
      <x:c r="BT73" s="18">
        <x:v>80.897999999999996</x:v>
      </x:c>
      <x:c r="BU73" s="18">
        <x:v>1335.47</x:v>
      </x:c>
      <x:c r="BV73" s="18">
        <x:v>141.715</x:v>
      </x:c>
      <x:c r="BW73" s="18">
        <x:v>126816.69100000001</x:v>
      </x:c>
      <x:c r="BX73" s="18">
        <x:v>2.71</x:v>
      </x:c>
      <x:c r="BY73" s="18">
        <x:v>6538.817</x:v>
      </x:c>
      <x:c r="BZ73" s="18">
        <x:v>6538.817</x:v>
      </x:c>
      <x:c r="CA73" s="23">
        <x:f t="shared" si="65"/>
        <x:v>8855.1092599999993</x:v>
      </x:c>
      <x:c r="CB73" s="23">
        <x:f t="shared" si="66"/>
        <x:v>3995.3277699999999</x:v>
      </x:c>
      <x:c r="CC73" s="23">
        <x:f t="shared" si="67"/>
        <x:v>1108.2739999999999</x:v>
      </x:c>
      <x:c r="CD73" s="23">
        <x:f t="shared" si="68"/>
        <x:v>22597.152723000003</x:v>
      </x:c>
      <x:c r="CE73" s="23">
        <x:f t="shared" si="69"/>
        <x:v>5894.9094059999998</x:v>
      </x:c>
      <x:c r="CF73" s="23">
        <x:f t="shared" si="70"/>
        <x:v>11.789818812</x:v>
      </x:c>
      <x:c r="CG73" s="23">
        <x:f t="shared" si="71"/>
        <x:v>0</x:v>
      </x:c>
      <x:c r="CH73" s="23">
        <x:f t="shared" si="72"/>
        <x:v>22.165479999999999</x:v>
      </x:c>
      <x:c r="CI73" s="23">
        <x:f t="shared" si="73"/>
        <x:v>0</x:v>
      </x:c>
      <x:c r="CJ73" s="24" t="s">
        <x:v>114</x:v>
      </x:c>
      <x:c r="CK73" s="29">
        <x:v>99</x:v>
      </x:c>
      <x:c r="CL73" s="26" t="s">
        <x:v>104</x:v>
      </x:c>
      <x:c r="CM73" s="28">
        <x:v>83</x:v>
      </x:c>
      <x:c r="CN73" s="30" t="s">
        <x:v>132</x:v>
      </x:c>
      <x:c r="CO73" s="27">
        <x:v>99.4</x:v>
      </x:c>
      <x:c r="CP73" s="27">
        <x:v>98.3</x:v>
      </x:c>
      <x:c r="CQ73" s="26">
        <x:f t="shared" si="74"/>
        <x:v>88.551092600000075</x:v>
      </x:c>
      <x:c r="CR73" s="26">
        <x:f t="shared" si="75"/>
        <x:v>679.20572090000019</x:v>
      </x:c>
      <x:c r="CS73" s="26">
        <x:f t="shared" si="78"/>
        <x:v>1108.2739999999999</x:v>
      </x:c>
      <x:c r="CT73" s="26">
        <x:f t="shared" si="43"/>
        <x:v>135.58291633799763</x:v>
      </x:c>
      <x:c r="CU73" s="26">
        <x:f t="shared" si="44"/>
        <x:v>100.21345990200008</x:v>
      </x:c>
      <x:c r="CV73" s="26">
        <x:f t="shared" si="45"/>
        <x:v>0.20042691980400018</x:v>
      </x:c>
      <x:c r="CW73" s="26">
        <x:f t="shared" si="46"/>
        <x:v>0</x:v>
      </x:c>
      <x:c r="CX73" s="26">
        <x:f t="shared" si="79"/>
        <x:v>22.165479999999999</x:v>
      </x:c>
      <x:c r="CY73" s="26">
        <x:f t="shared" si="80"/>
        <x:v>0</x:v>
      </x:c>
    </x:row>
    <x:row r="74">
      <x:c r="A74" s="18">
        <x:v>2022</x:v>
      </x:c>
      <x:c r="B74" t="s">
        <x:v>221</x:v>
      </x:c>
      <x:c r="C74" t="s">
        <x:v>222</x:v>
      </x:c>
      <x:c r="D74" t="s">
        <x:v>223</x:v>
      </x:c>
      <x:c r="E74" s="18">
        <x:v>440224</x:v>
      </x:c>
      <x:c r="F74" t="s">
        <x:v>224</x:v>
      </x:c>
      <x:c r="G74" t="s">
        <x:v>199</x:v>
      </x:c>
      <x:c r="H74" s="18">
        <x:v>4411</x:v>
      </x:c>
      <x:c r="I74" t="s">
        <x:v>102</x:v>
      </x:c>
      <x:c r="J74" t="s">
        <x:v>78</x:v>
      </x:c>
      <x:c r="K74" t="s">
        <x:v>109</x:v>
      </x:c>
      <x:c r="L74" s="20">
        <x:v>6</x:v>
      </x:c>
      <x:c r="M74" t="s">
        <x:v>125</x:v>
      </x:c>
      <x:c r="N74" s="18">
        <x:v>260</x:v>
      </x:c>
      <x:c r="O74" t="s">
        <x:v>74</x:v>
      </x:c>
      <x:c r="P74" s="18">
        <x:v>1</x:v>
      </x:c>
      <x:c r="Q74" s="19" t="s">
        <x:v>121</x:v>
      </x:c>
      <x:c r="R74" s="18">
        <x:v>121879.29300000001</x:v>
      </x:c>
      <x:c r="S74" t="s">
        <x:v>112</x:v>
      </x:c>
      <x:c r="T74" s="19">
        <x:f t="shared" si="81"/>
        <x:v>121879.29300000001</x:v>
      </x:c>
      <x:c r="U74" s="20">
        <x:v>1.58</x:v>
      </x:c>
      <x:c r="V74" t="s">
        <x:v>113</x:v>
      </x:c>
      <x:c r="W74" s="20">
        <x:v>51.14</x:v>
      </x:c>
      <x:c r="X74" s="21">
        <x:f t="shared" si="82"/>
        <x:v>3273.6778099800003</x:v>
      </x:c>
      <x:c r="Y74" s="21" t="n">
        <x:f>8.96*T74/1000</x:f>
        <x:v>1092.03846528</x:v>
      </x:c>
      <x:c r="Z74" s="21">
        <x:f t="shared" si="83"/>
        <x:v>243.75858600000001</x:v>
      </x:c>
      <x:c r="AA74" s="21" t="n">
        <x:f t="shared" ref="AA74:AA79" si="86">W74/100*(1-0.44)*0.29*T74</x:f>
        <x:v>10122.241039488481</x:v>
      </x:c>
      <x:c r="AB74" s="21" t="n">
        <x:f t="shared" ref="AB74:AB79" si="87">W74/100*(1-0.44)*0.07*T74</x:f>
        <x:v>2443.2995612558407</x:v>
      </x:c>
      <x:c r="AC74" s="21">
        <x:f t="shared" si="84"/>
        <x:v>4.8865991225116812</x:v>
      </x:c>
      <x:c r="AD74" s="21"/>
      <x:c r="AE74" s="21">
        <x:f t="shared" si="85"/>
        <x:v>4.87517172</x:v>
      </x:c>
      <x:c r="AF74" s="21"/>
      <x:c r="AG74" s="19" t="s">
        <x:v>78</x:v>
      </x:c>
      <x:c r="AH74" t="s">
        <x:v>78</x:v>
      </x:c>
      <x:c r="AI74" t="s">
        <x:v>78</x:v>
      </x:c>
      <x:c r="AJ74" s="19"/>
      <x:c r="AK74" s="19" t="s">
        <x:v>78</x:v>
      </x:c>
      <x:c r="AL74" t="s">
        <x:v>78</x:v>
      </x:c>
      <x:c r="AM74" s="19" t="s">
        <x:v>78</x:v>
      </x:c>
      <x:c r="AN74" s="21"/>
      <x:c r="AO74" s="21"/>
      <x:c r="AP74" s="21"/>
      <x:c r="AQ74" s="21"/>
      <x:c r="AR74" s="21"/>
      <x:c r="AS74" s="21"/>
      <x:c r="AT74" s="21"/>
      <x:c r="AU74" s="21"/>
      <x:c r="AV74" s="21"/>
      <x:c r="AW74" t="s">
        <x:v>78</x:v>
      </x:c>
      <x:c r="AX74" s="19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t="s">
        <x:v>81</x:v>
      </x:c>
      <x:c r="BI74" s="18">
        <x:v>113</x:v>
      </x:c>
      <x:c r="BJ74" s="18">
        <x:v>37</x:v>
      </x:c>
      <x:c r="BK74" s="18">
        <x:v>46</x:v>
      </x:c>
      <x:c r="BL74" s="18">
        <x:v>25</x:v>
      </x:c>
      <x:c r="BM74" s="18">
        <x:v>3</x:v>
      </x:c>
      <x:c r="BN74" s="18">
        <x:v>52</x:v>
      </x:c>
      <x:c r="BO74" s="22">
        <x:v>113.629444444444</x:v>
      </x:c>
      <x:c r="BP74" s="22">
        <x:v>25.064444444444401</x:v>
      </x:c>
      <x:c r="BQ74" s="18">
        <x:v>150</x:v>
      </x:c>
      <x:c r="BR74" s="18">
        <x:v>75869.81</x:v>
      </x:c>
      <x:c r="BS74" s="18">
        <x:v>1240.643</x:v>
      </x:c>
      <x:c r="BT74" s="18">
        <x:v>86.956999999999994</x:v>
      </x:c>
      <x:c r="BU74" s="18">
        <x:v>386.06299999999999</x:v>
      </x:c>
      <x:c r="BV74" s="18">
        <x:v>77.195999999999998</x:v>
      </x:c>
      <x:c r="BW74" s="18">
        <x:v>453.8</x:v>
      </x:c>
      <x:c r="BX74" s="18">
        <x:v>4.5380000000000003</x:v>
      </x:c>
      <x:c r="BY74" s="18">
        <x:v>1657.558</x:v>
      </x:c>
      <x:c r="BZ74" s="18">
        <x:v>1657.558</x:v>
      </x:c>
      <x:c r="CA74" s="23">
        <x:f t="shared" si="65"/>
        <x:v>3273.6778099800003</x:v>
      </x:c>
      <x:c r="CB74" s="23">
        <x:f t="shared" si="66"/>
        <x:v>1092.0384652800001</x:v>
      </x:c>
      <x:c r="CC74" s="23">
        <x:f t="shared" si="67"/>
        <x:v>243.75858600000001</x:v>
      </x:c>
      <x:c r="CD74" s="23">
        <x:f t="shared" si="68"/>
        <x:v>10122.241039488481</x:v>
      </x:c>
      <x:c r="CE74" s="23">
        <x:f t="shared" si="69"/>
        <x:v>2443.2995612558407</x:v>
      </x:c>
      <x:c r="CF74" s="23">
        <x:f t="shared" si="70"/>
        <x:v>4.8865991225116812</x:v>
      </x:c>
      <x:c r="CG74" s="23">
        <x:f t="shared" si="71"/>
        <x:v>0</x:v>
      </x:c>
      <x:c r="CH74" s="23">
        <x:f t="shared" si="72"/>
        <x:v>4.87517172</x:v>
      </x:c>
      <x:c r="CI74" s="23">
        <x:f t="shared" si="73"/>
        <x:v>0</x:v>
      </x:c>
      <x:c r="CJ74" s="24" t="s">
        <x:v>225</x:v>
      </x:c>
      <x:c r="CK74" s="25">
        <x:v>95</x:v>
      </x:c>
      <x:c r="CL74" s="26" t="s">
        <x:v>78</x:v>
      </x:c>
      <x:c r="CM74" s="26" t="n">
        <x:f>(1-BV74/BU74)*100</x:f>
        <x:v>80.00429981635122</x:v>
      </x:c>
      <x:c r="CN74" s="27" t="s">
        <x:v>226</x:v>
      </x:c>
      <x:c r="CO74" s="27">
        <x:v>99.4</x:v>
      </x:c>
      <x:c r="CP74" s="27">
        <x:v>98.3</x:v>
      </x:c>
      <x:c r="CQ74" s="26">
        <x:f t="shared" si="74"/>
        <x:v>163.68389049900017</x:v>
      </x:c>
      <x:c r="CR74" s="26">
        <x:f t="shared" si="75"/>
        <x:v>218.36073740750828</x:v>
      </x:c>
      <x:c r="CS74" s="26">
        <x:f t="shared" si="78"/>
        <x:v>243.75858600000001</x:v>
      </x:c>
      <x:c r="CT74" s="26">
        <x:f t="shared" si="43"/>
        <x:v>60.733446236929815</x:v>
      </x:c>
      <x:c r="CU74" s="26">
        <x:f t="shared" si="44"/>
        <x:v>41.536092541349326</x:v>
      </x:c>
      <x:c r="CV74" s="26">
        <x:f t="shared" si="45"/>
        <x:v>8.307218508269866E-2</x:v>
      </x:c>
      <x:c r="CW74" s="26">
        <x:f t="shared" si="46"/>
        <x:v>0</x:v>
      </x:c>
      <x:c r="CX74" s="26">
        <x:f t="shared" si="79"/>
        <x:v>4.87517172</x:v>
      </x:c>
      <x:c r="CY74" s="26">
        <x:f t="shared" si="80"/>
        <x:v>0</x:v>
      </x:c>
    </x:row>
    <x:row r="75">
      <x:c r="A75" s="18">
        <x:v>2022</x:v>
      </x:c>
      <x:c r="B75" t="s">
        <x:v>221</x:v>
      </x:c>
      <x:c r="C75" t="s">
        <x:v>222</x:v>
      </x:c>
      <x:c r="D75" t="s">
        <x:v>223</x:v>
      </x:c>
      <x:c r="E75" s="18">
        <x:v>440224</x:v>
      </x:c>
      <x:c r="F75" t="s">
        <x:v>224</x:v>
      </x:c>
      <x:c r="G75" t="s">
        <x:v>199</x:v>
      </x:c>
      <x:c r="H75" s="18">
        <x:v>4411</x:v>
      </x:c>
      <x:c r="I75" t="s">
        <x:v>102</x:v>
      </x:c>
      <x:c r="J75" t="s">
        <x:v>78</x:v>
      </x:c>
      <x:c r="K75" t="s">
        <x:v>109</x:v>
      </x:c>
      <x:c r="L75" s="20">
        <x:v>6</x:v>
      </x:c>
      <x:c r="M75" t="s">
        <x:v>125</x:v>
      </x:c>
      <x:c r="N75" s="18">
        <x:v>260</x:v>
      </x:c>
      <x:c r="O75" t="s">
        <x:v>74</x:v>
      </x:c>
      <x:c r="P75" s="18">
        <x:v>1</x:v>
      </x:c>
      <x:c r="Q75" s="19" t="s">
        <x:v>121</x:v>
      </x:c>
      <x:c r="R75" s="18">
        <x:v>82362.786999999997</x:v>
      </x:c>
      <x:c r="S75" t="s">
        <x:v>112</x:v>
      </x:c>
      <x:c r="T75" s="19">
        <x:f t="shared" si="81"/>
        <x:v>82362.786999999997</x:v>
      </x:c>
      <x:c r="U75" s="20">
        <x:v>1.58</x:v>
      </x:c>
      <x:c r="V75" t="s">
        <x:v>113</x:v>
      </x:c>
      <x:c r="W75" s="20">
        <x:v>51.14</x:v>
      </x:c>
      <x:c r="X75" s="21">
        <x:f t="shared" si="82"/>
        <x:v>2212.2644588200001</x:v>
      </x:c>
      <x:c r="Y75" s="21" t="n">
        <x:f>8.96*T75/1000</x:f>
        <x:v>737.97057152</x:v>
      </x:c>
      <x:c r="Z75" s="21">
        <x:f t="shared" si="83"/>
        <x:v>164.72557399999999</x:v>
      </x:c>
      <x:c r="AA75" s="21">
        <x:f t="shared" si="86"/>
        <x:v>6840.34147374032</x:v>
      </x:c>
      <x:c r="AB75" s="21">
        <x:f t="shared" si="87"/>
        <x:v>1651.1169074545601</x:v>
      </x:c>
      <x:c r="AC75" s="21">
        <x:f t="shared" si="84"/>
        <x:v>3.3022338149091204</x:v>
      </x:c>
      <x:c r="AD75" s="21"/>
      <x:c r="AE75" s="21">
        <x:f t="shared" si="85"/>
        <x:v>3.2945114800000002</x:v>
      </x:c>
      <x:c r="AF75" s="21"/>
      <x:c r="AG75" s="19" t="s">
        <x:v>78</x:v>
      </x:c>
      <x:c r="AH75" t="s">
        <x:v>78</x:v>
      </x:c>
      <x:c r="AI75" t="s">
        <x:v>78</x:v>
      </x:c>
      <x:c r="AJ75" s="19"/>
      <x:c r="AK75" s="19" t="s">
        <x:v>78</x:v>
      </x:c>
      <x:c r="AL75" t="s">
        <x:v>78</x:v>
      </x:c>
      <x:c r="AM75" s="19" t="s">
        <x:v>78</x:v>
      </x:c>
      <x:c r="AN75" s="21"/>
      <x:c r="AO75" s="21"/>
      <x:c r="AP75" s="21"/>
      <x:c r="AQ75" s="21"/>
      <x:c r="AR75" s="21"/>
      <x:c r="AS75" s="21"/>
      <x:c r="AT75" s="21"/>
      <x:c r="AU75" s="21"/>
      <x:c r="AV75" s="21"/>
      <x:c r="AW75" t="s">
        <x:v>78</x:v>
      </x:c>
      <x:c r="AX75" s="19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t="s">
        <x:v>81</x:v>
      </x:c>
      <x:c r="BI75" s="18">
        <x:v>113</x:v>
      </x:c>
      <x:c r="BJ75" s="18">
        <x:v>37</x:v>
      </x:c>
      <x:c r="BK75" s="18">
        <x:v>46</x:v>
      </x:c>
      <x:c r="BL75" s="18">
        <x:v>25</x:v>
      </x:c>
      <x:c r="BM75" s="18">
        <x:v>3</x:v>
      </x:c>
      <x:c r="BN75" s="18">
        <x:v>52</x:v>
      </x:c>
      <x:c r="BO75" s="22">
        <x:v>113.629444444444</x:v>
      </x:c>
      <x:c r="BP75" s="22">
        <x:v>25.064444444444401</x:v>
      </x:c>
      <x:c r="BQ75" s="18">
        <x:v>150</x:v>
      </x:c>
      <x:c r="BR75" s="18">
        <x:v>69080.33</x:v>
      </x:c>
      <x:c r="BS75" s="18">
        <x:v>1399.8019999999999</x:v>
      </x:c>
      <x:c r="BT75" s="18">
        <x:v>98.119</x:v>
      </x:c>
      <x:c r="BU75" s="18">
        <x:v>342.12299999999999</x:v>
      </x:c>
      <x:c r="BV75" s="18">
        <x:v>68.424000000000007</x:v>
      </x:c>
      <x:c r="BW75" s="18">
        <x:v>481.49200000000002</x:v>
      </x:c>
      <x:c r="BX75" s="18">
        <x:v>4.8150000000000004</x:v>
      </x:c>
      <x:c r="BY75" s="18">
        <x:v>1120.134</x:v>
      </x:c>
      <x:c r="BZ75" s="18">
        <x:v>1120.134</x:v>
      </x:c>
      <x:c r="CA75" s="23">
        <x:f t="shared" si="65"/>
        <x:v>2212.2644588200001</x:v>
      </x:c>
      <x:c r="CB75" s="23">
        <x:f t="shared" si="66"/>
        <x:v>737.97057152000002</x:v>
      </x:c>
      <x:c r="CC75" s="23">
        <x:f t="shared" si="67"/>
        <x:v>164.72557399999999</x:v>
      </x:c>
      <x:c r="CD75" s="23">
        <x:f t="shared" si="68"/>
        <x:v>6840.34147374032</x:v>
      </x:c>
      <x:c r="CE75" s="23">
        <x:f t="shared" si="69"/>
        <x:v>1651.1169074545601</x:v>
      </x:c>
      <x:c r="CF75" s="23">
        <x:f t="shared" si="70"/>
        <x:v>3.3022338149091204</x:v>
      </x:c>
      <x:c r="CG75" s="23">
        <x:f t="shared" si="71"/>
        <x:v>0</x:v>
      </x:c>
      <x:c r="CH75" s="23">
        <x:f t="shared" si="72"/>
        <x:v>3.2945114800000002</x:v>
      </x:c>
      <x:c r="CI75" s="23">
        <x:f t="shared" si="73"/>
        <x:v>0</x:v>
      </x:c>
      <x:c r="CJ75" s="24" t="s">
        <x:v>225</x:v>
      </x:c>
      <x:c r="CK75" s="25">
        <x:v>95</x:v>
      </x:c>
      <x:c r="CL75" s="26" t="s">
        <x:v>78</x:v>
      </x:c>
      <x:c r="CM75" s="26" t="n">
        <x:f>(1-BV75/BU75)*100</x:f>
        <x:v>80.00017537552284</x:v>
      </x:c>
      <x:c r="CN75" s="27" t="s">
        <x:v>226</x:v>
      </x:c>
      <x:c r="CO75" s="27">
        <x:v>99.4</x:v>
      </x:c>
      <x:c r="CP75" s="27">
        <x:v>98.3</x:v>
      </x:c>
      <x:c r="CQ75" s="26">
        <x:f t="shared" si="74"/>
        <x:v>110.6132229410001</x:v>
      </x:c>
      <x:c r="CR75" s="26">
        <x:f t="shared" si="75"/>
        <x:v>147.59282008425177</x:v>
      </x:c>
      <x:c r="CS75" s="26">
        <x:f t="shared" si="78"/>
        <x:v>164.72557399999999</x:v>
      </x:c>
      <x:c r="CT75" s="26">
        <x:f t="shared" si="43"/>
        <x:v>41.042048842441197</x:v>
      </x:c>
      <x:c r="CU75" s="26">
        <x:f t="shared" si="44"/>
        <x:v>28.068987426727546</x:v>
      </x:c>
      <x:c r="CV75" s="26">
        <x:f t="shared" si="45"/>
        <x:v>5.6137974853455098E-2</x:v>
      </x:c>
      <x:c r="CW75" s="26">
        <x:f t="shared" si="46"/>
        <x:v>0</x:v>
      </x:c>
      <x:c r="CX75" s="26">
        <x:f t="shared" si="79"/>
        <x:v>3.2945114800000002</x:v>
      </x:c>
      <x:c r="CY75" s="26">
        <x:f t="shared" si="80"/>
        <x:v>0</x:v>
      </x:c>
    </x:row>
    <x:row r="76">
      <x:c r="A76" s="18">
        <x:v>2022</x:v>
      </x:c>
      <x:c r="B76" t="s">
        <x:v>227</x:v>
      </x:c>
      <x:c r="C76" t="s">
        <x:v>228</x:v>
      </x:c>
      <x:c r="D76" t="s">
        <x:v>229</x:v>
      </x:c>
      <x:c r="E76" s="18">
        <x:v>440281</x:v>
      </x:c>
      <x:c r="F76" t="s">
        <x:v>230</x:v>
      </x:c>
      <x:c r="G76" t="s">
        <x:v>199</x:v>
      </x:c>
      <x:c r="H76" s="18">
        <x:v>4411</x:v>
      </x:c>
      <x:c r="I76" t="s">
        <x:v>102</x:v>
      </x:c>
      <x:c r="J76" t="s">
        <x:v>78</x:v>
      </x:c>
      <x:c r="K76" t="s">
        <x:v>109</x:v>
      </x:c>
      <x:c r="L76" s="20">
        <x:v>30</x:v>
      </x:c>
      <x:c r="M76" t="s">
        <x:v>125</x:v>
      </x:c>
      <x:c r="N76" s="18">
        <x:v>1025</x:v>
      </x:c>
      <x:c r="O76" t="s">
        <x:v>88</x:v>
      </x:c>
      <x:c r="P76" s="18">
        <x:v>2</x:v>
      </x:c>
      <x:c r="Q76" s="19" t="s">
        <x:v>231</x:v>
      </x:c>
      <x:c r="R76" s="18">
        <x:v>575598</x:v>
      </x:c>
      <x:c r="S76" t="s">
        <x:v>112</x:v>
      </x:c>
      <x:c r="T76" s="19">
        <x:f t="shared" si="81"/>
        <x:v>575598</x:v>
      </x:c>
      <x:c r="U76" s="20">
        <x:v>0.52</x:v>
      </x:c>
      <x:c r="V76" t="s">
        <x:v>113</x:v>
      </x:c>
      <x:c r="W76" s="20">
        <x:v>14.5</x:v>
      </x:c>
      <x:c r="X76" s="21">
        <x:f t="shared" si="82"/>
        <x:v>5088.2863199999993</x:v>
      </x:c>
      <x:c r="Y76" s="21" t="n">
        <x:f>7.21*T76/1000</x:f>
        <x:v>4150.0615800000005</x:v>
      </x:c>
      <x:c r="Z76" s="21">
        <x:f t="shared" si="83"/>
        <x:v>1151.1959999999999</x:v>
      </x:c>
      <x:c r="AA76" s="21">
        <x:f t="shared" si="86"/>
        <x:v>13554.181704000001</x:v>
      </x:c>
      <x:c r="AB76" s="21">
        <x:f t="shared" si="87"/>
        <x:v>3271.6990320000009</x:v>
      </x:c>
      <x:c r="AC76" s="21">
        <x:f t="shared" si="84"/>
        <x:v>6.5433980640000016</x:v>
      </x:c>
      <x:c r="AD76" s="21"/>
      <x:c r="AE76" s="21">
        <x:f t="shared" si="85"/>
        <x:v>23.02392</x:v>
      </x:c>
      <x:c r="AF76" s="21"/>
      <x:c r="AG76" s="19" t="s">
        <x:v>176</x:v>
      </x:c>
      <x:c r="AH76" s="18">
        <x:v>155</x:v>
      </x:c>
      <x:c r="AI76" t="s">
        <x:v>112</x:v>
      </x:c>
      <x:c r="AJ76" s="19" t="n">
        <x:f t="shared" ref="AJ76:AJ77" si="88">AH76</x:f>
        <x:v>155</x:v>
      </x:c>
      <x:c r="AK76" s="20">
        <x:v>0.01</x:v>
      </x:c>
      <x:c r="AL76" t="s">
        <x:v>113</x:v>
      </x:c>
      <x:c r="AM76" s="20">
        <x:v>0</x:v>
      </x:c>
      <x:c r="AN76" s="21" t="n">
        <x:f>2*AK76/100*AJ76</x:f>
        <x:v>0.031</x:v>
      </x:c>
      <x:c r="AO76" s="21" t="n">
        <x:f>7.4*AJ76/1000</x:f>
        <x:v>1.147</x:v>
      </x:c>
      <x:c r="AP76" s="21" t="n">
        <x:f>0.6*AJ76/1000</x:f>
        <x:v>0.093</x:v>
      </x:c>
      <x:c r="AQ76" s="21" t="n">
        <x:f>0.5*AJ76/1000</x:f>
        <x:v>0.0775</x:v>
      </x:c>
      <x:c r="AR76" s="21" t="n">
        <x:f>0.5*AJ76/1000</x:f>
        <x:v>0.0775</x:v>
      </x:c>
      <x:c r="AS76" s="21" t="n">
        <x:f>0.01*AJ76/1000</x:f>
        <x:v>0.00155</x:v>
      </x:c>
      <x:c r="AT76" s="21" t="n">
        <x:f>0.04*AJ76/1000</x:f>
        <x:v>0.0062</x:v>
      </x:c>
      <x:c r="AU76" s="21" t="n">
        <x:f>0.13*AJ76/1000</x:f>
        <x:v>0.02015</x:v>
      </x:c>
      <x:c r="AV76" s="21"/>
      <x:c r="AW76" s="18">
        <x:v>0</x:v>
      </x:c>
      <x:c r="AX76" s="19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t="s">
        <x:v>79</x:v>
      </x:c>
      <x:c r="BI76" s="18">
        <x:v>113</x:v>
      </x:c>
      <x:c r="BJ76" s="18">
        <x:v>3</x:v>
      </x:c>
      <x:c r="BK76" s="18">
        <x:v>50</x:v>
      </x:c>
      <x:c r="BL76" s="18">
        <x:v>25</x:v>
      </x:c>
      <x:c r="BM76" s="18">
        <x:v>15</x:v>
      </x:c>
      <x:c r="BN76" s="18">
        <x:v>11</x:v>
      </x:c>
      <x:c r="BO76" s="22">
        <x:v>113.063888888889</x:v>
      </x:c>
      <x:c r="BP76" s="22">
        <x:v>25.253055555555601</x:v>
      </x:c>
      <x:c r="BQ76" s="18">
        <x:v>210</x:v>
      </x:c>
      <x:c r="BR76" s="18">
        <x:v>286295.08199999999</x:v>
      </x:c>
      <x:c r="BS76" s="18">
        <x:v>763.24300000000005</x:v>
      </x:c>
      <x:c r="BT76" s="18">
        <x:v>90.072000000000003</x:v>
      </x:c>
      <x:c r="BU76" s="18">
        <x:v>558.33000000000004</x:v>
      </x:c>
      <x:c r="BV76" s="18">
        <x:v>142.02199999999999</x:v>
      </x:c>
      <x:c r="BW76" s="18">
        <x:v>75543.668999999994</x:v>
      </x:c>
      <x:c r="BX76" s="18">
        <x:v>2.1030000000000002</x:v>
      </x:c>
      <x:c r="BY76" s="18">
        <x:v>2400.2440000000001</x:v>
      </x:c>
      <x:c r="BZ76" s="18">
        <x:v>2400.2440000000001</x:v>
      </x:c>
      <x:c r="CA76" s="23">
        <x:f t="shared" si="65"/>
        <x:v>5088.3173199999992</x:v>
      </x:c>
      <x:c r="CB76" s="23">
        <x:f t="shared" si="66"/>
        <x:v>4151.2085800000004</x:v>
      </x:c>
      <x:c r="CC76" s="23">
        <x:f t="shared" si="67"/>
        <x:v>1151.289</x:v>
      </x:c>
      <x:c r="CD76" s="23">
        <x:f t="shared" si="68"/>
        <x:v>13554.259204</x:v>
      </x:c>
      <x:c r="CE76" s="23">
        <x:f t="shared" si="69"/>
        <x:v>3271.7765320000008</x:v>
      </x:c>
      <x:c r="CF76" s="23">
        <x:f t="shared" si="70"/>
        <x:v>6.5449480640000015</x:v>
      </x:c>
      <x:c r="CG76" s="23">
        <x:f t="shared" si="71"/>
        <x:v>6.1999999999999998E-3</x:v>
      </x:c>
      <x:c r="CH76" s="23">
        <x:f t="shared" si="72"/>
        <x:v>23.044070000000001</x:v>
      </x:c>
      <x:c r="CI76" s="23">
        <x:f t="shared" si="73"/>
        <x:v>0</x:v>
      </x:c>
      <x:c r="CJ76" s="24" t="s">
        <x:v>202</x:v>
      </x:c>
      <x:c r="CK76" s="25">
        <x:v>97.9</x:v>
      </x:c>
      <x:c r="CL76" s="26" t="s">
        <x:v>232</x:v>
      </x:c>
      <x:c r="CM76" s="26">
        <x:v>80</x:v>
      </x:c>
      <x:c r="CN76" s="27" t="s">
        <x:v>233</x:v>
      </x:c>
      <x:c r="CO76" s="27">
        <x:v>99.4</x:v>
      </x:c>
      <x:c r="CP76" s="27">
        <x:v>98.3</x:v>
      </x:c>
      <x:c r="CQ76" s="26">
        <x:f t="shared" si="74"/>
        <x:v>106.85466371999951</x:v>
      </x:c>
      <x:c r="CR76" s="26">
        <x:f t="shared" si="75"/>
        <x:v>830.24171599999988</x:v>
      </x:c>
      <x:c r="CS76" s="26">
        <x:f t="shared" si="78"/>
        <x:v>1151.289</x:v>
      </x:c>
      <x:c r="CT76" s="26">
        <x:f t="shared" si="43"/>
        <x:v>81.325555223998563</x:v>
      </x:c>
      <x:c r="CU76" s="26">
        <x:f t="shared" si="44"/>
        <x:v>55.620201044000062</x:v>
      </x:c>
      <x:c r="CV76" s="26">
        <x:f t="shared" si="45"/>
        <x:v>0.11126411708800013</x:v>
      </x:c>
      <x:c r="CW76" s="26">
        <x:f t="shared" si="46"/>
        <x:v>1.054000000000001E-4</x:v>
      </x:c>
      <x:c r="CX76" s="26">
        <x:f t="shared" si="79"/>
        <x:v>23.044070000000001</x:v>
      </x:c>
      <x:c r="CY76" s="26">
        <x:f t="shared" si="80"/>
        <x:v>0</x:v>
      </x:c>
    </x:row>
    <x:row r="77">
      <x:c r="A77" s="18">
        <x:v>2022</x:v>
      </x:c>
      <x:c r="B77" t="s">
        <x:v>227</x:v>
      </x:c>
      <x:c r="C77" t="s">
        <x:v>228</x:v>
      </x:c>
      <x:c r="D77" t="s">
        <x:v>229</x:v>
      </x:c>
      <x:c r="E77" s="18">
        <x:v>440281</x:v>
      </x:c>
      <x:c r="F77" t="s">
        <x:v>230</x:v>
      </x:c>
      <x:c r="G77" t="s">
        <x:v>199</x:v>
      </x:c>
      <x:c r="H77" s="18">
        <x:v>4411</x:v>
      </x:c>
      <x:c r="I77" t="s">
        <x:v>102</x:v>
      </x:c>
      <x:c r="J77" t="s">
        <x:v>78</x:v>
      </x:c>
      <x:c r="K77" t="s">
        <x:v>109</x:v>
      </x:c>
      <x:c r="L77" s="20">
        <x:v>30</x:v>
      </x:c>
      <x:c r="M77" t="s">
        <x:v>125</x:v>
      </x:c>
      <x:c r="N77" s="18">
        <x:v>1025</x:v>
      </x:c>
      <x:c r="O77" t="s">
        <x:v>88</x:v>
      </x:c>
      <x:c r="P77" s="18">
        <x:v>2</x:v>
      </x:c>
      <x:c r="Q77" s="19" t="s">
        <x:v>231</x:v>
      </x:c>
      <x:c r="R77" s="18">
        <x:v>335243</x:v>
      </x:c>
      <x:c r="S77" t="s">
        <x:v>112</x:v>
      </x:c>
      <x:c r="T77" s="19">
        <x:f t="shared" si="81"/>
        <x:v>335243</x:v>
      </x:c>
      <x:c r="U77" s="20">
        <x:v>0.56999999999999995</x:v>
      </x:c>
      <x:c r="V77" t="s">
        <x:v>113</x:v>
      </x:c>
      <x:c r="W77" s="20">
        <x:v>15.93</x:v>
      </x:c>
      <x:c r="X77" s="21">
        <x:f t="shared" si="82"/>
        <x:v>3248.5046699999998</x:v>
      </x:c>
      <x:c r="Y77" s="21" t="n">
        <x:f>7.21*T77/1000</x:f>
        <x:v>2417.10203</x:v>
      </x:c>
      <x:c r="Z77" s="21">
        <x:f t="shared" si="83"/>
        <x:v>670.48599999999999</x:v>
      </x:c>
      <x:c r="AA77" s="21">
        <x:f t="shared" si="86"/>
        <x:v>8672.8436877600016</x:v>
      </x:c>
      <x:c r="AB77" s="21">
        <x:f t="shared" si="87"/>
        <x:v>2093.4450280800006</x:v>
      </x:c>
      <x:c r="AC77" s="21">
        <x:f t="shared" si="84"/>
        <x:v>4.1868900561600011</x:v>
      </x:c>
      <x:c r="AD77" s="21"/>
      <x:c r="AE77" s="21">
        <x:f t="shared" si="85"/>
        <x:v>13.409720000000002</x:v>
      </x:c>
      <x:c r="AF77" s="21"/>
      <x:c r="AG77" s="19" t="s">
        <x:v>176</x:v>
      </x:c>
      <x:c r="AH77" s="18">
        <x:v>142</x:v>
      </x:c>
      <x:c r="AI77" t="s">
        <x:v>112</x:v>
      </x:c>
      <x:c r="AJ77" s="19">
        <x:f t="shared" si="88"/>
        <x:v>142</x:v>
      </x:c>
      <x:c r="AK77" s="20">
        <x:v>0.01</x:v>
      </x:c>
      <x:c r="AL77" t="s">
        <x:v>113</x:v>
      </x:c>
      <x:c r="AM77" s="20">
        <x:v>0</x:v>
      </x:c>
      <x:c r="AN77" s="21" t="n">
        <x:f>2*AK77/100*AJ77</x:f>
        <x:v>0.0284</x:v>
      </x:c>
      <x:c r="AO77" s="21" t="n">
        <x:f>7.4*AJ77/1000</x:f>
        <x:v>1.0508</x:v>
      </x:c>
      <x:c r="AP77" s="21" t="n">
        <x:f>0.6*AJ77/1000</x:f>
        <x:v>0.0852</x:v>
      </x:c>
      <x:c r="AQ77" s="21" t="n">
        <x:f>0.5*AJ77/1000</x:f>
        <x:v>0.071</x:v>
      </x:c>
      <x:c r="AR77" s="21" t="n">
        <x:f>0.5*AJ77/1000</x:f>
        <x:v>0.071</x:v>
      </x:c>
      <x:c r="AS77" s="21" t="n">
        <x:f>0.01*AJ77/1000</x:f>
        <x:v>0.0014199999999999998</x:v>
      </x:c>
      <x:c r="AT77" s="21" t="n">
        <x:f>0.04*AJ77/1000</x:f>
        <x:v>0.005679999999999999</x:v>
      </x:c>
      <x:c r="AU77" s="21" t="n">
        <x:f>0.13*AJ77/1000</x:f>
        <x:v>0.01846</x:v>
      </x:c>
      <x:c r="AV77" s="21"/>
      <x:c r="AW77" s="18">
        <x:v>0</x:v>
      </x:c>
      <x:c r="AX77" s="19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t="s">
        <x:v>82</x:v>
      </x:c>
      <x:c r="BI77" s="18">
        <x:v>113</x:v>
      </x:c>
      <x:c r="BJ77" s="18">
        <x:v>3</x:v>
      </x:c>
      <x:c r="BK77" s="18">
        <x:v>50</x:v>
      </x:c>
      <x:c r="BL77" s="18">
        <x:v>25</x:v>
      </x:c>
      <x:c r="BM77" s="18">
        <x:v>15</x:v>
      </x:c>
      <x:c r="BN77" s="18">
        <x:v>11</x:v>
      </x:c>
      <x:c r="BO77" s="22">
        <x:v>113.063888888889</x:v>
      </x:c>
      <x:c r="BP77" s="22">
        <x:v>25.253055555555601</x:v>
      </x:c>
      <x:c r="BQ77" s="18">
        <x:v>210</x:v>
      </x:c>
      <x:c r="BR77" s="18">
        <x:v>196742.9</x:v>
      </x:c>
      <x:c r="BS77" s="18">
        <x:v>487.27600000000001</x:v>
      </x:c>
      <x:c r="BT77" s="18">
        <x:v>58.902999999999999</x:v>
      </x:c>
      <x:c r="BU77" s="18">
        <x:v>325.18599999999998</x:v>
      </x:c>
      <x:c r="BV77" s="18">
        <x:v>94.075999999999993</x:v>
      </x:c>
      <x:c r="BW77" s="18">
        <x:v>48061.811000000002</x:v>
      </x:c>
      <x:c r="BX77" s="18">
        <x:v>3.2589999999999999</x:v>
      </x:c>
      <x:c r="BY77" s="18">
        <x:v>1397.963</x:v>
      </x:c>
      <x:c r="BZ77" s="18">
        <x:v>1397.963</x:v>
      </x:c>
      <x:c r="CA77" s="23">
        <x:f t="shared" si="65"/>
        <x:v>3248.53307</x:v>
      </x:c>
      <x:c r="CB77" s="23">
        <x:f t="shared" si="66"/>
        <x:v>2418.15283</x:v>
      </x:c>
      <x:c r="CC77" s="23">
        <x:f t="shared" si="67"/>
        <x:v>670.57119999999998</x:v>
      </x:c>
      <x:c r="CD77" s="23">
        <x:f t="shared" si="68"/>
        <x:v>8672.9146877600015</x:v>
      </x:c>
      <x:c r="CE77" s="23">
        <x:f t="shared" si="69"/>
        <x:v>2093.5160280800005</x:v>
      </x:c>
      <x:c r="CF77" s="23">
        <x:f t="shared" si="70"/>
        <x:v>4.1883100561600015</x:v>
      </x:c>
      <x:c r="CG77" s="23">
        <x:f t="shared" si="71"/>
        <x:v>5.6799999999999993E-3</x:v>
      </x:c>
      <x:c r="CH77" s="23">
        <x:f t="shared" si="72"/>
        <x:v>13.428180000000001</x:v>
      </x:c>
      <x:c r="CI77" s="23">
        <x:f t="shared" si="73"/>
        <x:v>0</x:v>
      </x:c>
      <x:c r="CJ77" s="24" t="s">
        <x:v>202</x:v>
      </x:c>
      <x:c r="CK77" s="25">
        <x:v>97.9</x:v>
      </x:c>
      <x:c r="CL77" s="26" t="s">
        <x:v>232</x:v>
      </x:c>
      <x:c r="CM77" s="26">
        <x:v>80</x:v>
      </x:c>
      <x:c r="CN77" s="27" t="s">
        <x:v>233</x:v>
      </x:c>
      <x:c r="CO77" s="27">
        <x:v>99.4</x:v>
      </x:c>
      <x:c r="CP77" s="27">
        <x:v>98.3</x:v>
      </x:c>
      <x:c r="CQ77" s="26">
        <x:f t="shared" si="74"/>
        <x:v>68.219194469999692</x:v>
      </x:c>
      <x:c r="CR77" s="26">
        <x:f t="shared" si="75"/>
        <x:v>483.63056599999987</x:v>
      </x:c>
      <x:c r="CS77" s="26">
        <x:f t="shared" si="78"/>
        <x:v>670.57119999999998</x:v>
      </x:c>
      <x:c r="CT77" s="26">
        <x:f t="shared" si="43"/>
        <x:v>52.03748812655909</x:v>
      </x:c>
      <x:c r="CU77" s="26">
        <x:f t="shared" si="44"/>
        <x:v>35.589772477360043</x:v>
      </x:c>
      <x:c r="CV77" s="26">
        <x:f t="shared" si="45"/>
        <x:v>7.1201270954720092E-2</x:v>
      </x:c>
      <x:c r="CW77" s="26">
        <x:f t="shared" si="46"/>
        <x:v>9.6560000000000078E-5</x:v>
      </x:c>
      <x:c r="CX77" s="26">
        <x:f t="shared" si="79"/>
        <x:v>13.428180000000001</x:v>
      </x:c>
      <x:c r="CY77" s="26">
        <x:f t="shared" si="80"/>
        <x:v>0</x:v>
      </x:c>
    </x:row>
    <x:row r="78">
      <x:c r="A78" s="18">
        <x:v>2022</x:v>
      </x:c>
      <x:c r="B78" t="s">
        <x:v>234</x:v>
      </x:c>
      <x:c r="C78" t="s">
        <x:v>235</x:v>
      </x:c>
      <x:c r="D78" t="s">
        <x:v>236</x:v>
      </x:c>
      <x:c r="E78" s="18">
        <x:v>440282</x:v>
      </x:c>
      <x:c r="F78" t="s">
        <x:v>237</x:v>
      </x:c>
      <x:c r="G78" t="s">
        <x:v>199</x:v>
      </x:c>
      <x:c r="H78" s="18">
        <x:v>4412</x:v>
      </x:c>
      <x:c r="I78" t="s">
        <x:v>108</x:v>
      </x:c>
      <x:c r="J78" t="s">
        <x:v>78</x:v>
      </x:c>
      <x:c r="K78" t="s">
        <x:v>109</x:v>
      </x:c>
      <x:c r="L78" s="20">
        <x:v>35</x:v>
      </x:c>
      <x:c r="M78" t="s">
        <x:v>125</x:v>
      </x:c>
      <x:c r="N78" s="18">
        <x:v>1156</x:v>
      </x:c>
      <x:c r="O78" t="s">
        <x:v>88</x:v>
      </x:c>
      <x:c r="P78" s="18">
        <x:v>5</x:v>
      </x:c>
      <x:c r="Q78" s="19" t="s">
        <x:v>238</x:v>
      </x:c>
      <x:c r="R78" s="18">
        <x:v>737372.55</x:v>
      </x:c>
      <x:c r="S78" t="s">
        <x:v>112</x:v>
      </x:c>
      <x:c r="T78" s="19">
        <x:f t="shared" si="81"/>
        <x:v>737372.55</x:v>
      </x:c>
      <x:c r="U78" s="20">
        <x:v>0.53</x:v>
      </x:c>
      <x:c r="V78" t="s">
        <x:v>113</x:v>
      </x:c>
      <x:c r="W78" s="20">
        <x:v>13.33</x:v>
      </x:c>
      <x:c r="X78" s="21">
        <x:f t="shared" si="82"/>
        <x:v>6643.726675500001</x:v>
      </x:c>
      <x:c r="Y78" s="21" t="n">
        <x:f>7.21*T78/1000</x:f>
        <x:v>5316.4560855</x:v>
      </x:c>
      <x:c r="Z78" s="21">
        <x:f t="shared" si="83"/>
        <x:v>1474.7451000000001</x:v>
      </x:c>
      <x:c r="AA78" s="21">
        <x:f t="shared" si="86"/>
        <x:v>15962.581972596001</x:v>
      </x:c>
      <x:c r="AB78" s="21">
        <x:f t="shared" si="87"/>
        <x:v>3853.0370278680011</x:v>
      </x:c>
      <x:c r="AC78" s="21">
        <x:f t="shared" si="84"/>
        <x:v>7.7060740557360026</x:v>
      </x:c>
      <x:c r="AD78" s="21"/>
      <x:c r="AE78" s="21">
        <x:f t="shared" si="85"/>
        <x:v>29.494902000000003</x:v>
      </x:c>
      <x:c r="AF78" s="21"/>
      <x:c r="AG78" s="19" t="s">
        <x:v>78</x:v>
      </x:c>
      <x:c r="AH78" t="s">
        <x:v>78</x:v>
      </x:c>
      <x:c r="AI78" t="s">
        <x:v>78</x:v>
      </x:c>
      <x:c r="AJ78" s="19"/>
      <x:c r="AK78" s="19" t="s">
        <x:v>78</x:v>
      </x:c>
      <x:c r="AL78" t="s">
        <x:v>78</x:v>
      </x:c>
      <x:c r="AM78" s="19" t="s">
        <x:v>78</x:v>
      </x:c>
      <x:c r="AN78" s="21"/>
      <x:c r="AO78" s="21"/>
      <x:c r="AP78" s="21"/>
      <x:c r="AQ78" s="21"/>
      <x:c r="AR78" s="21"/>
      <x:c r="AS78" s="21"/>
      <x:c r="AT78" s="21"/>
      <x:c r="AU78" s="21"/>
      <x:c r="AV78" s="21"/>
      <x:c r="AW78" t="s">
        <x:v>78</x:v>
      </x:c>
      <x:c r="AX78" s="19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t="s">
        <x:v>81</x:v>
      </x:c>
      <x:c r="BI78" s="18">
        <x:v>114</x:v>
      </x:c>
      <x:c r="BJ78" s="18">
        <x:v>17</x:v>
      </x:c>
      <x:c r="BK78" s="18">
        <x:v>37.07</x:v>
      </x:c>
      <x:c r="BL78" s="18">
        <x:v>25</x:v>
      </x:c>
      <x:c r="BM78" s="18">
        <x:v>8</x:v>
      </x:c>
      <x:c r="BN78" s="18">
        <x:v>33.18</x:v>
      </x:c>
      <x:c r="BO78" s="22">
        <x:v>114.29363055555601</x:v>
      </x:c>
      <x:c r="BP78" s="22">
        <x:v>25.14255</x:v>
      </x:c>
      <x:c r="BQ78" s="18">
        <x:v>210</x:v>
      </x:c>
      <x:c r="BR78" s="18">
        <x:v>498422.19300000003</x:v>
      </x:c>
      <x:c r="BS78" s="18">
        <x:v>61.953000000000003</x:v>
      </x:c>
      <x:c r="BT78" s="18">
        <x:v>53.969000000000001</x:v>
      </x:c>
      <x:c r="BU78" s="18">
        <x:v>133.05099999999999</x:v>
      </x:c>
      <x:c r="BV78" s="18">
        <x:v>116.28700000000001</x:v>
      </x:c>
      <x:c r="BW78" s="18">
        <x:v>10.945</x:v>
      </x:c>
      <x:c r="BX78" s="18">
        <x:v>9.5649999999999995</x:v>
      </x:c>
      <x:c r="BY78" s="18">
        <x:v>5965.3440000000001</x:v>
      </x:c>
      <x:c r="BZ78" s="18">
        <x:v>5965.3440000000001</x:v>
      </x:c>
      <x:c r="CA78" s="23">
        <x:f t="shared" si="65"/>
        <x:v>6643.726675500001</x:v>
      </x:c>
      <x:c r="CB78" s="23">
        <x:f t="shared" si="66"/>
        <x:v>5316.4560855</x:v>
      </x:c>
      <x:c r="CC78" s="23">
        <x:f t="shared" si="67"/>
        <x:v>1474.7451000000001</x:v>
      </x:c>
      <x:c r="CD78" s="23">
        <x:f t="shared" si="68"/>
        <x:v>15962.581972596001</x:v>
      </x:c>
      <x:c r="CE78" s="23">
        <x:f t="shared" si="69"/>
        <x:v>3853.0370278680011</x:v>
      </x:c>
      <x:c r="CF78" s="23">
        <x:f t="shared" si="70"/>
        <x:v>7.7060740557360026</x:v>
      </x:c>
      <x:c r="CG78" s="23">
        <x:f t="shared" si="71"/>
        <x:v>0</x:v>
      </x:c>
      <x:c r="CH78" s="23">
        <x:f t="shared" si="72"/>
        <x:v>29.494902000000003</x:v>
      </x:c>
      <x:c r="CI78" s="23">
        <x:f t="shared" si="73"/>
        <x:v>0</x:v>
      </x:c>
      <x:c r="CJ78" s="24" t="s">
        <x:v>239</x:v>
      </x:c>
      <x:c r="CK78" s="25">
        <x:v>98.2</x:v>
      </x:c>
      <x:c r="CL78" s="26" t="s">
        <x:v>240</x:v>
      </x:c>
      <x:c r="CM78" s="26">
        <x:v>86</x:v>
      </x:c>
      <x:c r="CN78" s="27" t="s">
        <x:v>241</x:v>
      </x:c>
      <x:c r="CO78" s="27">
        <x:v>99.4</x:v>
      </x:c>
      <x:c r="CP78" s="27">
        <x:v>98.3</x:v>
      </x:c>
      <x:c r="CQ78" s="26">
        <x:f t="shared" si="74"/>
        <x:v>119.58708015900012</x:v>
      </x:c>
      <x:c r="CR78" s="26">
        <x:f t="shared" si="75"/>
        <x:v>744.3038519700001</x:v>
      </x:c>
      <x:c r="CS78" s="26">
        <x:f t="shared" si="78"/>
        <x:v>1474.7451000000001</x:v>
      </x:c>
      <x:c r="CT78" s="26">
        <x:f t="shared" si="43"/>
        <x:v>95.775491835574314</x:v>
      </x:c>
      <x:c r="CU78" s="26">
        <x:f t="shared" si="44"/>
        <x:v>65.501629473756083</x:v>
      </x:c>
      <x:c r="CV78" s="26">
        <x:f t="shared" si="45"/>
        <x:v>0.13100325894751216</x:v>
      </x:c>
      <x:c r="CW78" s="26">
        <x:f t="shared" si="46"/>
        <x:v>0</x:v>
      </x:c>
      <x:c r="CX78" s="26">
        <x:f t="shared" si="79"/>
        <x:v>29.494902000000003</x:v>
      </x:c>
      <x:c r="CY78" s="26">
        <x:f t="shared" si="80"/>
        <x:v>0</x:v>
      </x:c>
    </x:row>
    <x:row r="79">
      <x:c r="A79" s="18">
        <x:v>2022</x:v>
      </x:c>
      <x:c r="B79" t="s">
        <x:v>234</x:v>
      </x:c>
      <x:c r="C79" t="s">
        <x:v>235</x:v>
      </x:c>
      <x:c r="D79" t="s">
        <x:v>236</x:v>
      </x:c>
      <x:c r="E79" s="18">
        <x:v>440282</x:v>
      </x:c>
      <x:c r="F79" t="s">
        <x:v>237</x:v>
      </x:c>
      <x:c r="G79" t="s">
        <x:v>199</x:v>
      </x:c>
      <x:c r="H79" s="18">
        <x:v>4412</x:v>
      </x:c>
      <x:c r="I79" t="s">
        <x:v>108</x:v>
      </x:c>
      <x:c r="J79" t="s">
        <x:v>78</x:v>
      </x:c>
      <x:c r="K79" t="s">
        <x:v>109</x:v>
      </x:c>
      <x:c r="L79" s="20">
        <x:v>35</x:v>
      </x:c>
      <x:c r="M79" t="s">
        <x:v>125</x:v>
      </x:c>
      <x:c r="N79" s="18">
        <x:v>1156</x:v>
      </x:c>
      <x:c r="O79" t="s">
        <x:v>88</x:v>
      </x:c>
      <x:c r="P79" s="18">
        <x:v>5</x:v>
      </x:c>
      <x:c r="Q79" s="19" t="s">
        <x:v>238</x:v>
      </x:c>
      <x:c r="R79" s="18">
        <x:v>650475.62</x:v>
      </x:c>
      <x:c r="S79" t="s">
        <x:v>112</x:v>
      </x:c>
      <x:c r="T79" s="19">
        <x:f t="shared" si="81"/>
        <x:v>650475.62</x:v>
      </x:c>
      <x:c r="U79" s="20">
        <x:v>0.51</x:v>
      </x:c>
      <x:c r="V79" t="s">
        <x:v>113</x:v>
      </x:c>
      <x:c r="W79" s="20">
        <x:v>11.56</x:v>
      </x:c>
      <x:c r="X79" s="21">
        <x:f t="shared" si="82"/>
        <x:v>5639.6236254000005</x:v>
      </x:c>
      <x:c r="Y79" s="21" t="n">
        <x:f>7.21*T79/1000</x:f>
        <x:v>4689.929220200001</x:v>
      </x:c>
      <x:c r="Z79" s="21">
        <x:f t="shared" si="83"/>
        <x:v>1300.9512400000001</x:v>
      </x:c>
      <x:c r="AA79" s="21">
        <x:f t="shared" si="86"/>
        <x:v>12211.665023532802</x:v>
      </x:c>
      <x:c r="AB79" s="21">
        <x:f t="shared" si="87"/>
        <x:v>2947.6432815424009</x:v>
      </x:c>
      <x:c r="AC79" s="21">
        <x:f t="shared" si="84"/>
        <x:v>5.8952865630848024</x:v>
      </x:c>
      <x:c r="AD79" s="21"/>
      <x:c r="AE79" s="21">
        <x:f t="shared" si="85"/>
        <x:v>26.0190248</x:v>
      </x:c>
      <x:c r="AF79" s="21"/>
      <x:c r="AG79" s="19" t="s">
        <x:v>78</x:v>
      </x:c>
      <x:c r="AH79" t="s">
        <x:v>78</x:v>
      </x:c>
      <x:c r="AI79" t="s">
        <x:v>78</x:v>
      </x:c>
      <x:c r="AJ79" s="19"/>
      <x:c r="AK79" s="19" t="s">
        <x:v>78</x:v>
      </x:c>
      <x:c r="AL79" t="s">
        <x:v>78</x:v>
      </x:c>
      <x:c r="AM79" s="19" t="s">
        <x:v>78</x:v>
      </x:c>
      <x:c r="AN79" s="21"/>
      <x:c r="AO79" s="21"/>
      <x:c r="AP79" s="21"/>
      <x:c r="AQ79" s="21"/>
      <x:c r="AR79" s="21"/>
      <x:c r="AS79" s="21"/>
      <x:c r="AT79" s="21"/>
      <x:c r="AU79" s="21"/>
      <x:c r="AV79" s="21"/>
      <x:c r="AW79" t="s">
        <x:v>78</x:v>
      </x:c>
      <x:c r="AX79" s="19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t="s">
        <x:v>81</x:v>
      </x:c>
      <x:c r="BI79" s="18">
        <x:v>114</x:v>
      </x:c>
      <x:c r="BJ79" s="18">
        <x:v>17</x:v>
      </x:c>
      <x:c r="BK79" s="18">
        <x:v>37.07</x:v>
      </x:c>
      <x:c r="BL79" s="18">
        <x:v>25</x:v>
      </x:c>
      <x:c r="BM79" s="18">
        <x:v>8</x:v>
      </x:c>
      <x:c r="BN79" s="18">
        <x:v>33.18</x:v>
      </x:c>
      <x:c r="BO79" s="22">
        <x:v>114.29363055555601</x:v>
      </x:c>
      <x:c r="BP79" s="22">
        <x:v>25.14255</x:v>
      </x:c>
      <x:c r="BQ79" s="18">
        <x:v>210</x:v>
      </x:c>
      <x:c r="BR79" s="18">
        <x:v>447254.821</x:v>
      </x:c>
      <x:c r="BS79" s="18">
        <x:v>43.524000000000001</x:v>
      </x:c>
      <x:c r="BT79" s="18">
        <x:v>38.594000000000001</x:v>
      </x:c>
      <x:c r="BU79" s="18">
        <x:v>92.611000000000004</x:v>
      </x:c>
      <x:c r="BV79" s="18">
        <x:v>81.912000000000006</x:v>
      </x:c>
      <x:c r="BW79" s="18">
        <x:v>8.35</x:v>
      </x:c>
      <x:c r="BX79" s="18">
        <x:v>7.3520000000000003</x:v>
      </x:c>
      <x:c r="BY79" s="18">
        <x:v>5262.348</x:v>
      </x:c>
      <x:c r="BZ79" s="18">
        <x:v>5262.348</x:v>
      </x:c>
      <x:c r="CA79" s="23">
        <x:f t="shared" si="65"/>
        <x:v>5639.6236254000005</x:v>
      </x:c>
      <x:c r="CB79" s="23">
        <x:f t="shared" si="66"/>
        <x:v>4689.9292202000006</x:v>
      </x:c>
      <x:c r="CC79" s="23">
        <x:f t="shared" si="67"/>
        <x:v>1300.9512400000001</x:v>
      </x:c>
      <x:c r="CD79" s="23">
        <x:f t="shared" si="68"/>
        <x:v>12211.665023532802</x:v>
      </x:c>
      <x:c r="CE79" s="23">
        <x:f t="shared" si="69"/>
        <x:v>2947.6432815424009</x:v>
      </x:c>
      <x:c r="CF79" s="23">
        <x:f t="shared" si="70"/>
        <x:v>5.8952865630848024</x:v>
      </x:c>
      <x:c r="CG79" s="23">
        <x:f t="shared" si="71"/>
        <x:v>0</x:v>
      </x:c>
      <x:c r="CH79" s="23">
        <x:f t="shared" si="72"/>
        <x:v>26.0190248</x:v>
      </x:c>
      <x:c r="CI79" s="23">
        <x:f t="shared" si="73"/>
        <x:v>0</x:v>
      </x:c>
      <x:c r="CJ79" s="24" t="s">
        <x:v>239</x:v>
      </x:c>
      <x:c r="CK79" s="25">
        <x:v>98.2</x:v>
      </x:c>
      <x:c r="CL79" s="26" t="s">
        <x:v>240</x:v>
      </x:c>
      <x:c r="CM79" s="26">
        <x:v>86</x:v>
      </x:c>
      <x:c r="CN79" s="27" t="s">
        <x:v>241</x:v>
      </x:c>
      <x:c r="CO79" s="27">
        <x:v>99.4</x:v>
      </x:c>
      <x:c r="CP79" s="27">
        <x:v>98.3</x:v>
      </x:c>
      <x:c r="CQ79" s="26">
        <x:f t="shared" si="74"/>
        <x:v>101.51322525720011</x:v>
      </x:c>
      <x:c r="CR79" s="26">
        <x:f t="shared" si="75"/>
        <x:v>656.59009082800014</x:v>
      </x:c>
      <x:c r="CS79" s="26">
        <x:f t="shared" si="78"/>
        <x:v>1300.9512400000001</x:v>
      </x:c>
      <x:c r="CT79" s="26">
        <x:f t="shared" si="43"/>
        <x:v>73.269990141195521</x:v>
      </x:c>
      <x:c r="CU79" s="26">
        <x:f t="shared" si="44"/>
        <x:v>50.109935786220859</x:v>
      </x:c>
      <x:c r="CV79" s="26">
        <x:f t="shared" si="45"/>
        <x:v>0.10021987157244173</x:v>
      </x:c>
      <x:c r="CW79" s="26">
        <x:f t="shared" si="46"/>
        <x:v>0</x:v>
      </x:c>
      <x:c r="CX79" s="26">
        <x:f t="shared" si="79"/>
        <x:v>26.0190248</x:v>
      </x:c>
      <x:c r="CY79" s="26">
        <x:f t="shared" si="80"/>
        <x:v>0</x:v>
      </x:c>
    </x:row>
    <x:row r="80">
      <x:c r="A80" s="18">
        <x:v>2022</x:v>
      </x:c>
      <x:c r="B80" t="s">
        <x:v>242</x:v>
      </x:c>
      <x:c r="C80" t="s">
        <x:v>243</x:v>
      </x:c>
      <x:c r="D80" t="s">
        <x:v>244</x:v>
      </x:c>
      <x:c r="E80" s="18">
        <x:v>440304</x:v>
      </x:c>
      <x:c r="F80" t="s">
        <x:v>245</x:v>
      </x:c>
      <x:c r="G80" t="s">
        <x:v>246</x:v>
      </x:c>
      <x:c r="H80" s="18">
        <x:v>4411</x:v>
      </x:c>
      <x:c r="I80" t="s">
        <x:v>102</x:v>
      </x:c>
      <x:c r="J80" t="s">
        <x:v>247</x:v>
      </x:c>
      <x:c r="K80" t="s">
        <x:v>80</x:v>
      </x:c>
      <x:c r="L80" s="18">
        <x:v>24.3</x:v>
      </x:c>
      <x:c r="M80" t="s">
        <x:v>78</x:v>
      </x:c>
      <x:c r="N80" s="18">
        <x:v>235</x:v>
      </x:c>
      <x:c r="O80" t="s">
        <x:v>88</x:v>
      </x:c>
      <x:c r="P80" s="18">
        <x:v>15</x:v>
      </x:c>
      <x:c r="Q80" s="19" t="s">
        <x:v>96</x:v>
      </x:c>
      <x:c r="R80" s="18">
        <x:v>12821.83</x:v>
      </x:c>
      <x:c r="S80" t="s">
        <x:v>76</x:v>
      </x:c>
      <x:c r="T80" s="19">
        <x:f t="shared" si="81"/>
        <x:v>12821.83</x:v>
      </x:c>
      <x:c r="U80" s="20">
        <x:v>20</x:v>
      </x:c>
      <x:c r="V80" t="s">
        <x:v>77</x:v>
      </x:c>
      <x:c r="W80" s="19" t="s">
        <x:v>78</x:v>
      </x:c>
      <x:c r="X80" s="21" t="n">
        <x:f>2*U80*T80*10000/1000000000</x:f>
        <x:v>5.128732</x:v>
      </x:c>
      <x:c r="Y80" s="21" t="n">
        <x:f>4.1*T80*10000/1000000</x:f>
        <x:v>525.69503</x:v>
      </x:c>
      <x:c r="Z80" s="21" t="n">
        <x:f>1.3*T80*10000/1000000</x:f>
        <x:v>166.68379</x:v>
      </x:c>
      <x:c r="AA80" s="21" t="n">
        <x:f>0.03*T80*10000/1000000</x:f>
        <x:v>3.846549</x:v>
      </x:c>
      <x:c r="AB80" s="21" t="n">
        <x:f>0.03*T80*10000/1000000</x:f>
        <x:v>3.846549</x:v>
      </x:c>
      <x:c r="AC80" s="21"/>
      <x:c r="AD80" s="21"/>
      <x:c r="AE80" s="21" t="n">
        <x:f>0.02*T80*10000/1000000</x:f>
        <x:v>2.564366</x:v>
      </x:c>
      <x:c r="AF80" s="21"/>
      <x:c r="AG80" s="19" t="s">
        <x:v>78</x:v>
      </x:c>
      <x:c r="AH80" t="s">
        <x:v>78</x:v>
      </x:c>
      <x:c r="AI80" t="s">
        <x:v>78</x:v>
      </x:c>
      <x:c r="AJ80" s="19"/>
      <x:c r="AK80" s="19" t="s">
        <x:v>78</x:v>
      </x:c>
      <x:c r="AL80" t="s">
        <x:v>78</x:v>
      </x:c>
      <x:c r="AM80" s="19" t="s">
        <x:v>78</x:v>
      </x:c>
      <x:c r="AN80" s="21"/>
      <x:c r="AO80" s="21"/>
      <x:c r="AP80" s="21"/>
      <x:c r="AQ80" s="21"/>
      <x:c r="AR80" s="21"/>
      <x:c r="AS80" s="21"/>
      <x:c r="AT80" s="21"/>
      <x:c r="AU80" s="21"/>
      <x:c r="AV80" s="21"/>
      <x:c r="AW80" t="s">
        <x:v>78</x:v>
      </x:c>
      <x:c r="AX80" s="19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t="s">
        <x:v>81</x:v>
      </x:c>
      <x:c r="BI80" s="18">
        <x:v>113</x:v>
      </x:c>
      <x:c r="BJ80" s="18">
        <x:v>59</x:v>
      </x:c>
      <x:c r="BK80" s="18">
        <x:v>53</x:v>
      </x:c>
      <x:c r="BL80" s="18">
        <x:v>22</x:v>
      </x:c>
      <x:c r="BM80" s="18">
        <x:v>32</x:v>
      </x:c>
      <x:c r="BN80" s="18">
        <x:v>55</x:v>
      </x:c>
      <x:c r="BO80" s="22">
        <x:v>113.99805555555599</x:v>
      </x:c>
      <x:c r="BP80" s="22">
        <x:v>22.5486111111111</x:v>
      </x:c>
      <x:c r="BQ80" s="18">
        <x:v>55</x:v>
      </x:c>
      <x:c r="BR80" s="18">
        <x:v>244381.64</x:v>
      </x:c>
      <x:c r="BS80" t="s">
        <x:v>78</x:v>
      </x:c>
      <x:c r="BT80" t="s">
        <x:v>78</x:v>
      </x:c>
      <x:c r="BU80" s="18">
        <x:v>162.83699999999999</x:v>
      </x:c>
      <x:c r="BV80" s="18">
        <x:v>33.140999999999998</x:v>
      </x:c>
      <x:c r="BW80" t="s">
        <x:v>78</x:v>
      </x:c>
      <x:c r="BX80" t="s">
        <x:v>78</x:v>
      </x:c>
      <x:c r="BY80" t="s">
        <x:v>78</x:v>
      </x:c>
      <x:c r="BZ80" t="s">
        <x:v>78</x:v>
      </x:c>
      <x:c r="CA80" s="23">
        <x:f t="shared" si="65"/>
        <x:v>5.1287320000000003</x:v>
      </x:c>
      <x:c r="CB80" s="23">
        <x:f t="shared" si="66"/>
        <x:v>525.69502999999997</x:v>
      </x:c>
      <x:c r="CC80" s="23">
        <x:f t="shared" si="67"/>
        <x:v>166.68378999999999</x:v>
      </x:c>
      <x:c r="CD80" s="23">
        <x:f t="shared" si="68"/>
        <x:v>3.846549</x:v>
      </x:c>
      <x:c r="CE80" s="23">
        <x:f t="shared" si="69"/>
        <x:v>3.846549</x:v>
      </x:c>
      <x:c r="CF80" s="23">
        <x:f t="shared" si="70"/>
        <x:v>0</x:v>
      </x:c>
      <x:c r="CG80" s="23">
        <x:f t="shared" si="71"/>
        <x:v>0</x:v>
      </x:c>
      <x:c r="CH80" s="23">
        <x:f t="shared" si="72"/>
        <x:v>2.5643660000000001</x:v>
      </x:c>
      <x:c r="CI80" s="23">
        <x:f t="shared" si="73"/>
        <x:v>0</x:v>
      </x:c>
      <x:c r="CJ80" s="24" t="s">
        <x:v>78</x:v>
      </x:c>
      <x:c r="CK80" s="25">
        <x:v>0</x:v>
      </x:c>
      <x:c r="CL80" s="26" t="s">
        <x:v>97</x:v>
      </x:c>
      <x:c r="CM80" s="28">
        <x:v>70</x:v>
      </x:c>
      <x:c r="CN80" s="27" t="s">
        <x:v>78</x:v>
      </x:c>
      <x:c r="CO80" s="27">
        <x:v>0</x:v>
      </x:c>
      <x:c r="CP80" s="27">
        <x:v>0</x:v>
      </x:c>
      <x:c r="CQ80" s="26">
        <x:f t="shared" si="74"/>
        <x:v>5.1287320000000003</x:v>
      </x:c>
      <x:c r="CR80" s="26">
        <x:f t="shared" si="75"/>
        <x:v>157.70850900000002</x:v>
      </x:c>
      <x:c r="CS80" s="26">
        <x:f t="shared" si="78"/>
        <x:v>166.68378999999999</x:v>
      </x:c>
      <x:c r="CT80" s="26">
        <x:f t="shared" si="43"/>
        <x:v>3.846549</x:v>
      </x:c>
      <x:c r="CU80" s="26">
        <x:f t="shared" si="44"/>
        <x:v>3.846549</x:v>
      </x:c>
      <x:c r="CV80" s="26">
        <x:f t="shared" si="45"/>
        <x:v>0</x:v>
      </x:c>
      <x:c r="CW80" s="26">
        <x:f t="shared" si="46"/>
        <x:v>0</x:v>
      </x:c>
      <x:c r="CX80" s="26">
        <x:f t="shared" si="79"/>
        <x:v>2.5643660000000001</x:v>
      </x:c>
      <x:c r="CY80" s="26">
        <x:f t="shared" si="80"/>
        <x:v>0</x:v>
      </x:c>
    </x:row>
    <x:row r="81">
      <x:c r="A81" s="18">
        <x:v>2022</x:v>
      </x:c>
      <x:c r="B81" t="s">
        <x:v>242</x:v>
      </x:c>
      <x:c r="C81" t="s">
        <x:v>243</x:v>
      </x:c>
      <x:c r="D81" t="s">
        <x:v>244</x:v>
      </x:c>
      <x:c r="E81" s="18">
        <x:v>440304</x:v>
      </x:c>
      <x:c r="F81" t="s">
        <x:v>245</x:v>
      </x:c>
      <x:c r="G81" t="s">
        <x:v>246</x:v>
      </x:c>
      <x:c r="H81" s="18">
        <x:v>4411</x:v>
      </x:c>
      <x:c r="I81" t="s">
        <x:v>102</x:v>
      </x:c>
      <x:c r="J81" t="s">
        <x:v>247</x:v>
      </x:c>
      <x:c r="K81" t="s">
        <x:v>80</x:v>
      </x:c>
      <x:c r="L81" s="18">
        <x:v>26</x:v>
      </x:c>
      <x:c r="M81" t="s">
        <x:v>78</x:v>
      </x:c>
      <x:c r="N81" s="18">
        <x:v>281</x:v>
      </x:c>
      <x:c r="O81" t="s">
        <x:v>88</x:v>
      </x:c>
      <x:c r="P81" s="18">
        <x:v>15</x:v>
      </x:c>
      <x:c r="Q81" s="19" t="s">
        <x:v>96</x:v>
      </x:c>
      <x:c r="R81" s="18">
        <x:v>15349.68</x:v>
      </x:c>
      <x:c r="S81" t="s">
        <x:v>76</x:v>
      </x:c>
      <x:c r="T81" s="19">
        <x:f t="shared" si="81"/>
        <x:v>15349.68</x:v>
      </x:c>
      <x:c r="U81" s="20">
        <x:v>20</x:v>
      </x:c>
      <x:c r="V81" t="s">
        <x:v>77</x:v>
      </x:c>
      <x:c r="W81" s="19" t="s">
        <x:v>78</x:v>
      </x:c>
      <x:c r="X81" s="21" t="n">
        <x:f>2*U81*T81*10000/1000000000</x:f>
        <x:v>6.139872</x:v>
      </x:c>
      <x:c r="Y81" s="21" t="n">
        <x:f>4.1*T81*10000/1000000</x:f>
        <x:v>629.33688</x:v>
      </x:c>
      <x:c r="Z81" s="21" t="n">
        <x:f>1.3*T81*10000/1000000</x:f>
        <x:v>199.54584000000003</x:v>
      </x:c>
      <x:c r="AA81" s="21" t="n">
        <x:f>0.03*T81*10000/1000000</x:f>
        <x:v>4.604904</x:v>
      </x:c>
      <x:c r="AB81" s="21" t="n">
        <x:f>0.03*T81*10000/1000000</x:f>
        <x:v>4.604904</x:v>
      </x:c>
      <x:c r="AC81" s="21"/>
      <x:c r="AD81" s="21"/>
      <x:c r="AE81" s="21" t="n">
        <x:f>0.02*T81*10000/1000000</x:f>
        <x:v>3.069936</x:v>
      </x:c>
      <x:c r="AF81" s="21"/>
      <x:c r="AG81" s="19" t="s">
        <x:v>78</x:v>
      </x:c>
      <x:c r="AH81" t="s">
        <x:v>78</x:v>
      </x:c>
      <x:c r="AI81" t="s">
        <x:v>78</x:v>
      </x:c>
      <x:c r="AJ81" s="19"/>
      <x:c r="AK81" s="19" t="s">
        <x:v>78</x:v>
      </x:c>
      <x:c r="AL81" t="s">
        <x:v>78</x:v>
      </x:c>
      <x:c r="AM81" s="19" t="s">
        <x:v>78</x:v>
      </x:c>
      <x:c r="AN81" s="21"/>
      <x:c r="AO81" s="21"/>
      <x:c r="AP81" s="21"/>
      <x:c r="AQ81" s="21"/>
      <x:c r="AR81" s="21"/>
      <x:c r="AS81" s="21"/>
      <x:c r="AT81" s="21"/>
      <x:c r="AU81" s="21"/>
      <x:c r="AV81" s="21"/>
      <x:c r="AW81" t="s">
        <x:v>78</x:v>
      </x:c>
      <x:c r="AX81" s="19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t="s">
        <x:v>82</x:v>
      </x:c>
      <x:c r="BI81" s="18">
        <x:v>113</x:v>
      </x:c>
      <x:c r="BJ81" s="18">
        <x:v>59</x:v>
      </x:c>
      <x:c r="BK81" s="18">
        <x:v>52</x:v>
      </x:c>
      <x:c r="BL81" s="18">
        <x:v>22</x:v>
      </x:c>
      <x:c r="BM81" s="18">
        <x:v>32</x:v>
      </x:c>
      <x:c r="BN81" s="18">
        <x:v>57</x:v>
      </x:c>
      <x:c r="BO81" s="22">
        <x:v>113.997777777778</x:v>
      </x:c>
      <x:c r="BP81" s="22">
        <x:v>22.5491666666667</x:v>
      </x:c>
      <x:c r="BQ81" s="18">
        <x:v>60</x:v>
      </x:c>
      <x:c r="BR81" s="18">
        <x:v>538762.46</x:v>
      </x:c>
      <x:c r="BS81" t="s">
        <x:v>78</x:v>
      </x:c>
      <x:c r="BT81" t="s">
        <x:v>78</x:v>
      </x:c>
      <x:c r="BU81" s="18">
        <x:v>194.941</x:v>
      </x:c>
      <x:c r="BV81" s="18">
        <x:v>72.944999999999993</x:v>
      </x:c>
      <x:c r="BW81" t="s">
        <x:v>78</x:v>
      </x:c>
      <x:c r="BX81" t="s">
        <x:v>78</x:v>
      </x:c>
      <x:c r="BY81" t="s">
        <x:v>78</x:v>
      </x:c>
      <x:c r="BZ81" t="s">
        <x:v>78</x:v>
      </x:c>
      <x:c r="CA81" s="23">
        <x:f t="shared" si="65"/>
        <x:v>6.1398720000000004</x:v>
      </x:c>
      <x:c r="CB81" s="23">
        <x:f t="shared" si="66"/>
        <x:v>629.33687999999995</x:v>
      </x:c>
      <x:c r="CC81" s="23">
        <x:f t="shared" si="67"/>
        <x:v>199.54584000000003</x:v>
      </x:c>
      <x:c r="CD81" s="23">
        <x:f t="shared" si="68"/>
        <x:v>4.6049040000000003</x:v>
      </x:c>
      <x:c r="CE81" s="23">
        <x:f t="shared" si="69"/>
        <x:v>4.6049040000000003</x:v>
      </x:c>
      <x:c r="CF81" s="23">
        <x:f t="shared" si="70"/>
        <x:v>0</x:v>
      </x:c>
      <x:c r="CG81" s="23">
        <x:f t="shared" si="71"/>
        <x:v>0</x:v>
      </x:c>
      <x:c r="CH81" s="23">
        <x:f t="shared" si="72"/>
        <x:v>3.0699360000000002</x:v>
      </x:c>
      <x:c r="CI81" s="23">
        <x:f t="shared" si="73"/>
        <x:v>0</x:v>
      </x:c>
      <x:c r="CJ81" s="24" t="s">
        <x:v>78</x:v>
      </x:c>
      <x:c r="CK81" s="25">
        <x:v>0</x:v>
      </x:c>
      <x:c r="CL81" s="26" t="s">
        <x:v>97</x:v>
      </x:c>
      <x:c r="CM81" s="28">
        <x:v>70</x:v>
      </x:c>
      <x:c r="CN81" s="27" t="s">
        <x:v>78</x:v>
      </x:c>
      <x:c r="CO81" s="27">
        <x:v>0</x:v>
      </x:c>
      <x:c r="CP81" s="27">
        <x:v>0</x:v>
      </x:c>
      <x:c r="CQ81" s="26">
        <x:f t="shared" si="74"/>
        <x:v>6.1398720000000004</x:v>
      </x:c>
      <x:c r="CR81" s="26">
        <x:f t="shared" si="75"/>
        <x:v>188.80106400000003</x:v>
      </x:c>
      <x:c r="CS81" s="26">
        <x:f t="shared" si="78"/>
        <x:v>199.54584000000003</x:v>
      </x:c>
      <x:c r="CT81" s="26">
        <x:f t="shared" si="43"/>
        <x:v>4.6049040000000003</x:v>
      </x:c>
      <x:c r="CU81" s="26">
        <x:f t="shared" si="44"/>
        <x:v>4.6049040000000003</x:v>
      </x:c>
      <x:c r="CV81" s="26">
        <x:f t="shared" si="45"/>
        <x:v>0</x:v>
      </x:c>
      <x:c r="CW81" s="26">
        <x:f t="shared" si="46"/>
        <x:v>0</x:v>
      </x:c>
      <x:c r="CX81" s="26">
        <x:f t="shared" si="79"/>
        <x:v>3.0699360000000002</x:v>
      </x:c>
      <x:c r="CY81" s="26">
        <x:f t="shared" si="80"/>
        <x:v>0</x:v>
      </x:c>
    </x:row>
    <x:row r="82">
      <x:c r="A82" s="18">
        <x:v>2022</x:v>
      </x:c>
      <x:c r="B82" t="s">
        <x:v>248</x:v>
      </x:c>
      <x:c r="C82" t="s">
        <x:v>249</x:v>
      </x:c>
      <x:c r="D82" t="s">
        <x:v>250</x:v>
      </x:c>
      <x:c r="E82" s="18">
        <x:v>440305</x:v>
      </x:c>
      <x:c r="F82" t="s">
        <x:v>251</x:v>
      </x:c>
      <x:c r="G82" t="s">
        <x:v>246</x:v>
      </x:c>
      <x:c r="H82" s="18">
        <x:v>4411</x:v>
      </x:c>
      <x:c r="I82" t="s">
        <x:v>102</x:v>
      </x:c>
      <x:c r="J82" t="s">
        <x:v>252</x:v>
      </x:c>
      <x:c r="K82" t="s">
        <x:v>109</x:v>
      </x:c>
      <x:c r="L82" s="20">
        <x:v>32</x:v>
      </x:c>
      <x:c r="M82" t="s">
        <x:v>110</x:v>
      </x:c>
      <x:c r="N82" s="18">
        <x:v>1025</x:v>
      </x:c>
      <x:c r="O82" t="s">
        <x:v>88</x:v>
      </x:c>
      <x:c r="P82" s="18">
        <x:v>1</x:v>
      </x:c>
      <x:c r="Q82" s="19" t="s">
        <x:v>121</x:v>
      </x:c>
      <x:c r="R82" s="18">
        <x:v>605757</x:v>
      </x:c>
      <x:c r="S82" t="s">
        <x:v>112</x:v>
      </x:c>
      <x:c r="T82" s="19" t="n">
        <x:f t="shared" ref="T82:T109" si="89">R82</x:f>
        <x:v>605757</x:v>
      </x:c>
      <x:c r="U82" s="20">
        <x:v>0.54500000000000004</x:v>
      </x:c>
      <x:c r="V82" t="s">
        <x:v>113</x:v>
      </x:c>
      <x:c r="W82" s="20">
        <x:v>14.4</x:v>
      </x:c>
      <x:c r="X82" s="21" t="n">
        <x:f t="shared" ref="X82:X87" si="90">2*U82/100*(1-0.15)*T82</x:f>
        <x:v>5612.338604999999</x:v>
      </x:c>
      <x:c r="Y82" s="21" t="n">
        <x:f t="shared" ref="Y82:Y87" si="91">7.21*T82/1000</x:f>
        <x:v>4367.50797</x:v>
      </x:c>
      <x:c r="Z82" s="21" t="n">
        <x:f t="shared" ref="Z82:Z87" si="92">2*T82/1000</x:f>
        <x:v>1211.514</x:v>
      </x:c>
      <x:c r="AA82" s="21" t="n">
        <x:f t="shared" ref="AA82:AA87" si="93">W82/100*(1-0.25)*0.23*T82</x:f>
        <x:v>15047.003880000002</x:v>
      </x:c>
      <x:c r="AB82" s="21" t="n">
        <x:f t="shared" ref="AB82:AB87" si="94">W82/100*(1-0.25)*0.06*T82</x:f>
        <x:v>3925.3053600000003</x:v>
      </x:c>
      <x:c r="AC82" s="21" t="n">
        <x:f t="shared" ref="AC82:AC87" si="95">0.002*AB82</x:f>
        <x:v>7.850610720000001</x:v>
      </x:c>
      <x:c r="AD82" s="21"/>
      <x:c r="AE82" s="21" t="n">
        <x:f t="shared" ref="AE82:AE87" si="96">0.04*T82/1000</x:f>
        <x:v>24.23028</x:v>
      </x:c>
      <x:c r="AF82" s="21"/>
      <x:c r="AG82" s="19" t="s">
        <x:v>96</x:v>
      </x:c>
      <x:c r="AH82" s="18">
        <x:v>73</x:v>
      </x:c>
      <x:c r="AI82" t="s">
        <x:v>76</x:v>
      </x:c>
      <x:c r="AJ82" s="19" t="n">
        <x:f>AH82</x:f>
        <x:v>73</x:v>
      </x:c>
      <x:c r="AK82" s="20">
        <x:v>20</x:v>
      </x:c>
      <x:c r="AL82" t="s">
        <x:v>77</x:v>
      </x:c>
      <x:c r="AM82" s="20">
        <x:v>0</x:v>
      </x:c>
      <x:c r="AN82" s="21" t="n">
        <x:f t="shared" ref="AN82:AN87" si="97">2*AK82*AJ82*10000/1000000000</x:f>
        <x:v>0.0292</x:v>
      </x:c>
      <x:c r="AO82" s="21" t="n">
        <x:f t="shared" ref="AO82:AO87" si="98">4.1*AJ82*10000/1000000</x:f>
        <x:v>2.9929999999999994</x:v>
      </x:c>
      <x:c r="AP82" s="21" t="n">
        <x:f t="shared" ref="AP82:AP87" si="99">1.3*AJ82*10000/1000000</x:f>
        <x:v>0.949</x:v>
      </x:c>
      <x:c r="AQ82" s="21" t="n">
        <x:f t="shared" ref="AQ82:AQ87" si="100">0.03*AJ82*10000/1000000</x:f>
        <x:v>0.0219</x:v>
      </x:c>
      <x:c r="AR82" s="21" t="n">
        <x:f t="shared" ref="AR82:AR87" si="101">0.03*AJ82*10000/1000000</x:f>
        <x:v>0.0219</x:v>
      </x:c>
      <x:c r="AS82" s="21"/>
      <x:c r="AT82" s="21"/>
      <x:c r="AU82" s="21" t="n">
        <x:f t="shared" ref="AU82:AU87" si="102">0.02*AJ82*10000/1000000</x:f>
        <x:v>0.0146</x:v>
      </x:c>
      <x:c r="AV82" s="21"/>
      <x:c r="AW82" t="s">
        <x:v>78</x:v>
      </x:c>
      <x:c r="AX82" s="19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t="s">
        <x:v>81</x:v>
      </x:c>
      <x:c r="BI82" s="18">
        <x:v>113</x:v>
      </x:c>
      <x:c r="BJ82" s="18">
        <x:v>52</x:v>
      </x:c>
      <x:c r="BK82" s="18">
        <x:v>26.37</x:v>
      </x:c>
      <x:c r="BL82" s="18">
        <x:v>22</x:v>
      </x:c>
      <x:c r="BM82" s="18">
        <x:v>28</x:v>
      </x:c>
      <x:c r="BN82" s="18">
        <x:v>32.67</x:v>
      </x:c>
      <x:c r="BO82" s="22">
        <x:v>113.873991666667</x:v>
      </x:c>
      <x:c r="BP82" s="22">
        <x:v>22.4757416666667</x:v>
      </x:c>
      <x:c r="BQ82" s="18">
        <x:v>210</x:v>
      </x:c>
      <x:c r="BR82" s="18">
        <x:v>463458.4</x:v>
      </x:c>
      <x:c r="BS82" s="18">
        <x:v>5702.5959999999995</x:v>
      </x:c>
      <x:c r="BT82" s="18">
        <x:v>52.99</x:v>
      </x:c>
      <x:c r="BU82" s="18">
        <x:v>1079.175</x:v>
      </x:c>
      <x:c r="BV82" s="18">
        <x:v>129.93</x:v>
      </x:c>
      <x:c r="BW82" s="18">
        <x:v>85818.805999999997</x:v>
      </x:c>
      <x:c r="BX82" s="18">
        <x:v>14.433</x:v>
      </x:c>
      <x:c r="BY82" s="18">
        <x:v>4185.7809999999999</x:v>
      </x:c>
      <x:c r="BZ82" s="18">
        <x:v>4185.7809999999999</x:v>
      </x:c>
      <x:c r="CA82" s="23">
        <x:f t="shared" si="65"/>
        <x:v>5612.367804999999</x:v>
      </x:c>
      <x:c r="CB82" s="23">
        <x:f t="shared" si="66"/>
        <x:v>4370.5009700000001</x:v>
      </x:c>
      <x:c r="CC82" s="23">
        <x:f t="shared" si="67"/>
        <x:v>1212.463</x:v>
      </x:c>
      <x:c r="CD82" s="23">
        <x:f t="shared" si="68"/>
        <x:v>15047.025780000002</x:v>
      </x:c>
      <x:c r="CE82" s="23">
        <x:f t="shared" si="69"/>
        <x:v>3925.3272600000005</x:v>
      </x:c>
      <x:c r="CF82" s="23">
        <x:f t="shared" si="70"/>
        <x:v>7.8506107200000006</x:v>
      </x:c>
      <x:c r="CG82" s="23">
        <x:f t="shared" si="71"/>
        <x:v>0</x:v>
      </x:c>
      <x:c r="CH82" s="23">
        <x:f t="shared" si="72"/>
        <x:v>24.244880000000002</x:v>
      </x:c>
      <x:c r="CI82" s="23">
        <x:f t="shared" si="73"/>
        <x:v>0</x:v>
      </x:c>
      <x:c r="CJ82" s="24" t="s">
        <x:v>253</x:v>
      </x:c>
      <x:c r="CK82" s="25">
        <x:v>99.1</x:v>
      </x:c>
      <x:c r="CL82" s="26" t="s">
        <x:v>123</x:v>
      </x:c>
      <x:c r="CM82" s="26">
        <x:v>88.8</x:v>
      </x:c>
      <x:c r="CN82" s="27" t="s">
        <x:v>203</x:v>
      </x:c>
      <x:c r="CO82" s="27">
        <x:v>99.4</x:v>
      </x:c>
      <x:c r="CP82" s="27">
        <x:v>98.3</x:v>
      </x:c>
      <x:c r="CQ82" s="26">
        <x:f t="shared" si="74"/>
        <x:v>50.511310245000033</x:v>
      </x:c>
      <x:c r="CR82" s="26">
        <x:f t="shared" si="75"/>
        <x:v>489.49610863999993</x:v>
      </x:c>
      <x:c r="CS82" s="26">
        <x:f t="shared" si="78"/>
        <x:v>1212.463</x:v>
      </x:c>
      <x:c r="CT82" s="26">
        <x:f t="shared" si="43"/>
        <x:v>90.282154679998413</x:v>
      </x:c>
      <x:c r="CU82" s="26">
        <x:f t="shared" si="44"/>
        <x:v>66.730563420000067</x:v>
      </x:c>
      <x:c r="CV82" s="26">
        <x:f t="shared" si="45"/>
        <x:v>0.13346038224000012</x:v>
      </x:c>
      <x:c r="CW82" s="26">
        <x:f t="shared" si="46"/>
        <x:v>0</x:v>
      </x:c>
      <x:c r="CX82" s="26">
        <x:f t="shared" si="79"/>
        <x:v>24.244880000000002</x:v>
      </x:c>
      <x:c r="CY82" s="26">
        <x:f t="shared" si="80"/>
        <x:v>0</x:v>
      </x:c>
    </x:row>
    <x:row r="83">
      <x:c r="A83" s="18">
        <x:v>2022</x:v>
      </x:c>
      <x:c r="B83" t="s">
        <x:v>248</x:v>
      </x:c>
      <x:c r="C83" t="s">
        <x:v>249</x:v>
      </x:c>
      <x:c r="D83" t="s">
        <x:v>250</x:v>
      </x:c>
      <x:c r="E83" s="18">
        <x:v>440305</x:v>
      </x:c>
      <x:c r="F83" t="s">
        <x:v>251</x:v>
      </x:c>
      <x:c r="G83" t="s">
        <x:v>246</x:v>
      </x:c>
      <x:c r="H83" s="18">
        <x:v>4411</x:v>
      </x:c>
      <x:c r="I83" t="s">
        <x:v>102</x:v>
      </x:c>
      <x:c r="J83" t="s">
        <x:v>252</x:v>
      </x:c>
      <x:c r="K83" t="s">
        <x:v>109</x:v>
      </x:c>
      <x:c r="L83" s="20">
        <x:v>32</x:v>
      </x:c>
      <x:c r="M83" t="s">
        <x:v>110</x:v>
      </x:c>
      <x:c r="N83" s="18">
        <x:v>1025</x:v>
      </x:c>
      <x:c r="O83" t="s">
        <x:v>88</x:v>
      </x:c>
      <x:c r="P83" s="18">
        <x:v>1</x:v>
      </x:c>
      <x:c r="Q83" s="19" t="s">
        <x:v>121</x:v>
      </x:c>
      <x:c r="R83" s="18">
        <x:v>671831</x:v>
      </x:c>
      <x:c r="S83" t="s">
        <x:v>112</x:v>
      </x:c>
      <x:c r="T83" s="19">
        <x:f t="shared" si="89"/>
        <x:v>671831</x:v>
      </x:c>
      <x:c r="U83" s="20">
        <x:v>0.54500000000000004</x:v>
      </x:c>
      <x:c r="V83" t="s">
        <x:v>113</x:v>
      </x:c>
      <x:c r="W83" s="20">
        <x:v>14.4</x:v>
      </x:c>
      <x:c r="X83" s="21">
        <x:f t="shared" si="90"/>
        <x:v>6224.5142149999992</x:v>
      </x:c>
      <x:c r="Y83" s="21">
        <x:f t="shared" si="91"/>
        <x:v>4843.9015099999997</x:v>
      </x:c>
      <x:c r="Z83" s="21">
        <x:f t="shared" si="92"/>
        <x:v>1343.662</x:v>
      </x:c>
      <x:c r="AA83" s="21">
        <x:f t="shared" si="93"/>
        <x:v>16688.282040000002</x:v>
      </x:c>
      <x:c r="AB83" s="21">
        <x:f t="shared" si="94"/>
        <x:v>4353.4648800000004</x:v>
      </x:c>
      <x:c r="AC83" s="21">
        <x:f t="shared" si="95"/>
        <x:v>8.7069297600000013</x:v>
      </x:c>
      <x:c r="AD83" s="21"/>
      <x:c r="AE83" s="21">
        <x:f t="shared" si="96"/>
        <x:v>26.873240000000003</x:v>
      </x:c>
      <x:c r="AF83" s="21"/>
      <x:c r="AG83" s="19" t="s">
        <x:v>96</x:v>
      </x:c>
      <x:c r="AH83" s="18">
        <x:v>73</x:v>
      </x:c>
      <x:c r="AI83" t="s">
        <x:v>76</x:v>
      </x:c>
      <x:c r="AJ83" s="19" t="n">
        <x:f t="shared" ref="AJ83:AJ87" si="103">AH83</x:f>
        <x:v>73</x:v>
      </x:c>
      <x:c r="AK83" s="20">
        <x:v>20</x:v>
      </x:c>
      <x:c r="AL83" t="s">
        <x:v>77</x:v>
      </x:c>
      <x:c r="AM83" s="20">
        <x:v>0</x:v>
      </x:c>
      <x:c r="AN83" s="21">
        <x:f t="shared" si="97"/>
        <x:v>2.92E-2</x:v>
      </x:c>
      <x:c r="AO83" s="21">
        <x:f t="shared" si="98"/>
        <x:v>2.9929999999999994</x:v>
      </x:c>
      <x:c r="AP83" s="21">
        <x:f t="shared" si="99"/>
        <x:v>0.94899999999999995</x:v>
      </x:c>
      <x:c r="AQ83" s="21">
        <x:f t="shared" si="100"/>
        <x:v>2.1899999999999999E-2</x:v>
      </x:c>
      <x:c r="AR83" s="21">
        <x:f t="shared" si="101"/>
        <x:v>2.1899999999999999E-2</x:v>
      </x:c>
      <x:c r="AS83" s="21"/>
      <x:c r="AT83" s="21"/>
      <x:c r="AU83" s="21">
        <x:f t="shared" si="102"/>
        <x:v>1.46E-2</x:v>
      </x:c>
      <x:c r="AV83" s="21"/>
      <x:c r="AW83" t="s">
        <x:v>78</x:v>
      </x:c>
      <x:c r="AX83" s="19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t="s">
        <x:v>81</x:v>
      </x:c>
      <x:c r="BI83" s="18">
        <x:v>113</x:v>
      </x:c>
      <x:c r="BJ83" s="18">
        <x:v>52</x:v>
      </x:c>
      <x:c r="BK83" s="18">
        <x:v>26.37</x:v>
      </x:c>
      <x:c r="BL83" s="18">
        <x:v>22</x:v>
      </x:c>
      <x:c r="BM83" s="18">
        <x:v>28</x:v>
      </x:c>
      <x:c r="BN83" s="18">
        <x:v>32.67</x:v>
      </x:c>
      <x:c r="BO83" s="22">
        <x:v>113.873991666667</x:v>
      </x:c>
      <x:c r="BP83" s="22">
        <x:v>22.4757416666667</x:v>
      </x:c>
      <x:c r="BQ83" s="18">
        <x:v>210</x:v>
      </x:c>
      <x:c r="BR83" s="18">
        <x:v>527618.4</x:v>
      </x:c>
      <x:c r="BS83" s="18">
        <x:v>6324.6170000000002</x:v>
      </x:c>
      <x:c r="BT83" s="18">
        <x:v>52.305</x:v>
      </x:c>
      <x:c r="BU83" s="18">
        <x:v>1196.7860000000001</x:v>
      </x:c>
      <x:c r="BV83" s="18">
        <x:v>152.44399999999999</x:v>
      </x:c>
      <x:c r="BW83" s="18">
        <x:v>95179.641000000003</x:v>
      </x:c>
      <x:c r="BX83" s="18">
        <x:v>14.132999999999999</x:v>
      </x:c>
      <x:c r="BY83" s="18">
        <x:v>4642.3519999999999</x:v>
      </x:c>
      <x:c r="BZ83" s="18">
        <x:v>4642.3519999999999</x:v>
      </x:c>
      <x:c r="CA83" s="23">
        <x:f t="shared" si="65"/>
        <x:v>6224.5434149999992</x:v>
      </x:c>
      <x:c r="CB83" s="23">
        <x:f t="shared" si="66"/>
        <x:v>4846.8945100000001</x:v>
      </x:c>
      <x:c r="CC83" s="23">
        <x:f t="shared" si="67"/>
        <x:v>1344.6110000000001</x:v>
      </x:c>
      <x:c r="CD83" s="23">
        <x:f t="shared" si="68"/>
        <x:v>16688.303940000002</x:v>
      </x:c>
      <x:c r="CE83" s="23">
        <x:f t="shared" si="69"/>
        <x:v>4353.4867800000002</x:v>
      </x:c>
      <x:c r="CF83" s="23">
        <x:f t="shared" si="70"/>
        <x:v>8.7069297600000013</x:v>
      </x:c>
      <x:c r="CG83" s="23">
        <x:f t="shared" si="71"/>
        <x:v>0</x:v>
      </x:c>
      <x:c r="CH83" s="23">
        <x:f t="shared" si="72"/>
        <x:v>26.887840000000004</x:v>
      </x:c>
      <x:c r="CI83" s="23">
        <x:f t="shared" si="73"/>
        <x:v>0</x:v>
      </x:c>
      <x:c r="CJ83" s="24" t="s">
        <x:v>253</x:v>
      </x:c>
      <x:c r="CK83" s="25">
        <x:v>98.8</x:v>
      </x:c>
      <x:c r="CL83" s="26" t="s">
        <x:v>123</x:v>
      </x:c>
      <x:c r="CM83" s="26">
        <x:v>89.2</x:v>
      </x:c>
      <x:c r="CN83" s="27" t="s">
        <x:v>203</x:v>
      </x:c>
      <x:c r="CO83" s="27">
        <x:v>99.4</x:v>
      </x:c>
      <x:c r="CP83" s="27">
        <x:v>98.3</x:v>
      </x:c>
      <x:c r="CQ83" s="26">
        <x:f t="shared" si="74"/>
        <x:v>74.69452098000005</x:v>
      </x:c>
      <x:c r="CR83" s="26">
        <x:f t="shared" si="75"/>
        <x:v>523.46460707999995</x:v>
      </x:c>
      <x:c r="CS83" s="26">
        <x:f t="shared" si="78"/>
        <x:v>1344.6110000000001</x:v>
      </x:c>
      <x:c r="CT83" s="26">
        <x:f t="shared" si="43"/>
        <x:v>100.12982363999825</x:v>
      </x:c>
      <x:c r="CU83" s="26">
        <x:f t="shared" si="44"/>
        <x:v>74.009275260000067</x:v>
      </x:c>
      <x:c r="CV83" s="26">
        <x:f t="shared" si="45"/>
        <x:v>0.14801780592000016</x:v>
      </x:c>
      <x:c r="CW83" s="26">
        <x:f t="shared" si="46"/>
        <x:v>0</x:v>
      </x:c>
      <x:c r="CX83" s="26">
        <x:f t="shared" si="79"/>
        <x:v>26.887840000000004</x:v>
      </x:c>
      <x:c r="CY83" s="26">
        <x:f t="shared" si="80"/>
        <x:v>0</x:v>
      </x:c>
    </x:row>
    <x:row r="84">
      <x:c r="A84" s="18">
        <x:v>2022</x:v>
      </x:c>
      <x:c r="B84" t="s">
        <x:v>248</x:v>
      </x:c>
      <x:c r="C84" t="s">
        <x:v>249</x:v>
      </x:c>
      <x:c r="D84" t="s">
        <x:v>250</x:v>
      </x:c>
      <x:c r="E84" s="18">
        <x:v>440305</x:v>
      </x:c>
      <x:c r="F84" t="s">
        <x:v>251</x:v>
      </x:c>
      <x:c r="G84" t="s">
        <x:v>246</x:v>
      </x:c>
      <x:c r="H84" s="18">
        <x:v>4411</x:v>
      </x:c>
      <x:c r="I84" t="s">
        <x:v>102</x:v>
      </x:c>
      <x:c r="J84" t="s">
        <x:v>252</x:v>
      </x:c>
      <x:c r="K84" t="s">
        <x:v>109</x:v>
      </x:c>
      <x:c r="L84" s="20">
        <x:v>33</x:v>
      </x:c>
      <x:c r="M84" t="s">
        <x:v>110</x:v>
      </x:c>
      <x:c r="N84" s="18">
        <x:v>1025</x:v>
      </x:c>
      <x:c r="O84" t="s">
        <x:v>88</x:v>
      </x:c>
      <x:c r="P84" s="18">
        <x:v>1</x:v>
      </x:c>
      <x:c r="Q84" s="19" t="s">
        <x:v>121</x:v>
      </x:c>
      <x:c r="R84" s="18">
        <x:v>723472</x:v>
      </x:c>
      <x:c r="S84" t="s">
        <x:v>112</x:v>
      </x:c>
      <x:c r="T84" s="19">
        <x:f t="shared" si="89"/>
        <x:v>723472</x:v>
      </x:c>
      <x:c r="U84" s="20">
        <x:v>0.54500000000000004</x:v>
      </x:c>
      <x:c r="V84" t="s">
        <x:v>113</x:v>
      </x:c>
      <x:c r="W84" s="20">
        <x:v>14.4</x:v>
      </x:c>
      <x:c r="X84" s="21">
        <x:f t="shared" si="90"/>
        <x:v>6702.9680799999996</x:v>
      </x:c>
      <x:c r="Y84" s="21">
        <x:f t="shared" si="91"/>
        <x:v>5216.2331199999999</x:v>
      </x:c>
      <x:c r="Z84" s="21">
        <x:f t="shared" si="92"/>
        <x:v>1446.944</x:v>
      </x:c>
      <x:c r="AA84" s="21">
        <x:f t="shared" si="93"/>
        <x:v>17971.044480000004</x:v>
      </x:c>
      <x:c r="AB84" s="21">
        <x:f t="shared" si="94"/>
        <x:v>4688.0985600000004</x:v>
      </x:c>
      <x:c r="AC84" s="21">
        <x:f t="shared" si="95"/>
        <x:v>9.3761971200000005</x:v>
      </x:c>
      <x:c r="AD84" s="21"/>
      <x:c r="AE84" s="21">
        <x:f t="shared" si="96"/>
        <x:v>28.938880000000001</x:v>
      </x:c>
      <x:c r="AF84" s="21"/>
      <x:c r="AG84" s="19" t="s">
        <x:v>96</x:v>
      </x:c>
      <x:c r="AH84" s="18">
        <x:v>52</x:v>
      </x:c>
      <x:c r="AI84" t="s">
        <x:v>76</x:v>
      </x:c>
      <x:c r="AJ84" s="19">
        <x:f t="shared" si="103"/>
        <x:v>52</x:v>
      </x:c>
      <x:c r="AK84" s="20">
        <x:v>20</x:v>
      </x:c>
      <x:c r="AL84" t="s">
        <x:v>77</x:v>
      </x:c>
      <x:c r="AM84" s="20">
        <x:v>0</x:v>
      </x:c>
      <x:c r="AN84" s="21">
        <x:f t="shared" si="97"/>
        <x:v>2.0799999999999999E-2</x:v>
      </x:c>
      <x:c r="AO84" s="21">
        <x:f t="shared" si="98"/>
        <x:v>2.1320000000000001</x:v>
      </x:c>
      <x:c r="AP84" s="21">
        <x:f t="shared" si="99"/>
        <x:v>0.67600000000000016</x:v>
      </x:c>
      <x:c r="AQ84" s="21">
        <x:f t="shared" si="100"/>
        <x:v>1.5599999999999999E-2</x:v>
      </x:c>
      <x:c r="AR84" s="21">
        <x:f t="shared" si="101"/>
        <x:v>1.5599999999999999E-2</x:v>
      </x:c>
      <x:c r="AS84" s="21"/>
      <x:c r="AT84" s="21"/>
      <x:c r="AU84" s="21">
        <x:f t="shared" si="102"/>
        <x:v>1.04E-2</x:v>
      </x:c>
      <x:c r="AV84" s="21"/>
      <x:c r="AW84" t="s">
        <x:v>78</x:v>
      </x:c>
      <x:c r="AX84" s="19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t="s">
        <x:v>79</x:v>
      </x:c>
      <x:c r="BI84" s="18">
        <x:v>113</x:v>
      </x:c>
      <x:c r="BJ84" s="18">
        <x:v>52</x:v>
      </x:c>
      <x:c r="BK84" s="18">
        <x:v>18.39</x:v>
      </x:c>
      <x:c r="BL84" s="18">
        <x:v>22</x:v>
      </x:c>
      <x:c r="BM84" s="18">
        <x:v>29</x:v>
      </x:c>
      <x:c r="BN84" s="18">
        <x:v>6.22</x:v>
      </x:c>
      <x:c r="BO84" s="22">
        <x:v>113.871775</x:v>
      </x:c>
      <x:c r="BP84" s="22">
        <x:v>22.485061111111101</x:v>
      </x:c>
      <x:c r="BQ84" s="18">
        <x:v>210</x:v>
      </x:c>
      <x:c r="BR84" s="18">
        <x:v>586643.6</x:v>
      </x:c>
      <x:c r="BS84" s="18">
        <x:v>6810.7650000000003</x:v>
      </x:c>
      <x:c r="BT84" s="18">
        <x:v>106.986</x:v>
      </x:c>
      <x:c r="BU84" s="18">
        <x:v>1288.441</x:v>
      </x:c>
      <x:c r="BV84" s="18">
        <x:v>151.852</x:v>
      </x:c>
      <x:c r="BW84" s="18">
        <x:v>102495.72500000001</x:v>
      </x:c>
      <x:c r="BX84" s="18">
        <x:v>15.866</x:v>
      </x:c>
      <x:c r="BY84" s="18">
        <x:v>4999.192</x:v>
      </x:c>
      <x:c r="BZ84" s="18">
        <x:v>4999.192</x:v>
      </x:c>
      <x:c r="CA84" s="23">
        <x:f t="shared" si="65"/>
        <x:v>6702.9888799999999</x:v>
      </x:c>
      <x:c r="CB84" s="23">
        <x:f t="shared" si="66"/>
        <x:v>5218.3651199999995</x:v>
      </x:c>
      <x:c r="CC84" s="23">
        <x:f t="shared" si="67"/>
        <x:v>1447.62</x:v>
      </x:c>
      <x:c r="CD84" s="23">
        <x:f t="shared" si="68"/>
        <x:v>17971.060080000003</x:v>
      </x:c>
      <x:c r="CE84" s="23">
        <x:f t="shared" si="69"/>
        <x:v>4688.1141600000001</x:v>
      </x:c>
      <x:c r="CF84" s="23">
        <x:f t="shared" si="70"/>
        <x:v>9.3761971200000005</x:v>
      </x:c>
      <x:c r="CG84" s="23">
        <x:f t="shared" si="71"/>
        <x:v>0</x:v>
      </x:c>
      <x:c r="CH84" s="23">
        <x:f t="shared" si="72"/>
        <x:v>28.949280000000002</x:v>
      </x:c>
      <x:c r="CI84" s="23">
        <x:f t="shared" si="73"/>
        <x:v>0</x:v>
      </x:c>
      <x:c r="CJ84" s="24" t="s">
        <x:v>253</x:v>
      </x:c>
      <x:c r="CK84" s="25">
        <x:v>98.8</x:v>
      </x:c>
      <x:c r="CL84" s="26" t="s">
        <x:v>123</x:v>
      </x:c>
      <x:c r="CM84" s="26">
        <x:v>88.7</x:v>
      </x:c>
      <x:c r="CN84" s="27" t="s">
        <x:v>203</x:v>
      </x:c>
      <x:c r="CO84" s="27">
        <x:v>99.4</x:v>
      </x:c>
      <x:c r="CP84" s="27">
        <x:v>98.3</x:v>
      </x:c>
      <x:c r="CQ84" s="26">
        <x:f t="shared" si="74"/>
        <x:v>80.435866560000065</x:v>
      </x:c>
      <x:c r="CR84" s="26">
        <x:f t="shared" si="75"/>
        <x:v>589.67525855999986</x:v>
      </x:c>
      <x:c r="CS84" s="26">
        <x:f t="shared" si="78"/>
        <x:v>1447.62</x:v>
      </x:c>
      <x:c r="CT84" s="26">
        <x:f t="shared" si="43"/>
        <x:v>107.82636047999812</x:v>
      </x:c>
      <x:c r="CU84" s="26">
        <x:f t="shared" si="44"/>
        <x:v>79.697940720000076</x:v>
      </x:c>
      <x:c r="CV84" s="26">
        <x:f t="shared" si="45"/>
        <x:v>0.15939535104000016</x:v>
      </x:c>
      <x:c r="CW84" s="26">
        <x:f t="shared" si="46"/>
        <x:v>0</x:v>
      </x:c>
      <x:c r="CX84" s="26">
        <x:f t="shared" si="79"/>
        <x:v>28.949280000000002</x:v>
      </x:c>
      <x:c r="CY84" s="26">
        <x:f t="shared" si="80"/>
        <x:v>0</x:v>
      </x:c>
    </x:row>
    <x:row r="85">
      <x:c r="A85" s="18">
        <x:v>2022</x:v>
      </x:c>
      <x:c r="B85" t="s">
        <x:v>248</x:v>
      </x:c>
      <x:c r="C85" t="s">
        <x:v>249</x:v>
      </x:c>
      <x:c r="D85" t="s">
        <x:v>250</x:v>
      </x:c>
      <x:c r="E85" s="18">
        <x:v>440305</x:v>
      </x:c>
      <x:c r="F85" t="s">
        <x:v>251</x:v>
      </x:c>
      <x:c r="G85" t="s">
        <x:v>246</x:v>
      </x:c>
      <x:c r="H85" s="18">
        <x:v>4411</x:v>
      </x:c>
      <x:c r="I85" t="s">
        <x:v>102</x:v>
      </x:c>
      <x:c r="J85" t="s">
        <x:v>252</x:v>
      </x:c>
      <x:c r="K85" t="s">
        <x:v>109</x:v>
      </x:c>
      <x:c r="L85" s="20">
        <x:v>33</x:v>
      </x:c>
      <x:c r="M85" t="s">
        <x:v>110</x:v>
      </x:c>
      <x:c r="N85" s="18">
        <x:v>1025</x:v>
      </x:c>
      <x:c r="O85" t="s">
        <x:v>88</x:v>
      </x:c>
      <x:c r="P85" s="18">
        <x:v>1</x:v>
      </x:c>
      <x:c r="Q85" s="19" t="s">
        <x:v>121</x:v>
      </x:c>
      <x:c r="R85" s="18">
        <x:v>650520</x:v>
      </x:c>
      <x:c r="S85" t="s">
        <x:v>112</x:v>
      </x:c>
      <x:c r="T85" s="19">
        <x:f t="shared" si="89"/>
        <x:v>650520</x:v>
      </x:c>
      <x:c r="U85" s="20">
        <x:v>0.54500000000000004</x:v>
      </x:c>
      <x:c r="V85" t="s">
        <x:v>113</x:v>
      </x:c>
      <x:c r="W85" s="20">
        <x:v>14.4</x:v>
      </x:c>
      <x:c r="X85" s="21">
        <x:f t="shared" si="90"/>
        <x:v>6027.0677999999989</x:v>
      </x:c>
      <x:c r="Y85" s="21">
        <x:f t="shared" si="91"/>
        <x:v>4690.2492000000002</x:v>
      </x:c>
      <x:c r="Z85" s="21">
        <x:f t="shared" si="92"/>
        <x:v>1301.04</x:v>
      </x:c>
      <x:c r="AA85" s="21">
        <x:f t="shared" si="93"/>
        <x:v>16158.916800000003</x:v>
      </x:c>
      <x:c r="AB85" s="21">
        <x:f t="shared" si="94"/>
        <x:v>4215.3696</x:v>
      </x:c>
      <x:c r="AC85" s="21">
        <x:f t="shared" si="95"/>
        <x:v>8.4307391999999997</x:v>
      </x:c>
      <x:c r="AD85" s="21"/>
      <x:c r="AE85" s="21">
        <x:f t="shared" si="96"/>
        <x:v>26.020799999999998</x:v>
      </x:c>
      <x:c r="AF85" s="21"/>
      <x:c r="AG85" s="19" t="s">
        <x:v>96</x:v>
      </x:c>
      <x:c r="AH85" s="18">
        <x:v>33</x:v>
      </x:c>
      <x:c r="AI85" t="s">
        <x:v>76</x:v>
      </x:c>
      <x:c r="AJ85" s="19">
        <x:f t="shared" si="103"/>
        <x:v>33</x:v>
      </x:c>
      <x:c r="AK85" s="20">
        <x:v>20</x:v>
      </x:c>
      <x:c r="AL85" t="s">
        <x:v>77</x:v>
      </x:c>
      <x:c r="AM85" s="20">
        <x:v>0</x:v>
      </x:c>
      <x:c r="AN85" s="21">
        <x:f t="shared" si="97"/>
        <x:v>1.32E-2</x:v>
      </x:c>
      <x:c r="AO85" s="21">
        <x:f t="shared" si="98"/>
        <x:v>1.3529999999999998</x:v>
      </x:c>
      <x:c r="AP85" s="21">
        <x:f t="shared" si="99"/>
        <x:v>0.42899999999999999</x:v>
      </x:c>
      <x:c r="AQ85" s="21">
        <x:f t="shared" si="100"/>
        <x:v>9.9000000000000008E-3</x:v>
      </x:c>
      <x:c r="AR85" s="21">
        <x:f t="shared" si="101"/>
        <x:v>9.9000000000000008E-3</x:v>
      </x:c>
      <x:c r="AS85" s="21"/>
      <x:c r="AT85" s="21"/>
      <x:c r="AU85" s="21">
        <x:f t="shared" si="102"/>
        <x:v>6.6E-3</x:v>
      </x:c>
      <x:c r="AV85" s="21"/>
      <x:c r="AW85" t="s">
        <x:v>78</x:v>
      </x:c>
      <x:c r="AX85" s="19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t="s">
        <x:v>79</x:v>
      </x:c>
      <x:c r="BI85" s="18">
        <x:v>113</x:v>
      </x:c>
      <x:c r="BJ85" s="18">
        <x:v>52</x:v>
      </x:c>
      <x:c r="BK85" s="18">
        <x:v>18.39</x:v>
      </x:c>
      <x:c r="BL85" s="18">
        <x:v>22</x:v>
      </x:c>
      <x:c r="BM85" s="18">
        <x:v>29</x:v>
      </x:c>
      <x:c r="BN85" s="18">
        <x:v>6.22</x:v>
      </x:c>
      <x:c r="BO85" s="22">
        <x:v>113.871775</x:v>
      </x:c>
      <x:c r="BP85" s="22">
        <x:v>22.485061111111101</x:v>
      </x:c>
      <x:c r="BQ85" s="18">
        <x:v>210</x:v>
      </x:c>
      <x:c r="BR85" s="18">
        <x:v>515427.3</x:v>
      </x:c>
      <x:c r="BS85" s="18">
        <x:v>6123.9949999999999</x:v>
      </x:c>
      <x:c r="BT85" s="18">
        <x:v>102.684</x:v>
      </x:c>
      <x:c r="BU85" s="18">
        <x:v>1158.345</x:v>
      </x:c>
      <x:c r="BV85" s="18">
        <x:v>130.72999999999999</x:v>
      </x:c>
      <x:c r="BW85" s="18">
        <x:v>92160.468999999997</x:v>
      </x:c>
      <x:c r="BX85" s="18">
        <x:v>20.66</x:v>
      </x:c>
      <x:c r="BY85" s="18">
        <x:v>4495.0929999999998</x:v>
      </x:c>
      <x:c r="BZ85" s="18">
        <x:v>4495.0929999999998</x:v>
      </x:c>
      <x:c r="CA85" s="23">
        <x:f t="shared" si="65"/>
        <x:v>6027.0809999999992</x:v>
      </x:c>
      <x:c r="CB85" s="23">
        <x:f t="shared" si="66"/>
        <x:v>4691.6022000000003</x:v>
      </x:c>
      <x:c r="CC85" s="23">
        <x:f t="shared" si="67"/>
        <x:v>1301.4690000000001</x:v>
      </x:c>
      <x:c r="CD85" s="23">
        <x:f t="shared" si="68"/>
        <x:v>16158.926700000002</x:v>
      </x:c>
      <x:c r="CE85" s="23">
        <x:f t="shared" si="69"/>
        <x:v>4215.3795</x:v>
      </x:c>
      <x:c r="CF85" s="23">
        <x:f t="shared" si="70"/>
        <x:v>8.4307391999999997</x:v>
      </x:c>
      <x:c r="CG85" s="23">
        <x:f t="shared" si="71"/>
        <x:v>0</x:v>
      </x:c>
      <x:c r="CH85" s="23">
        <x:f t="shared" si="72"/>
        <x:v>26.027399999999997</x:v>
      </x:c>
      <x:c r="CI85" s="23">
        <x:f t="shared" si="73"/>
        <x:v>0</x:v>
      </x:c>
      <x:c r="CJ85" s="24" t="s">
        <x:v>253</x:v>
      </x:c>
      <x:c r="CK85" s="25">
        <x:v>98.8</x:v>
      </x:c>
      <x:c r="CL85" s="26" t="s">
        <x:v>123</x:v>
      </x:c>
      <x:c r="CM85" s="26">
        <x:v>89.7</x:v>
      </x:c>
      <x:c r="CN85" s="27" t="s">
        <x:v>203</x:v>
      </x:c>
      <x:c r="CO85" s="27">
        <x:v>99.4</x:v>
      </x:c>
      <x:c r="CP85" s="27">
        <x:v>98.3</x:v>
      </x:c>
      <x:c r="CQ85" s="26">
        <x:f t="shared" si="74"/>
        <x:v>72.324972000000059</x:v>
      </x:c>
      <x:c r="CR85" s="26">
        <x:f t="shared" si="75"/>
        <x:v>483.23502659999991</x:v>
      </x:c>
      <x:c r="CS85" s="26">
        <x:f t="shared" si="78"/>
        <x:v>1301.4690000000001</x:v>
      </x:c>
      <x:c r="CT85" s="26">
        <x:f t="shared" si="43"/>
        <x:v>96.953560199998307</x:v>
      </x:c>
      <x:c r="CU85" s="26">
        <x:f t="shared" si="44"/>
        <x:v>71.661451500000069</x:v>
      </x:c>
      <x:c r="CV85" s="26">
        <x:f t="shared" si="45"/>
        <x:v>0.14332256640000013</x:v>
      </x:c>
      <x:c r="CW85" s="26">
        <x:f t="shared" si="46"/>
        <x:v>0</x:v>
      </x:c>
      <x:c r="CX85" s="26">
        <x:f t="shared" si="79"/>
        <x:v>26.027399999999997</x:v>
      </x:c>
      <x:c r="CY85" s="26">
        <x:f t="shared" si="80"/>
        <x:v>0</x:v>
      </x:c>
    </x:row>
    <x:row r="86">
      <x:c r="A86" s="18">
        <x:v>2022</x:v>
      </x:c>
      <x:c r="B86" t="s">
        <x:v>248</x:v>
      </x:c>
      <x:c r="C86" t="s">
        <x:v>249</x:v>
      </x:c>
      <x:c r="D86" t="s">
        <x:v>250</x:v>
      </x:c>
      <x:c r="E86" s="18">
        <x:v>440305</x:v>
      </x:c>
      <x:c r="F86" t="s">
        <x:v>251</x:v>
      </x:c>
      <x:c r="G86" t="s">
        <x:v>246</x:v>
      </x:c>
      <x:c r="H86" s="18">
        <x:v>4411</x:v>
      </x:c>
      <x:c r="I86" t="s">
        <x:v>102</x:v>
      </x:c>
      <x:c r="J86" t="s">
        <x:v>252</x:v>
      </x:c>
      <x:c r="K86" t="s">
        <x:v>109</x:v>
      </x:c>
      <x:c r="L86" s="20">
        <x:v>33</x:v>
      </x:c>
      <x:c r="M86" t="s">
        <x:v>110</x:v>
      </x:c>
      <x:c r="N86" s="18">
        <x:v>1025</x:v>
      </x:c>
      <x:c r="O86" t="s">
        <x:v>88</x:v>
      </x:c>
      <x:c r="P86" s="18">
        <x:v>1</x:v>
      </x:c>
      <x:c r="Q86" s="19" t="s">
        <x:v>121</x:v>
      </x:c>
      <x:c r="R86" s="18">
        <x:v>749603</x:v>
      </x:c>
      <x:c r="S86" t="s">
        <x:v>112</x:v>
      </x:c>
      <x:c r="T86" s="19">
        <x:f t="shared" si="89"/>
        <x:v>749603</x:v>
      </x:c>
      <x:c r="U86" s="20">
        <x:v>0.54500000000000004</x:v>
      </x:c>
      <x:c r="V86" t="s">
        <x:v>113</x:v>
      </x:c>
      <x:c r="W86" s="20">
        <x:v>14.4</x:v>
      </x:c>
      <x:c r="X86" s="21">
        <x:f t="shared" si="90"/>
        <x:v>6945.0717949999989</x:v>
      </x:c>
      <x:c r="Y86" s="21">
        <x:f t="shared" si="91"/>
        <x:v>5404.6376300000002</x:v>
      </x:c>
      <x:c r="Z86" s="21">
        <x:f t="shared" si="92"/>
        <x:v>1499.2059999999999</x:v>
      </x:c>
      <x:c r="AA86" s="21">
        <x:f t="shared" si="93"/>
        <x:v>18620.138520000004</x:v>
      </x:c>
      <x:c r="AB86" s="21">
        <x:f t="shared" si="94"/>
        <x:v>4857.4274400000004</x:v>
      </x:c>
      <x:c r="AC86" s="21">
        <x:f t="shared" si="95"/>
        <x:v>9.7148548800000007</x:v>
      </x:c>
      <x:c r="AD86" s="21"/>
      <x:c r="AE86" s="21">
        <x:f t="shared" si="96"/>
        <x:v>29.984119999999997</x:v>
      </x:c>
      <x:c r="AF86" s="21"/>
      <x:c r="AG86" s="19" t="s">
        <x:v>96</x:v>
      </x:c>
      <x:c r="AH86" s="18">
        <x:v>47</x:v>
      </x:c>
      <x:c r="AI86" t="s">
        <x:v>76</x:v>
      </x:c>
      <x:c r="AJ86" s="19">
        <x:f t="shared" si="103"/>
        <x:v>47</x:v>
      </x:c>
      <x:c r="AK86" s="20">
        <x:v>20</x:v>
      </x:c>
      <x:c r="AL86" t="s">
        <x:v>77</x:v>
      </x:c>
      <x:c r="AM86" s="20">
        <x:v>0</x:v>
      </x:c>
      <x:c r="AN86" s="21">
        <x:f t="shared" si="97"/>
        <x:v>1.8800000000000001E-2</x:v>
      </x:c>
      <x:c r="AO86" s="21">
        <x:f t="shared" si="98"/>
        <x:v>1.927</x:v>
      </x:c>
      <x:c r="AP86" s="21">
        <x:f t="shared" si="99"/>
        <x:v>0.61099999999999999</x:v>
      </x:c>
      <x:c r="AQ86" s="21">
        <x:f t="shared" si="100"/>
        <x:v>1.41E-2</x:v>
      </x:c>
      <x:c r="AR86" s="21">
        <x:f t="shared" si="101"/>
        <x:v>1.41E-2</x:v>
      </x:c>
      <x:c r="AS86" s="21"/>
      <x:c r="AT86" s="21"/>
      <x:c r="AU86" s="21">
        <x:f t="shared" si="102"/>
        <x:v>9.4000000000000004E-3</x:v>
      </x:c>
      <x:c r="AV86" s="21"/>
      <x:c r="AW86" t="s">
        <x:v>78</x:v>
      </x:c>
      <x:c r="AX86" s="19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t="s">
        <x:v>82</x:v>
      </x:c>
      <x:c r="BI86" s="18">
        <x:v>113</x:v>
      </x:c>
      <x:c r="BJ86" s="18">
        <x:v>52</x:v>
      </x:c>
      <x:c r="BK86" s="18">
        <x:v>4.42</x:v>
      </x:c>
      <x:c r="BL86" s="18">
        <x:v>22</x:v>
      </x:c>
      <x:c r="BM86" s="18">
        <x:v>29</x:v>
      </x:c>
      <x:c r="BN86" s="18">
        <x:v>21.58</x:v>
      </x:c>
      <x:c r="BO86" s="22">
        <x:v>113.867894444444</x:v>
      </x:c>
      <x:c r="BP86" s="22">
        <x:v>22.489327777777799</x:v>
      </x:c>
      <x:c r="BQ86" s="18">
        <x:v>210</x:v>
      </x:c>
      <x:c r="BR86" s="18">
        <x:v>638566</x:v>
      </x:c>
      <x:c r="BS86" s="18">
        <x:v>7056.7629999999999</x:v>
      </x:c>
      <x:c r="BT86" s="18">
        <x:v>135.40799999999999</x:v>
      </x:c>
      <x:c r="BU86" s="18">
        <x:v>1334.89</x:v>
      </x:c>
      <x:c r="BV86" s="18">
        <x:v>180.673</x:v>
      </x:c>
      <x:c r="BW86" s="18">
        <x:v>106197.75599999999</x:v>
      </x:c>
      <x:c r="BX86" s="18">
        <x:v>18.704999999999998</x:v>
      </x:c>
      <x:c r="BY86" s="18">
        <x:v>5179.7569999999996</x:v>
      </x:c>
      <x:c r="BZ86" s="18">
        <x:v>5179.7569999999996</x:v>
      </x:c>
      <x:c r="CA86" s="23">
        <x:f t="shared" si="65"/>
        <x:v>6945.0905949999988</x:v>
      </x:c>
      <x:c r="CB86" s="23">
        <x:f t="shared" si="66"/>
        <x:v>5406.5646299999999</x:v>
      </x:c>
      <x:c r="CC86" s="23">
        <x:f t="shared" si="67"/>
        <x:v>1499.817</x:v>
      </x:c>
      <x:c r="CD86" s="23">
        <x:f t="shared" si="68"/>
        <x:v>18620.152620000004</x:v>
      </x:c>
      <x:c r="CE86" s="23">
        <x:f t="shared" si="69"/>
        <x:v>4857.4415400000007</x:v>
      </x:c>
      <x:c r="CF86" s="23">
        <x:f t="shared" si="70"/>
        <x:v>9.7148548800000007</x:v>
      </x:c>
      <x:c r="CG86" s="23">
        <x:f t="shared" si="71"/>
        <x:v>0</x:v>
      </x:c>
      <x:c r="CH86" s="23">
        <x:f t="shared" si="72"/>
        <x:v>29.993519999999997</x:v>
      </x:c>
      <x:c r="CI86" s="23">
        <x:f t="shared" si="73"/>
        <x:v>0</x:v>
      </x:c>
      <x:c r="CJ86" s="24" t="s">
        <x:v>253</x:v>
      </x:c>
      <x:c r="CK86" s="25">
        <x:v>98.8</x:v>
      </x:c>
      <x:c r="CL86" s="26" t="s">
        <x:v>123</x:v>
      </x:c>
      <x:c r="CM86" s="26">
        <x:v>90.1</x:v>
      </x:c>
      <x:c r="CN86" s="27" t="s">
        <x:v>203</x:v>
      </x:c>
      <x:c r="CO86" s="27">
        <x:v>99.4</x:v>
      </x:c>
      <x:c r="CP86" s="27">
        <x:v>98.3</x:v>
      </x:c>
      <x:c r="CQ86" s="26">
        <x:f t="shared" si="74"/>
        <x:v>83.341087140000056</x:v>
      </x:c>
      <x:c r="CR86" s="26">
        <x:f t="shared" si="75"/>
        <x:v>535.24989837000044</x:v>
      </x:c>
      <x:c r="CS86" s="26">
        <x:f t="shared" si="78"/>
        <x:v>1499.817</x:v>
      </x:c>
      <x:c r="CT86" s="26">
        <x:f t="shared" si="43"/>
        <x:v>111.72091571999806</x:v>
      </x:c>
      <x:c r="CU86" s="26">
        <x:f t="shared" si="44"/>
        <x:v>82.576506180000081</x:v>
      </x:c>
      <x:c r="CV86" s="26">
        <x:f t="shared" si="45"/>
        <x:v>0.16515253296000015</x:v>
      </x:c>
      <x:c r="CW86" s="26">
        <x:f t="shared" si="46"/>
        <x:v>0</x:v>
      </x:c>
      <x:c r="CX86" s="26">
        <x:f t="shared" si="79"/>
        <x:v>29.993519999999997</x:v>
      </x:c>
      <x:c r="CY86" s="26">
        <x:f t="shared" si="80"/>
        <x:v>0</x:v>
      </x:c>
    </x:row>
    <x:row r="87">
      <x:c r="A87" s="18">
        <x:v>2022</x:v>
      </x:c>
      <x:c r="B87" t="s">
        <x:v>248</x:v>
      </x:c>
      <x:c r="C87" t="s">
        <x:v>249</x:v>
      </x:c>
      <x:c r="D87" t="s">
        <x:v>250</x:v>
      </x:c>
      <x:c r="E87" s="18">
        <x:v>440305</x:v>
      </x:c>
      <x:c r="F87" t="s">
        <x:v>251</x:v>
      </x:c>
      <x:c r="G87" t="s">
        <x:v>246</x:v>
      </x:c>
      <x:c r="H87" s="18">
        <x:v>4411</x:v>
      </x:c>
      <x:c r="I87" t="s">
        <x:v>102</x:v>
      </x:c>
      <x:c r="J87" t="s">
        <x:v>252</x:v>
      </x:c>
      <x:c r="K87" t="s">
        <x:v>109</x:v>
      </x:c>
      <x:c r="L87" s="20">
        <x:v>33</x:v>
      </x:c>
      <x:c r="M87" t="s">
        <x:v>110</x:v>
      </x:c>
      <x:c r="N87" s="18">
        <x:v>1025</x:v>
      </x:c>
      <x:c r="O87" t="s">
        <x:v>88</x:v>
      </x:c>
      <x:c r="P87" s="18">
        <x:v>1</x:v>
      </x:c>
      <x:c r="Q87" s="19" t="s">
        <x:v>121</x:v>
      </x:c>
      <x:c r="R87" s="18">
        <x:v>756320</x:v>
      </x:c>
      <x:c r="S87" t="s">
        <x:v>112</x:v>
      </x:c>
      <x:c r="T87" s="19">
        <x:f t="shared" si="89"/>
        <x:v>756320</x:v>
      </x:c>
      <x:c r="U87" s="20">
        <x:v>0.54500000000000004</x:v>
      </x:c>
      <x:c r="V87" t="s">
        <x:v>113</x:v>
      </x:c>
      <x:c r="W87" s="20">
        <x:v>14.4</x:v>
      </x:c>
      <x:c r="X87" s="21">
        <x:f t="shared" si="90"/>
        <x:v>7007.304799999999</x:v>
      </x:c>
      <x:c r="Y87" s="21">
        <x:f t="shared" si="91"/>
        <x:v>5453.0672000000004</x:v>
      </x:c>
      <x:c r="Z87" s="21">
        <x:f t="shared" si="92"/>
        <x:v>1512.64</x:v>
      </x:c>
      <x:c r="AA87" s="21">
        <x:f t="shared" si="93"/>
        <x:v>18786.988800000003</x:v>
      </x:c>
      <x:c r="AB87" s="21">
        <x:f t="shared" si="94"/>
        <x:v>4900.9536000000007</x:v>
      </x:c>
      <x:c r="AC87" s="21">
        <x:f t="shared" si="95"/>
        <x:v>9.8019072000000023</x:v>
      </x:c>
      <x:c r="AD87" s="21"/>
      <x:c r="AE87" s="21">
        <x:f t="shared" si="96"/>
        <x:v>30.252800000000001</x:v>
      </x:c>
      <x:c r="AF87" s="21"/>
      <x:c r="AG87" s="19" t="s">
        <x:v>96</x:v>
      </x:c>
      <x:c r="AH87" s="18">
        <x:v>51</x:v>
      </x:c>
      <x:c r="AI87" t="s">
        <x:v>76</x:v>
      </x:c>
      <x:c r="AJ87" s="19">
        <x:f t="shared" si="103"/>
        <x:v>51</x:v>
      </x:c>
      <x:c r="AK87" s="20">
        <x:v>20</x:v>
      </x:c>
      <x:c r="AL87" t="s">
        <x:v>77</x:v>
      </x:c>
      <x:c r="AM87" s="20">
        <x:v>0</x:v>
      </x:c>
      <x:c r="AN87" s="21">
        <x:f t="shared" si="97"/>
        <x:v>2.0400000000000001E-2</x:v>
      </x:c>
      <x:c r="AO87" s="21">
        <x:f t="shared" si="98"/>
        <x:v>2.0910000000000002</x:v>
      </x:c>
      <x:c r="AP87" s="21">
        <x:f t="shared" si="99"/>
        <x:v>0.66300000000000003</x:v>
      </x:c>
      <x:c r="AQ87" s="21">
        <x:f t="shared" si="100"/>
        <x:v>1.5299999999999999E-2</x:v>
      </x:c>
      <x:c r="AR87" s="21">
        <x:f t="shared" si="101"/>
        <x:v>1.5299999999999999E-2</x:v>
      </x:c>
      <x:c r="AS87" s="21"/>
      <x:c r="AT87" s="21"/>
      <x:c r="AU87" s="21">
        <x:f t="shared" si="102"/>
        <x:v>1.0200000000000001E-2</x:v>
      </x:c>
      <x:c r="AV87" s="21"/>
      <x:c r="AW87" t="s">
        <x:v>78</x:v>
      </x:c>
      <x:c r="AX87" s="19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t="s">
        <x:v>82</x:v>
      </x:c>
      <x:c r="BI87" s="18">
        <x:v>113</x:v>
      </x:c>
      <x:c r="BJ87" s="18">
        <x:v>52</x:v>
      </x:c>
      <x:c r="BK87" s="18">
        <x:v>4.42</x:v>
      </x:c>
      <x:c r="BL87" s="18">
        <x:v>22</x:v>
      </x:c>
      <x:c r="BM87" s="18">
        <x:v>29</x:v>
      </x:c>
      <x:c r="BN87" s="18">
        <x:v>21.58</x:v>
      </x:c>
      <x:c r="BO87" s="22">
        <x:v>113.867894444444</x:v>
      </x:c>
      <x:c r="BP87" s="22">
        <x:v>22.489327777777799</x:v>
      </x:c>
      <x:c r="BQ87" s="18">
        <x:v>210</x:v>
      </x:c>
      <x:c r="BR87" s="18">
        <x:v>616621.30000000005</x:v>
      </x:c>
      <x:c r="BS87" s="18">
        <x:v>7119.9960000000001</x:v>
      </x:c>
      <x:c r="BT87" s="18">
        <x:v>112.023</x:v>
      </x:c>
      <x:c r="BU87" s="18">
        <x:v>1346.8969999999999</x:v>
      </x:c>
      <x:c r="BV87" s="18">
        <x:v>168.38300000000001</x:v>
      </x:c>
      <x:c r="BW87" s="18">
        <x:v>107149.367</x:v>
      </x:c>
      <x:c r="BX87" s="18">
        <x:v>16.939</x:v>
      </x:c>
      <x:c r="BY87" s="18">
        <x:v>5226.1710000000003</x:v>
      </x:c>
      <x:c r="BZ87" s="18">
        <x:v>5226.1710000000003</x:v>
      </x:c>
      <x:c r="CA87" s="23">
        <x:f t="shared" si="65"/>
        <x:v>7007.3251999999993</x:v>
      </x:c>
      <x:c r="CB87" s="23">
        <x:f t="shared" si="66"/>
        <x:v>5455.1582000000008</x:v>
      </x:c>
      <x:c r="CC87" s="23">
        <x:f t="shared" si="67"/>
        <x:v>1513.3030000000001</x:v>
      </x:c>
      <x:c r="CD87" s="23">
        <x:f t="shared" si="68"/>
        <x:v>18787.004100000002</x:v>
      </x:c>
      <x:c r="CE87" s="23">
        <x:f t="shared" si="69"/>
        <x:v>4900.9689000000008</x:v>
      </x:c>
      <x:c r="CF87" s="23">
        <x:f t="shared" si="70"/>
        <x:v>9.8019072000000023</x:v>
      </x:c>
      <x:c r="CG87" s="23">
        <x:f t="shared" si="71"/>
        <x:v>0</x:v>
      </x:c>
      <x:c r="CH87" s="23">
        <x:f t="shared" si="72"/>
        <x:v>30.263000000000002</x:v>
      </x:c>
      <x:c r="CI87" s="23">
        <x:f t="shared" si="73"/>
        <x:v>0</x:v>
      </x:c>
      <x:c r="CJ87" s="24" t="s">
        <x:v>253</x:v>
      </x:c>
      <x:c r="CK87" s="25">
        <x:v>98.8</x:v>
      </x:c>
      <x:c r="CL87" s="26" t="s">
        <x:v>123</x:v>
      </x:c>
      <x:c r="CM87" s="26">
        <x:v>86.6</x:v>
      </x:c>
      <x:c r="CN87" s="27" t="s">
        <x:v>203</x:v>
      </x:c>
      <x:c r="CO87" s="27">
        <x:v>99.4</x:v>
      </x:c>
      <x:c r="CP87" s="27">
        <x:v>98.3</x:v>
      </x:c>
      <x:c r="CQ87" s="26">
        <x:f t="shared" si="74"/>
        <x:v>84.087902400000061</x:v>
      </x:c>
      <x:c r="CR87" s="26">
        <x:f t="shared" si="75"/>
        <x:v>730.99119880000012</x:v>
      </x:c>
      <x:c r="CS87" s="26">
        <x:f t="shared" si="78"/>
        <x:v>1513.3030000000001</x:v>
      </x:c>
      <x:c r="CT87" s="26">
        <x:f t="shared" si="43"/>
        <x:v>112.72202459999802</x:v>
      </x:c>
      <x:c r="CU87" s="26">
        <x:f t="shared" si="44"/>
        <x:v>83.316471300000089</x:v>
      </x:c>
      <x:c r="CV87" s="26">
        <x:f t="shared" si="45"/>
        <x:v>0.16663242240000017</x:v>
      </x:c>
      <x:c r="CW87" s="26">
        <x:f t="shared" si="46"/>
        <x:v>0</x:v>
      </x:c>
      <x:c r="CX87" s="26">
        <x:f t="shared" si="79"/>
        <x:v>30.263000000000002</x:v>
      </x:c>
      <x:c r="CY87" s="26">
        <x:f t="shared" si="80"/>
        <x:v>0</x:v>
      </x:c>
    </x:row>
    <x:row r="88">
      <x:c r="A88" s="18">
        <x:v>2022</x:v>
      </x:c>
      <x:c r="B88" t="s">
        <x:v>254</x:v>
      </x:c>
      <x:c r="C88" t="s">
        <x:v>255</x:v>
      </x:c>
      <x:c r="D88" t="s">
        <x:v>256</x:v>
      </x:c>
      <x:c r="E88" s="18">
        <x:v>440305</x:v>
      </x:c>
      <x:c r="F88" t="s">
        <x:v>251</x:v>
      </x:c>
      <x:c r="G88" t="s">
        <x:v>246</x:v>
      </x:c>
      <x:c r="H88" s="18">
        <x:v>4411</x:v>
      </x:c>
      <x:c r="I88" t="s">
        <x:v>102</x:v>
      </x:c>
      <x:c r="J88" t="s">
        <x:v>78</x:v>
      </x:c>
      <x:c r="K88" t="s">
        <x:v>80</x:v>
      </x:c>
      <x:c r="L88" s="18">
        <x:v>39</x:v>
      </x:c>
      <x:c r="M88" t="s">
        <x:v>78</x:v>
      </x:c>
      <x:c r="N88" s="18">
        <x:v>557</x:v>
      </x:c>
      <x:c r="O88" t="s">
        <x:v>88</x:v>
      </x:c>
      <x:c r="P88" s="18">
        <x:v>15</x:v>
      </x:c>
      <x:c r="Q88" s="19" t="s">
        <x:v>96</x:v>
      </x:c>
      <x:c r="R88" s="18">
        <x:v>20135.214</x:v>
      </x:c>
      <x:c r="S88" t="s">
        <x:v>76</x:v>
      </x:c>
      <x:c r="T88" s="19">
        <x:f t="shared" si="89"/>
        <x:v>20135.214</x:v>
      </x:c>
      <x:c r="U88" s="20">
        <x:v>20</x:v>
      </x:c>
      <x:c r="V88" t="s">
        <x:v>77</x:v>
      </x:c>
      <x:c r="W88" s="19" t="s">
        <x:v>78</x:v>
      </x:c>
      <x:c r="X88" s="21" t="n">
        <x:f t="shared" ref="X88:X109" si="104">2*U88*T88*10000/1000000000</x:f>
        <x:v>8.0540856</x:v>
      </x:c>
      <x:c r="Y88" s="21" t="n">
        <x:f t="shared" ref="Y88:Y109" si="105">4.1*T88*10000/1000000</x:f>
        <x:v>825.543774</x:v>
      </x:c>
      <x:c r="Z88" s="21" t="n">
        <x:f t="shared" ref="Z88:Z109" si="106">1.3*T88*10000/1000000</x:f>
        <x:v>261.757782</x:v>
      </x:c>
      <x:c r="AA88" s="21" t="n">
        <x:f t="shared" ref="AA88:AA109" si="107">0.03*T88*10000/1000000</x:f>
        <x:v>6.0405642</x:v>
      </x:c>
      <x:c r="AB88" s="21" t="n">
        <x:f t="shared" ref="AB88:AB109" si="108">0.03*T88*10000/1000000</x:f>
        <x:v>6.0405642</x:v>
      </x:c>
      <x:c r="AC88" s="21"/>
      <x:c r="AD88" s="21"/>
      <x:c r="AE88" s="21" t="n">
        <x:f t="shared" ref="AE88:AE109" si="109">0.02*T88*10000/1000000</x:f>
        <x:v>4.0270428</x:v>
      </x:c>
      <x:c r="AF88" s="21"/>
      <x:c r="AG88" s="19" t="s">
        <x:v>78</x:v>
      </x:c>
      <x:c r="AH88" t="s">
        <x:v>78</x:v>
      </x:c>
      <x:c r="AI88" t="s">
        <x:v>78</x:v>
      </x:c>
      <x:c r="AJ88" s="19"/>
      <x:c r="AK88" s="19" t="s">
        <x:v>78</x:v>
      </x:c>
      <x:c r="AL88" t="s">
        <x:v>78</x:v>
      </x:c>
      <x:c r="AM88" s="19" t="s">
        <x:v>78</x:v>
      </x:c>
      <x:c r="AN88" s="21"/>
      <x:c r="AO88" s="21"/>
      <x:c r="AP88" s="21"/>
      <x:c r="AQ88" s="21"/>
      <x:c r="AR88" s="21"/>
      <x:c r="AS88" s="21"/>
      <x:c r="AT88" s="21"/>
      <x:c r="AU88" s="21"/>
      <x:c r="AV88" s="21"/>
      <x:c r="AW88" t="s">
        <x:v>78</x:v>
      </x:c>
      <x:c r="AX88" s="19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t="s">
        <x:v>81</x:v>
      </x:c>
      <x:c r="BI88" s="18">
        <x:v>113</x:v>
      </x:c>
      <x:c r="BJ88" s="18">
        <x:v>50</x:v>
      </x:c>
      <x:c r="BK88" s="18">
        <x:v>50.96</x:v>
      </x:c>
      <x:c r="BL88" s="18">
        <x:v>22</x:v>
      </x:c>
      <x:c r="BM88" s="18">
        <x:v>30</x:v>
      </x:c>
      <x:c r="BN88" s="18">
        <x:v>26.46</x:v>
      </x:c>
      <x:c r="BO88" s="22">
        <x:v>113.847488888889</x:v>
      </x:c>
      <x:c r="BP88" s="22">
        <x:v>22.507349999999999</x:v>
      </x:c>
      <x:c r="BQ88" s="18">
        <x:v>80</x:v>
      </x:c>
      <x:c r="BR88" s="18">
        <x:v>409800</x:v>
      </x:c>
      <x:c r="BS88" t="s">
        <x:v>78</x:v>
      </x:c>
      <x:c r="BT88" s="18">
        <x:v>0.72599999999999998</x:v>
      </x:c>
      <x:c r="BU88" s="18">
        <x:v>255.71700000000001</x:v>
      </x:c>
      <x:c r="BV88" s="18">
        <x:v>48.753999999999998</x:v>
      </x:c>
      <x:c r="BW88" s="18">
        <x:v>20.92</x:v>
      </x:c>
      <x:c r="BX88" s="18">
        <x:v>2.0990000000000002</x:v>
      </x:c>
      <x:c r="BY88" t="s">
        <x:v>78</x:v>
      </x:c>
      <x:c r="BZ88" t="s">
        <x:v>78</x:v>
      </x:c>
      <x:c r="CA88" s="23">
        <x:f t="shared" si="65"/>
        <x:v>8.0540856000000005</x:v>
      </x:c>
      <x:c r="CB88" s="23">
        <x:f t="shared" si="66"/>
        <x:v>825.54377399999998</x:v>
      </x:c>
      <x:c r="CC88" s="23">
        <x:f t="shared" si="67"/>
        <x:v>261.75778200000002</x:v>
      </x:c>
      <x:c r="CD88" s="23">
        <x:f t="shared" si="68"/>
        <x:v>6.0405642000000004</x:v>
      </x:c>
      <x:c r="CE88" s="23">
        <x:f t="shared" si="69"/>
        <x:v>6.0405642000000004</x:v>
      </x:c>
      <x:c r="CF88" s="23">
        <x:f t="shared" si="70"/>
        <x:v>0</x:v>
      </x:c>
      <x:c r="CG88" s="23">
        <x:f t="shared" si="71"/>
        <x:v>0</x:v>
      </x:c>
      <x:c r="CH88" s="23">
        <x:f t="shared" si="72"/>
        <x:v>4.0270428000000003</x:v>
      </x:c>
      <x:c r="CI88" s="23">
        <x:f t="shared" si="73"/>
        <x:v>0</x:v>
      </x:c>
      <x:c r="CJ88" s="24" t="s">
        <x:v>78</x:v>
      </x:c>
      <x:c r="CK88" s="25">
        <x:v>0</x:v>
      </x:c>
      <x:c r="CL88" s="26" t="s">
        <x:v>78</x:v>
      </x:c>
      <x:c r="CM88" s="26" t="n">
        <x:f>(1-BV88/BU88)*100</x:f>
        <x:v>80.93439231650615</x:v>
      </x:c>
      <x:c r="CN88" s="27" t="s">
        <x:v>78</x:v>
      </x:c>
      <x:c r="CO88" s="27">
        <x:v>0</x:v>
      </x:c>
      <x:c r="CP88" s="27">
        <x:v>0</x:v>
      </x:c>
      <x:c r="CQ88" s="26">
        <x:f t="shared" si="74"/>
        <x:v>8.0540856000000005</x:v>
      </x:c>
      <x:c r="CR88" s="26">
        <x:f t="shared" si="75"/>
        <x:v>157.39493720634917</x:v>
      </x:c>
      <x:c r="CS88" s="26">
        <x:f t="shared" si="78"/>
        <x:v>261.75778200000002</x:v>
      </x:c>
      <x:c r="CT88" s="26">
        <x:f t="shared" si="43"/>
        <x:v>6.0405642000000004</x:v>
      </x:c>
      <x:c r="CU88" s="26">
        <x:f t="shared" si="44"/>
        <x:v>6.0405642000000004</x:v>
      </x:c>
      <x:c r="CV88" s="26">
        <x:f t="shared" si="45"/>
        <x:v>0</x:v>
      </x:c>
      <x:c r="CW88" s="26">
        <x:f t="shared" si="46"/>
        <x:v>0</x:v>
      </x:c>
      <x:c r="CX88" s="26">
        <x:f t="shared" si="79"/>
        <x:v>4.0270428000000003</x:v>
      </x:c>
      <x:c r="CY88" s="26">
        <x:f t="shared" si="80"/>
        <x:v>0</x:v>
      </x:c>
    </x:row>
    <x:row r="89">
      <x:c r="A89" s="18">
        <x:v>2022</x:v>
      </x:c>
      <x:c r="B89" t="s">
        <x:v>254</x:v>
      </x:c>
      <x:c r="C89" t="s">
        <x:v>255</x:v>
      </x:c>
      <x:c r="D89" t="s">
        <x:v>256</x:v>
      </x:c>
      <x:c r="E89" s="18">
        <x:v>440305</x:v>
      </x:c>
      <x:c r="F89" t="s">
        <x:v>251</x:v>
      </x:c>
      <x:c r="G89" t="s">
        <x:v>246</x:v>
      </x:c>
      <x:c r="H89" s="18">
        <x:v>4411</x:v>
      </x:c>
      <x:c r="I89" t="s">
        <x:v>102</x:v>
      </x:c>
      <x:c r="J89" t="s">
        <x:v>78</x:v>
      </x:c>
      <x:c r="K89" t="s">
        <x:v>80</x:v>
      </x:c>
      <x:c r="L89" s="18">
        <x:v>39</x:v>
      </x:c>
      <x:c r="M89" t="s">
        <x:v>78</x:v>
      </x:c>
      <x:c r="N89" s="18">
        <x:v>557</x:v>
      </x:c>
      <x:c r="O89" t="s">
        <x:v>88</x:v>
      </x:c>
      <x:c r="P89" s="18">
        <x:v>15</x:v>
      </x:c>
      <x:c r="Q89" s="19" t="s">
        <x:v>96</x:v>
      </x:c>
      <x:c r="R89" s="18">
        <x:v>27249.786</x:v>
      </x:c>
      <x:c r="S89" t="s">
        <x:v>76</x:v>
      </x:c>
      <x:c r="T89" s="19">
        <x:f t="shared" si="89"/>
        <x:v>27249.786</x:v>
      </x:c>
      <x:c r="U89" s="20">
        <x:v>20</x:v>
      </x:c>
      <x:c r="V89" t="s">
        <x:v>77</x:v>
      </x:c>
      <x:c r="W89" s="19" t="s">
        <x:v>78</x:v>
      </x:c>
      <x:c r="X89" s="21">
        <x:f t="shared" si="104"/>
        <x:v>10.8999144</x:v>
      </x:c>
      <x:c r="Y89" s="21">
        <x:f t="shared" si="105"/>
        <x:v>1117.2412259999999</x:v>
      </x:c>
      <x:c r="Z89" s="21">
        <x:f t="shared" si="106"/>
        <x:v>354.24721799999998</x:v>
      </x:c>
      <x:c r="AA89" s="21">
        <x:f t="shared" si="107"/>
        <x:v>8.1749358000000001</x:v>
      </x:c>
      <x:c r="AB89" s="21">
        <x:f t="shared" si="108"/>
        <x:v>8.1749358000000001</x:v>
      </x:c>
      <x:c r="AC89" s="21"/>
      <x:c r="AD89" s="21"/>
      <x:c r="AE89" s="21">
        <x:f t="shared" si="109"/>
        <x:v>5.4499572000000001</x:v>
      </x:c>
      <x:c r="AF89" s="21"/>
      <x:c r="AG89" s="19" t="s">
        <x:v>78</x:v>
      </x:c>
      <x:c r="AH89" t="s">
        <x:v>78</x:v>
      </x:c>
      <x:c r="AI89" t="s">
        <x:v>78</x:v>
      </x:c>
      <x:c r="AJ89" s="19"/>
      <x:c r="AK89" s="19" t="s">
        <x:v>78</x:v>
      </x:c>
      <x:c r="AL89" t="s">
        <x:v>78</x:v>
      </x:c>
      <x:c r="AM89" s="19" t="s">
        <x:v>78</x:v>
      </x:c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t="s">
        <x:v>78</x:v>
      </x:c>
      <x:c r="AX89" s="19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t="s">
        <x:v>79</x:v>
      </x:c>
      <x:c r="BI89" s="18">
        <x:v>113</x:v>
      </x:c>
      <x:c r="BJ89" s="18">
        <x:v>51</x:v>
      </x:c>
      <x:c r="BK89" s="18">
        <x:v>0.68</x:v>
      </x:c>
      <x:c r="BL89" s="18">
        <x:v>22</x:v>
      </x:c>
      <x:c r="BM89" s="18">
        <x:v>30</x:v>
      </x:c>
      <x:c r="BN89" s="18">
        <x:v>27.5</x:v>
      </x:c>
      <x:c r="BO89" s="22">
        <x:v>113.85018888888899</x:v>
      </x:c>
      <x:c r="BP89" s="22">
        <x:v>22.507638888888899</x:v>
      </x:c>
      <x:c r="BQ89" s="18">
        <x:v>80</x:v>
      </x:c>
      <x:c r="BR89" s="18">
        <x:v>539900</x:v>
      </x:c>
      <x:c r="BS89" t="s">
        <x:v>78</x:v>
      </x:c>
      <x:c r="BT89" s="18">
        <x:v>1.31</x:v>
      </x:c>
      <x:c r="BU89" s="18">
        <x:v>346.072</x:v>
      </x:c>
      <x:c r="BV89" s="18">
        <x:v>64.102999999999994</x:v>
      </x:c>
      <x:c r="BW89" s="18">
        <x:v>28.312999999999999</x:v>
      </x:c>
      <x:c r="BX89" s="18">
        <x:v>9.9559999999999995</x:v>
      </x:c>
      <x:c r="BY89" t="s">
        <x:v>78</x:v>
      </x:c>
      <x:c r="BZ89" t="s">
        <x:v>78</x:v>
      </x:c>
      <x:c r="CA89" s="23">
        <x:f t="shared" si="65"/>
        <x:v>10.8999144</x:v>
      </x:c>
      <x:c r="CB89" s="23">
        <x:f t="shared" si="66"/>
        <x:v>1117.2412259999999</x:v>
      </x:c>
      <x:c r="CC89" s="23">
        <x:f t="shared" si="67"/>
        <x:v>354.24721799999998</x:v>
      </x:c>
      <x:c r="CD89" s="23">
        <x:f t="shared" si="68"/>
        <x:v>8.1749358000000001</x:v>
      </x:c>
      <x:c r="CE89" s="23">
        <x:f t="shared" si="69"/>
        <x:v>8.1749358000000001</x:v>
      </x:c>
      <x:c r="CF89" s="23">
        <x:f t="shared" si="70"/>
        <x:v>0</x:v>
      </x:c>
      <x:c r="CG89" s="23">
        <x:f t="shared" si="71"/>
        <x:v>0</x:v>
      </x:c>
      <x:c r="CH89" s="23">
        <x:f t="shared" si="72"/>
        <x:v>5.4499572000000001</x:v>
      </x:c>
      <x:c r="CI89" s="23">
        <x:f t="shared" si="73"/>
        <x:v>0</x:v>
      </x:c>
      <x:c r="CJ89" s="24" t="s">
        <x:v>78</x:v>
      </x:c>
      <x:c r="CK89" s="25">
        <x:v>0</x:v>
      </x:c>
      <x:c r="CL89" s="26" t="s">
        <x:v>78</x:v>
      </x:c>
      <x:c r="CM89" s="26" t="n">
        <x:f>(1-BV89/BU89)*100</x:f>
        <x:v>81.4769758894103</x:v>
      </x:c>
      <x:c r="CN89" s="27" t="s">
        <x:v>78</x:v>
      </x:c>
      <x:c r="CO89" s="27">
        <x:v>0</x:v>
      </x:c>
      <x:c r="CP89" s="27">
        <x:v>0</x:v>
      </x:c>
      <x:c r="CQ89" s="26">
        <x:f t="shared" si="74"/>
        <x:v>10.8999144</x:v>
      </x:c>
      <x:c r="CR89" s="26">
        <x:f t="shared" si="75"/>
        <x:v>206.94686166542797</x:v>
      </x:c>
      <x:c r="CS89" s="26">
        <x:f t="shared" si="78"/>
        <x:v>354.24721799999998</x:v>
      </x:c>
      <x:c r="CT89" s="26">
        <x:f t="shared" si="43"/>
        <x:v>8.1749358000000001</x:v>
      </x:c>
      <x:c r="CU89" s="26">
        <x:f t="shared" si="44"/>
        <x:v>8.1749358000000001</x:v>
      </x:c>
      <x:c r="CV89" s="26">
        <x:f t="shared" si="45"/>
        <x:v>0</x:v>
      </x:c>
      <x:c r="CW89" s="26">
        <x:f t="shared" si="46"/>
        <x:v>0</x:v>
      </x:c>
      <x:c r="CX89" s="26">
        <x:f t="shared" si="79"/>
        <x:v>5.4499572000000001</x:v>
      </x:c>
      <x:c r="CY89" s="26">
        <x:f t="shared" si="80"/>
        <x:v>0</x:v>
      </x:c>
    </x:row>
    <x:row r="90">
      <x:c r="A90" s="18">
        <x:v>2022</x:v>
      </x:c>
      <x:c r="B90" t="s">
        <x:v>254</x:v>
      </x:c>
      <x:c r="C90" t="s">
        <x:v>255</x:v>
      </x:c>
      <x:c r="D90" t="s">
        <x:v>256</x:v>
      </x:c>
      <x:c r="E90" s="18">
        <x:v>440305</x:v>
      </x:c>
      <x:c r="F90" t="s">
        <x:v>251</x:v>
      </x:c>
      <x:c r="G90" t="s">
        <x:v>246</x:v>
      </x:c>
      <x:c r="H90" s="18">
        <x:v>4411</x:v>
      </x:c>
      <x:c r="I90" t="s">
        <x:v>102</x:v>
      </x:c>
      <x:c r="J90" t="s">
        <x:v>78</x:v>
      </x:c>
      <x:c r="K90" t="s">
        <x:v>80</x:v>
      </x:c>
      <x:c r="L90" s="18">
        <x:v>39</x:v>
      </x:c>
      <x:c r="M90" t="s">
        <x:v>78</x:v>
      </x:c>
      <x:c r="N90" s="18">
        <x:v>557</x:v>
      </x:c>
      <x:c r="O90" t="s">
        <x:v>88</x:v>
      </x:c>
      <x:c r="P90" s="18">
        <x:v>15</x:v>
      </x:c>
      <x:c r="Q90" s="19" t="s">
        <x:v>96</x:v>
      </x:c>
      <x:c r="R90" s="18">
        <x:v>23070.806</x:v>
      </x:c>
      <x:c r="S90" t="s">
        <x:v>76</x:v>
      </x:c>
      <x:c r="T90" s="19">
        <x:f t="shared" si="89"/>
        <x:v>23070.806</x:v>
      </x:c>
      <x:c r="U90" s="20">
        <x:v>20</x:v>
      </x:c>
      <x:c r="V90" t="s">
        <x:v>77</x:v>
      </x:c>
      <x:c r="W90" s="19" t="s">
        <x:v>78</x:v>
      </x:c>
      <x:c r="X90" s="21">
        <x:f t="shared" si="104"/>
        <x:v>9.2283223999999997</x:v>
      </x:c>
      <x:c r="Y90" s="21">
        <x:f t="shared" si="105"/>
        <x:v>945.9030459999999</x:v>
      </x:c>
      <x:c r="Z90" s="21">
        <x:f t="shared" si="106"/>
        <x:v>299.920478</x:v>
      </x:c>
      <x:c r="AA90" s="21">
        <x:f t="shared" si="107"/>
        <x:v>6.9212417999999998</x:v>
      </x:c>
      <x:c r="AB90" s="21">
        <x:f t="shared" si="108"/>
        <x:v>6.9212417999999998</x:v>
      </x:c>
      <x:c r="AC90" s="21"/>
      <x:c r="AD90" s="21"/>
      <x:c r="AE90" s="21">
        <x:f t="shared" si="109"/>
        <x:v>4.6141611999999999</x:v>
      </x:c>
      <x:c r="AF90" s="21"/>
      <x:c r="AG90" s="19" t="s">
        <x:v>78</x:v>
      </x:c>
      <x:c r="AH90" t="s">
        <x:v>78</x:v>
      </x:c>
      <x:c r="AI90" t="s">
        <x:v>78</x:v>
      </x:c>
      <x:c r="AJ90" s="19"/>
      <x:c r="AK90" s="19" t="s">
        <x:v>78</x:v>
      </x:c>
      <x:c r="AL90" t="s">
        <x:v>78</x:v>
      </x:c>
      <x:c r="AM90" s="19" t="s">
        <x:v>78</x:v>
      </x:c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t="s">
        <x:v>78</x:v>
      </x:c>
      <x:c r="AX90" s="19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t="s">
        <x:v>82</x:v>
      </x:c>
      <x:c r="BI90" s="18">
        <x:v>113</x:v>
      </x:c>
      <x:c r="BJ90" s="18">
        <x:v>52</x:v>
      </x:c>
      <x:c r="BK90" s="18">
        <x:v>2.2999999999999998</x:v>
      </x:c>
      <x:c r="BL90" s="18">
        <x:v>22</x:v>
      </x:c>
      <x:c r="BM90" s="18">
        <x:v>30</x:v>
      </x:c>
      <x:c r="BN90" s="18">
        <x:v>28.66</x:v>
      </x:c>
      <x:c r="BO90" s="22">
        <x:v>113.867305555556</x:v>
      </x:c>
      <x:c r="BP90" s="22">
        <x:v>22.507961111111101</x:v>
      </x:c>
      <x:c r="BQ90" s="18">
        <x:v>80</x:v>
      </x:c>
      <x:c r="BR90" s="18">
        <x:v>504900</x:v>
      </x:c>
      <x:c r="BS90" t="s">
        <x:v>78</x:v>
      </x:c>
      <x:c r="BT90" s="18">
        <x:v>2.2309999999999999</x:v>
      </x:c>
      <x:c r="BU90" s="18">
        <x:v>292.99900000000002</x:v>
      </x:c>
      <x:c r="BV90" s="18">
        <x:v>52.715000000000003</x:v>
      </x:c>
      <x:c r="BW90" s="18">
        <x:v>23.971</x:v>
      </x:c>
      <x:c r="BX90" s="18">
        <x:v>3.1680000000000001</x:v>
      </x:c>
      <x:c r="BY90" t="s">
        <x:v>78</x:v>
      </x:c>
      <x:c r="BZ90" t="s">
        <x:v>78</x:v>
      </x:c>
      <x:c r="CA90" s="23">
        <x:f t="shared" si="65"/>
        <x:v>9.2283223999999997</x:v>
      </x:c>
      <x:c r="CB90" s="23">
        <x:f t="shared" si="66"/>
        <x:v>945.9030459999999</x:v>
      </x:c>
      <x:c r="CC90" s="23">
        <x:f t="shared" si="67"/>
        <x:v>299.920478</x:v>
      </x:c>
      <x:c r="CD90" s="23">
        <x:f t="shared" si="68"/>
        <x:v>6.9212417999999998</x:v>
      </x:c>
      <x:c r="CE90" s="23">
        <x:f t="shared" si="69"/>
        <x:v>6.9212417999999998</x:v>
      </x:c>
      <x:c r="CF90" s="23">
        <x:f t="shared" si="70"/>
        <x:v>0</x:v>
      </x:c>
      <x:c r="CG90" s="23">
        <x:f t="shared" si="71"/>
        <x:v>0</x:v>
      </x:c>
      <x:c r="CH90" s="23">
        <x:f t="shared" si="72"/>
        <x:v>4.6141611999999999</x:v>
      </x:c>
      <x:c r="CI90" s="23">
        <x:f t="shared" si="73"/>
        <x:v>0</x:v>
      </x:c>
      <x:c r="CJ90" s="24" t="s">
        <x:v>78</x:v>
      </x:c>
      <x:c r="CK90" s="25">
        <x:v>0</x:v>
      </x:c>
      <x:c r="CL90" s="26" t="s">
        <x:v>78</x:v>
      </x:c>
      <x:c r="CM90" s="26" t="n">
        <x:f>(1-BV90/BU90)*100</x:f>
        <x:v>82.00847101867241</x:v>
      </x:c>
      <x:c r="CN90" s="27" t="s">
        <x:v>78</x:v>
      </x:c>
      <x:c r="CO90" s="27">
        <x:v>0</x:v>
      </x:c>
      <x:c r="CP90" s="27">
        <x:v>0</x:v>
      </x:c>
      <x:c r="CQ90" s="26">
        <x:f t="shared" si="74"/>
        <x:v>9.2283223999999997</x:v>
      </x:c>
      <x:c r="CR90" s="26">
        <x:f t="shared" si="75"/>
        <x:v>170.18242065635039</x:v>
      </x:c>
      <x:c r="CS90" s="26">
        <x:f t="shared" si="78"/>
        <x:v>299.920478</x:v>
      </x:c>
      <x:c r="CT90" s="26">
        <x:f t="shared" si="43"/>
        <x:v>6.9212417999999998</x:v>
      </x:c>
      <x:c r="CU90" s="26">
        <x:f t="shared" si="44"/>
        <x:v>6.9212417999999998</x:v>
      </x:c>
      <x:c r="CV90" s="26">
        <x:f t="shared" si="45"/>
        <x:v>0</x:v>
      </x:c>
      <x:c r="CW90" s="26">
        <x:f t="shared" si="46"/>
        <x:v>0</x:v>
      </x:c>
      <x:c r="CX90" s="26">
        <x:f t="shared" si="79"/>
        <x:v>4.6141611999999999</x:v>
      </x:c>
      <x:c r="CY90" s="26">
        <x:f t="shared" si="80"/>
        <x:v>0</x:v>
      </x:c>
    </x:row>
    <x:row r="91">
      <x:c r="A91" s="18">
        <x:v>2022</x:v>
      </x:c>
      <x:c r="B91" t="s">
        <x:v>257</x:v>
      </x:c>
      <x:c r="C91" t="s">
        <x:v>258</x:v>
      </x:c>
      <x:c r="D91" t="s">
        <x:v>259</x:v>
      </x:c>
      <x:c r="E91" s="18">
        <x:v>440305</x:v>
      </x:c>
      <x:c r="F91" t="s">
        <x:v>251</x:v>
      </x:c>
      <x:c r="G91" t="s">
        <x:v>246</x:v>
      </x:c>
      <x:c r="H91" s="18">
        <x:v>4411</x:v>
      </x:c>
      <x:c r="I91" t="s">
        <x:v>102</x:v>
      </x:c>
      <x:c r="J91" t="s">
        <x:v>78</x:v>
      </x:c>
      <x:c r="K91" t="s">
        <x:v>80</x:v>
      </x:c>
      <x:c r="L91" s="18">
        <x:v>18.3</x:v>
      </x:c>
      <x:c r="M91" t="s">
        <x:v>78</x:v>
      </x:c>
      <x:c r="N91" s="18">
        <x:v>200</x:v>
      </x:c>
      <x:c r="O91" t="s">
        <x:v>88</x:v>
      </x:c>
      <x:c r="P91" s="18">
        <x:v>15</x:v>
      </x:c>
      <x:c r="Q91" s="19" t="s">
        <x:v>96</x:v>
      </x:c>
      <x:c r="R91" s="18">
        <x:v>5473.51</x:v>
      </x:c>
      <x:c r="S91" t="s">
        <x:v>76</x:v>
      </x:c>
      <x:c r="T91" s="19">
        <x:f t="shared" si="89"/>
        <x:v>5473.51</x:v>
      </x:c>
      <x:c r="U91" s="20">
        <x:v>20</x:v>
      </x:c>
      <x:c r="V91" t="s">
        <x:v>77</x:v>
      </x:c>
      <x:c r="W91" s="19" t="s">
        <x:v>78</x:v>
      </x:c>
      <x:c r="X91" s="21">
        <x:f t="shared" si="104"/>
        <x:v>2.1894040000000001</x:v>
      </x:c>
      <x:c r="Y91" s="21">
        <x:f t="shared" si="105"/>
        <x:v>224.41390999999999</x:v>
      </x:c>
      <x:c r="Z91" s="21">
        <x:f t="shared" si="106"/>
        <x:v>71.155630000000002</x:v>
      </x:c>
      <x:c r="AA91" s="21">
        <x:f t="shared" si="107"/>
        <x:v>1.642053</x:v>
      </x:c>
      <x:c r="AB91" s="21">
        <x:f t="shared" si="108"/>
        <x:v>1.642053</x:v>
      </x:c>
      <x:c r="AC91" s="21"/>
      <x:c r="AD91" s="21"/>
      <x:c r="AE91" s="21">
        <x:f t="shared" si="109"/>
        <x:v>1.0947020000000001</x:v>
      </x:c>
      <x:c r="AF91" s="21"/>
      <x:c r="AG91" s="19" t="s">
        <x:v>78</x:v>
      </x:c>
      <x:c r="AH91" t="s">
        <x:v>78</x:v>
      </x:c>
      <x:c r="AI91" t="s">
        <x:v>78</x:v>
      </x:c>
      <x:c r="AJ91" s="19"/>
      <x:c r="AK91" s="19" t="s">
        <x:v>78</x:v>
      </x:c>
      <x:c r="AL91" t="s">
        <x:v>78</x:v>
      </x:c>
      <x:c r="AM91" s="19" t="s">
        <x:v>78</x:v>
      </x:c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t="s">
        <x:v>78</x:v>
      </x:c>
      <x:c r="AX91" s="19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t="s">
        <x:v>81</x:v>
      </x:c>
      <x:c r="BI91" s="18">
        <x:v>113</x:v>
      </x:c>
      <x:c r="BJ91" s="18">
        <x:v>53</x:v>
      </x:c>
      <x:c r="BK91" s="18">
        <x:v>35</x:v>
      </x:c>
      <x:c r="BL91" s="18">
        <x:v>22</x:v>
      </x:c>
      <x:c r="BM91" s="18">
        <x:v>30</x:v>
      </x:c>
      <x:c r="BN91" s="18">
        <x:v>42</x:v>
      </x:c>
      <x:c r="BO91" s="22">
        <x:v>113.893055555556</x:v>
      </x:c>
      <x:c r="BP91" s="22">
        <x:v>22.511666666666699</x:v>
      </x:c>
      <x:c r="BQ91" s="18">
        <x:v>60</x:v>
      </x:c>
      <x:c r="BR91" s="18">
        <x:v>200934.25</x:v>
      </x:c>
      <x:c r="BS91" t="s">
        <x:v>78</x:v>
      </x:c>
      <x:c r="BT91" t="s">
        <x:v>78</x:v>
      </x:c>
      <x:c r="BU91" s="18">
        <x:v>69.513999999999996</x:v>
      </x:c>
      <x:c r="BV91" s="18">
        <x:v>69.513999999999996</x:v>
      </x:c>
      <x:c r="BW91" s="18">
        <x:v>7.9880000000000004</x:v>
      </x:c>
      <x:c r="BX91" s="18">
        <x:v>7.9880000000000004</x:v>
      </x:c>
      <x:c r="BY91" t="s">
        <x:v>78</x:v>
      </x:c>
      <x:c r="BZ91" t="s">
        <x:v>78</x:v>
      </x:c>
      <x:c r="CA91" s="23">
        <x:f t="shared" si="65"/>
        <x:v>2.1894040000000001</x:v>
      </x:c>
      <x:c r="CB91" s="23">
        <x:f t="shared" si="66"/>
        <x:v>224.41390999999999</x:v>
      </x:c>
      <x:c r="CC91" s="23">
        <x:f t="shared" si="67"/>
        <x:v>71.155630000000002</x:v>
      </x:c>
      <x:c r="CD91" s="23">
        <x:f t="shared" si="68"/>
        <x:v>1.642053</x:v>
      </x:c>
      <x:c r="CE91" s="23">
        <x:f t="shared" si="69"/>
        <x:v>1.642053</x:v>
      </x:c>
      <x:c r="CF91" s="23">
        <x:f t="shared" si="70"/>
        <x:v>0</x:v>
      </x:c>
      <x:c r="CG91" s="23">
        <x:f t="shared" si="71"/>
        <x:v>0</x:v>
      </x:c>
      <x:c r="CH91" s="23">
        <x:f t="shared" si="72"/>
        <x:v>1.0947020000000001</x:v>
      </x:c>
      <x:c r="CI91" s="23">
        <x:f t="shared" si="73"/>
        <x:v>0</x:v>
      </x:c>
      <x:c r="CJ91" s="24" t="s">
        <x:v>78</x:v>
      </x:c>
      <x:c r="CK91" s="25">
        <x:v>0</x:v>
      </x:c>
      <x:c r="CL91" s="26" t="s">
        <x:v>78</x:v>
      </x:c>
      <x:c r="CM91" s="26">
        <x:v>42</x:v>
      </x:c>
      <x:c r="CN91" s="27" t="s">
        <x:v>78</x:v>
      </x:c>
      <x:c r="CO91" s="27">
        <x:v>0</x:v>
      </x:c>
      <x:c r="CP91" s="27">
        <x:v>0</x:v>
      </x:c>
      <x:c r="CQ91" s="26">
        <x:f t="shared" si="74"/>
        <x:v>2.1894040000000001</x:v>
      </x:c>
      <x:c r="CR91" s="26">
        <x:f t="shared" si="75"/>
        <x:v>130.16006780000001</x:v>
      </x:c>
      <x:c r="CS91" s="26">
        <x:f t="shared" si="78"/>
        <x:v>71.155630000000002</x:v>
      </x:c>
      <x:c r="CT91" s="26">
        <x:f t="shared" si="43"/>
        <x:v>1.642053</x:v>
      </x:c>
      <x:c r="CU91" s="26">
        <x:f t="shared" si="44"/>
        <x:v>1.642053</x:v>
      </x:c>
      <x:c r="CV91" s="26">
        <x:f t="shared" si="45"/>
        <x:v>0</x:v>
      </x:c>
      <x:c r="CW91" s="26">
        <x:f t="shared" si="46"/>
        <x:v>0</x:v>
      </x:c>
      <x:c r="CX91" s="26">
        <x:f t="shared" si="79"/>
        <x:v>1.0947020000000001</x:v>
      </x:c>
      <x:c r="CY91" s="26">
        <x:f t="shared" si="80"/>
        <x:v>0</x:v>
      </x:c>
    </x:row>
    <x:row r="92">
      <x:c r="A92" s="18">
        <x:v>2022</x:v>
      </x:c>
      <x:c r="B92" t="s">
        <x:v>257</x:v>
      </x:c>
      <x:c r="C92" t="s">
        <x:v>258</x:v>
      </x:c>
      <x:c r="D92" t="s">
        <x:v>259</x:v>
      </x:c>
      <x:c r="E92" s="18">
        <x:v>440305</x:v>
      </x:c>
      <x:c r="F92" t="s">
        <x:v>251</x:v>
      </x:c>
      <x:c r="G92" t="s">
        <x:v>246</x:v>
      </x:c>
      <x:c r="H92" s="18">
        <x:v>4411</x:v>
      </x:c>
      <x:c r="I92" t="s">
        <x:v>102</x:v>
      </x:c>
      <x:c r="J92" t="s">
        <x:v>78</x:v>
      </x:c>
      <x:c r="K92" t="s">
        <x:v>80</x:v>
      </x:c>
      <x:c r="L92" s="18">
        <x:v>18.3</x:v>
      </x:c>
      <x:c r="M92" t="s">
        <x:v>78</x:v>
      </x:c>
      <x:c r="N92" s="18">
        <x:v>200</x:v>
      </x:c>
      <x:c r="O92" t="s">
        <x:v>88</x:v>
      </x:c>
      <x:c r="P92" s="18">
        <x:v>15</x:v>
      </x:c>
      <x:c r="Q92" s="19" t="s">
        <x:v>96</x:v>
      </x:c>
      <x:c r="R92" s="18">
        <x:v>5797.39</x:v>
      </x:c>
      <x:c r="S92" t="s">
        <x:v>76</x:v>
      </x:c>
      <x:c r="T92" s="19">
        <x:f t="shared" si="89"/>
        <x:v>5797.39</x:v>
      </x:c>
      <x:c r="U92" s="20">
        <x:v>20</x:v>
      </x:c>
      <x:c r="V92" t="s">
        <x:v>77</x:v>
      </x:c>
      <x:c r="W92" s="19" t="s">
        <x:v>78</x:v>
      </x:c>
      <x:c r="X92" s="21">
        <x:f t="shared" si="104"/>
        <x:v>2.318956</x:v>
      </x:c>
      <x:c r="Y92" s="21">
        <x:f t="shared" si="105"/>
        <x:v>237.69299000000001</x:v>
      </x:c>
      <x:c r="Z92" s="21">
        <x:f t="shared" si="106"/>
        <x:v>75.366070000000022</x:v>
      </x:c>
      <x:c r="AA92" s="21">
        <x:f t="shared" si="107"/>
        <x:v>1.7392170000000002</x:v>
      </x:c>
      <x:c r="AB92" s="21">
        <x:f t="shared" si="108"/>
        <x:v>1.7392170000000002</x:v>
      </x:c>
      <x:c r="AC92" s="21"/>
      <x:c r="AD92" s="21"/>
      <x:c r="AE92" s="21">
        <x:f t="shared" si="109"/>
        <x:v>1.1594780000000002</x:v>
      </x:c>
      <x:c r="AF92" s="21"/>
      <x:c r="AG92" s="19" t="s">
        <x:v>78</x:v>
      </x:c>
      <x:c r="AH92" t="s">
        <x:v>78</x:v>
      </x:c>
      <x:c r="AI92" t="s">
        <x:v>78</x:v>
      </x:c>
      <x:c r="AJ92" s="19"/>
      <x:c r="AK92" s="19" t="s">
        <x:v>78</x:v>
      </x:c>
      <x:c r="AL92" t="s">
        <x:v>78</x:v>
      </x:c>
      <x:c r="AM92" s="19" t="s">
        <x:v>78</x:v>
      </x:c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t="s">
        <x:v>78</x:v>
      </x:c>
      <x:c r="AX92" s="19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t="s">
        <x:v>79</x:v>
      </x:c>
      <x:c r="BI92" s="18">
        <x:v>113</x:v>
      </x:c>
      <x:c r="BJ92" s="18">
        <x:v>53</x:v>
      </x:c>
      <x:c r="BK92" s="18">
        <x:v>35</x:v>
      </x:c>
      <x:c r="BL92" s="18">
        <x:v>22</x:v>
      </x:c>
      <x:c r="BM92" s="18">
        <x:v>30</x:v>
      </x:c>
      <x:c r="BN92" s="18">
        <x:v>42</x:v>
      </x:c>
      <x:c r="BO92" s="22">
        <x:v>113.893055555556</x:v>
      </x:c>
      <x:c r="BP92" s="22">
        <x:v>22.511666666666699</x:v>
      </x:c>
      <x:c r="BQ92" s="18">
        <x:v>60</x:v>
      </x:c>
      <x:c r="BR92" s="18">
        <x:v>200154</x:v>
      </x:c>
      <x:c r="BS92" t="s">
        <x:v>78</x:v>
      </x:c>
      <x:c r="BT92" t="s">
        <x:v>78</x:v>
      </x:c>
      <x:c r="BU92" s="18">
        <x:v>73.626999999999995</x:v>
      </x:c>
      <x:c r="BV92" s="18">
        <x:v>73.626999999999995</x:v>
      </x:c>
      <x:c r="BW92" s="18">
        <x:v>9.5860000000000003</x:v>
      </x:c>
      <x:c r="BX92" s="18">
        <x:v>9.5860000000000003</x:v>
      </x:c>
      <x:c r="BY92" t="s">
        <x:v>78</x:v>
      </x:c>
      <x:c r="BZ92" t="s">
        <x:v>78</x:v>
      </x:c>
      <x:c r="CA92" s="23">
        <x:f t="shared" si="65"/>
        <x:v>2.318956</x:v>
      </x:c>
      <x:c r="CB92" s="23">
        <x:f t="shared" si="66"/>
        <x:v>237.69299000000001</x:v>
      </x:c>
      <x:c r="CC92" s="23">
        <x:f t="shared" si="67"/>
        <x:v>75.366070000000022</x:v>
      </x:c>
      <x:c r="CD92" s="23">
        <x:f t="shared" si="68"/>
        <x:v>1.7392170000000002</x:v>
      </x:c>
      <x:c r="CE92" s="23">
        <x:f t="shared" si="69"/>
        <x:v>1.7392170000000002</x:v>
      </x:c>
      <x:c r="CF92" s="23">
        <x:f t="shared" si="70"/>
        <x:v>0</x:v>
      </x:c>
      <x:c r="CG92" s="23">
        <x:f t="shared" si="71"/>
        <x:v>0</x:v>
      </x:c>
      <x:c r="CH92" s="23">
        <x:f t="shared" si="72"/>
        <x:v>1.1594780000000002</x:v>
      </x:c>
      <x:c r="CI92" s="23">
        <x:f t="shared" si="73"/>
        <x:v>0</x:v>
      </x:c>
      <x:c r="CJ92" s="24" t="s">
        <x:v>78</x:v>
      </x:c>
      <x:c r="CK92" s="25">
        <x:v>0</x:v>
      </x:c>
      <x:c r="CL92" s="26" t="s">
        <x:v>78</x:v>
      </x:c>
      <x:c r="CM92" s="26">
        <x:v>42</x:v>
      </x:c>
      <x:c r="CN92" s="27" t="s">
        <x:v>78</x:v>
      </x:c>
      <x:c r="CO92" s="27">
        <x:v>0</x:v>
      </x:c>
      <x:c r="CP92" s="27">
        <x:v>0</x:v>
      </x:c>
      <x:c r="CQ92" s="26">
        <x:f t="shared" si="74"/>
        <x:v>2.318956</x:v>
      </x:c>
      <x:c r="CR92" s="26">
        <x:f t="shared" si="75"/>
        <x:v>137.86193420000004</x:v>
      </x:c>
      <x:c r="CS92" s="26">
        <x:f t="shared" si="78"/>
        <x:v>75.366070000000022</x:v>
      </x:c>
      <x:c r="CT92" s="26">
        <x:f t="shared" si="43"/>
        <x:v>1.7392170000000002</x:v>
      </x:c>
      <x:c r="CU92" s="26">
        <x:f t="shared" si="44"/>
        <x:v>1.7392170000000002</x:v>
      </x:c>
      <x:c r="CV92" s="26">
        <x:f t="shared" si="45"/>
        <x:v>0</x:v>
      </x:c>
      <x:c r="CW92" s="26">
        <x:f t="shared" si="46"/>
        <x:v>0</x:v>
      </x:c>
      <x:c r="CX92" s="26">
        <x:f t="shared" si="79"/>
        <x:v>1.1594780000000002</x:v>
      </x:c>
      <x:c r="CY92" s="26">
        <x:f t="shared" si="80"/>
        <x:v>0</x:v>
      </x:c>
    </x:row>
    <x:row r="93">
      <x:c r="A93" s="18">
        <x:v>2022</x:v>
      </x:c>
      <x:c r="B93" t="s">
        <x:v>257</x:v>
      </x:c>
      <x:c r="C93" t="s">
        <x:v>258</x:v>
      </x:c>
      <x:c r="D93" t="s">
        <x:v>259</x:v>
      </x:c>
      <x:c r="E93" s="18">
        <x:v>440305</x:v>
      </x:c>
      <x:c r="F93" t="s">
        <x:v>251</x:v>
      </x:c>
      <x:c r="G93" t="s">
        <x:v>246</x:v>
      </x:c>
      <x:c r="H93" s="18">
        <x:v>4411</x:v>
      </x:c>
      <x:c r="I93" t="s">
        <x:v>102</x:v>
      </x:c>
      <x:c r="J93" t="s">
        <x:v>78</x:v>
      </x:c>
      <x:c r="K93" t="s">
        <x:v>80</x:v>
      </x:c>
      <x:c r="L93" s="18">
        <x:v>18.3</x:v>
      </x:c>
      <x:c r="M93" t="s">
        <x:v>78</x:v>
      </x:c>
      <x:c r="N93" s="18">
        <x:v>200</x:v>
      </x:c>
      <x:c r="O93" t="s">
        <x:v>88</x:v>
      </x:c>
      <x:c r="P93" s="18">
        <x:v>15</x:v>
      </x:c>
      <x:c r="Q93" s="19" t="s">
        <x:v>96</x:v>
      </x:c>
      <x:c r="R93" s="18">
        <x:v>6156.5</x:v>
      </x:c>
      <x:c r="S93" t="s">
        <x:v>76</x:v>
      </x:c>
      <x:c r="T93" s="19">
        <x:f t="shared" si="89"/>
        <x:v>6156.5</x:v>
      </x:c>
      <x:c r="U93" s="20">
        <x:v>20</x:v>
      </x:c>
      <x:c r="V93" t="s">
        <x:v>77</x:v>
      </x:c>
      <x:c r="W93" s="19" t="s">
        <x:v>78</x:v>
      </x:c>
      <x:c r="X93" s="21">
        <x:f t="shared" si="104"/>
        <x:v>2.4626000000000001</x:v>
      </x:c>
      <x:c r="Y93" s="21">
        <x:f t="shared" si="105"/>
        <x:v>252.41649999999996</x:v>
      </x:c>
      <x:c r="Z93" s="21">
        <x:f t="shared" si="106"/>
        <x:v>80.034499999999994</x:v>
      </x:c>
      <x:c r="AA93" s="21">
        <x:f t="shared" si="107"/>
        <x:v>1.8469500000000001</x:v>
      </x:c>
      <x:c r="AB93" s="21">
        <x:f t="shared" si="108"/>
        <x:v>1.8469500000000001</x:v>
      </x:c>
      <x:c r="AC93" s="21"/>
      <x:c r="AD93" s="21"/>
      <x:c r="AE93" s="21">
        <x:f t="shared" si="109"/>
        <x:v>1.2313000000000001</x:v>
      </x:c>
      <x:c r="AF93" s="21"/>
      <x:c r="AG93" s="19" t="s">
        <x:v>78</x:v>
      </x:c>
      <x:c r="AH93" t="s">
        <x:v>78</x:v>
      </x:c>
      <x:c r="AI93" t="s">
        <x:v>78</x:v>
      </x:c>
      <x:c r="AJ93" s="19"/>
      <x:c r="AK93" s="19" t="s">
        <x:v>78</x:v>
      </x:c>
      <x:c r="AL93" t="s">
        <x:v>78</x:v>
      </x:c>
      <x:c r="AM93" s="19" t="s">
        <x:v>78</x:v>
      </x:c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t="s">
        <x:v>78</x:v>
      </x:c>
      <x:c r="AX93" s="19"/>
      <x:c r="AY93" s="21"/>
      <x:c r="AZ93" s="21"/>
      <x:c r="BA93" s="21"/>
      <x:c r="BB93" s="21"/>
      <x:c r="BC93" s="21"/>
      <x:c r="BD93" s="21"/>
      <x:c r="BE93" s="21"/>
      <x:c r="BF93" s="21"/>
      <x:c r="BG93" s="21"/>
      <x:c r="BH93" t="s">
        <x:v>82</x:v>
      </x:c>
      <x:c r="BI93" s="18">
        <x:v>113</x:v>
      </x:c>
      <x:c r="BJ93" s="18">
        <x:v>53</x:v>
      </x:c>
      <x:c r="BK93" s="18">
        <x:v>35</x:v>
      </x:c>
      <x:c r="BL93" s="18">
        <x:v>22</x:v>
      </x:c>
      <x:c r="BM93" s="18">
        <x:v>30</x:v>
      </x:c>
      <x:c r="BN93" s="18">
        <x:v>42</x:v>
      </x:c>
      <x:c r="BO93" s="22">
        <x:v>113.893055555556</x:v>
      </x:c>
      <x:c r="BP93" s="22">
        <x:v>22.511666666666699</x:v>
      </x:c>
      <x:c r="BQ93" s="18">
        <x:v>60</x:v>
      </x:c>
      <x:c r="BR93" s="18">
        <x:v>211338.23999999999</x:v>
      </x:c>
      <x:c r="BS93" t="s">
        <x:v>78</x:v>
      </x:c>
      <x:c r="BT93" t="s">
        <x:v>78</x:v>
      </x:c>
      <x:c r="BU93" s="18">
        <x:v>78.188000000000002</x:v>
      </x:c>
      <x:c r="BV93" s="18">
        <x:v>78.188000000000002</x:v>
      </x:c>
      <x:c r="BW93" s="18">
        <x:v>9.9239999999999995</x:v>
      </x:c>
      <x:c r="BX93" s="18">
        <x:v>9.9239999999999995</x:v>
      </x:c>
      <x:c r="BY93" t="s">
        <x:v>78</x:v>
      </x:c>
      <x:c r="BZ93" t="s">
        <x:v>78</x:v>
      </x:c>
      <x:c r="CA93" s="23">
        <x:f t="shared" si="65"/>
        <x:v>2.4626000000000001</x:v>
      </x:c>
      <x:c r="CB93" s="23">
        <x:f t="shared" si="66"/>
        <x:v>252.41649999999996</x:v>
      </x:c>
      <x:c r="CC93" s="23">
        <x:f t="shared" si="67"/>
        <x:v>80.034499999999994</x:v>
      </x:c>
      <x:c r="CD93" s="23">
        <x:f t="shared" si="68"/>
        <x:v>1.8469500000000001</x:v>
      </x:c>
      <x:c r="CE93" s="23">
        <x:f t="shared" si="69"/>
        <x:v>1.8469500000000001</x:v>
      </x:c>
      <x:c r="CF93" s="23">
        <x:f t="shared" si="70"/>
        <x:v>0</x:v>
      </x:c>
      <x:c r="CG93" s="23">
        <x:f t="shared" si="71"/>
        <x:v>0</x:v>
      </x:c>
      <x:c r="CH93" s="23">
        <x:f t="shared" si="72"/>
        <x:v>1.2313000000000001</x:v>
      </x:c>
      <x:c r="CI93" s="23">
        <x:f t="shared" si="73"/>
        <x:v>0</x:v>
      </x:c>
      <x:c r="CJ93" s="24" t="s">
        <x:v>78</x:v>
      </x:c>
      <x:c r="CK93" s="25">
        <x:v>0</x:v>
      </x:c>
      <x:c r="CL93" s="26" t="s">
        <x:v>78</x:v>
      </x:c>
      <x:c r="CM93" s="26">
        <x:v>42</x:v>
      </x:c>
      <x:c r="CN93" s="27" t="s">
        <x:v>78</x:v>
      </x:c>
      <x:c r="CO93" s="27">
        <x:v>0</x:v>
      </x:c>
      <x:c r="CP93" s="27">
        <x:v>0</x:v>
      </x:c>
      <x:c r="CQ93" s="26">
        <x:f t="shared" si="74"/>
        <x:v>2.4626000000000001</x:v>
      </x:c>
      <x:c r="CR93" s="26">
        <x:f t="shared" si="75"/>
        <x:v>146.40156999999999</x:v>
      </x:c>
      <x:c r="CS93" s="26">
        <x:f t="shared" si="78"/>
        <x:v>80.034499999999994</x:v>
      </x:c>
      <x:c r="CT93" s="26">
        <x:f t="shared" si="43"/>
        <x:v>1.8469500000000001</x:v>
      </x:c>
      <x:c r="CU93" s="26">
        <x:f t="shared" si="44"/>
        <x:v>1.8469500000000001</x:v>
      </x:c>
      <x:c r="CV93" s="26">
        <x:f t="shared" si="45"/>
        <x:v>0</x:v>
      </x:c>
      <x:c r="CW93" s="26">
        <x:f t="shared" si="46"/>
        <x:v>0</x:v>
      </x:c>
      <x:c r="CX93" s="26">
        <x:f t="shared" si="79"/>
        <x:v>1.2313000000000001</x:v>
      </x:c>
      <x:c r="CY93" s="26">
        <x:f t="shared" si="80"/>
        <x:v>0</x:v>
      </x:c>
    </x:row>
    <x:row r="94">
      <x:c r="A94" s="18">
        <x:v>2022</x:v>
      </x:c>
      <x:c r="B94" t="s">
        <x:v>260</x:v>
      </x:c>
      <x:c r="C94" t="s">
        <x:v>261</x:v>
      </x:c>
      <x:c r="D94" t="s">
        <x:v>262</x:v>
      </x:c>
      <x:c r="E94" s="18">
        <x:v>440306</x:v>
      </x:c>
      <x:c r="F94" t="s">
        <x:v>263</x:v>
      </x:c>
      <x:c r="G94" t="s">
        <x:v>246</x:v>
      </x:c>
      <x:c r="H94" s="18">
        <x:v>4417</x:v>
      </x:c>
      <x:c r="I94" t="s">
        <x:v>70</x:v>
      </x:c>
      <x:c r="J94" t="s">
        <x:v>78</x:v>
      </x:c>
      <x:c r="K94" t="s">
        <x:v>80</x:v>
      </x:c>
      <x:c r="L94" s="18">
        <x:v>0.106</x:v>
      </x:c>
      <x:c r="M94" t="s">
        <x:v>78</x:v>
      </x:c>
      <x:c r="N94" s="18">
        <x:v>1.0640000000000001</x:v>
      </x:c>
      <x:c r="O94" t="s">
        <x:v>88</x:v>
      </x:c>
      <x:c r="P94" s="18">
        <x:v>15</x:v>
      </x:c>
      <x:c r="Q94" s="19" t="s">
        <x:v>96</x:v>
      </x:c>
      <x:c r="R94" s="18">
        <x:v>550</x:v>
      </x:c>
      <x:c r="S94" t="s">
        <x:v>76</x:v>
      </x:c>
      <x:c r="T94" s="19">
        <x:f t="shared" si="89"/>
        <x:v>550</x:v>
      </x:c>
      <x:c r="U94" s="20">
        <x:v>20</x:v>
      </x:c>
      <x:c r="V94" t="s">
        <x:v>77</x:v>
      </x:c>
      <x:c r="W94" s="19" t="s">
        <x:v>78</x:v>
      </x:c>
      <x:c r="X94" s="21">
        <x:f t="shared" si="104"/>
        <x:v>0.22</x:v>
      </x:c>
      <x:c r="Y94" s="21">
        <x:f t="shared" si="105"/>
        <x:v>22.55</x:v>
      </x:c>
      <x:c r="Z94" s="21">
        <x:f t="shared" si="106"/>
        <x:v>7.15</x:v>
      </x:c>
      <x:c r="AA94" s="21">
        <x:f t="shared" si="107"/>
        <x:v>0.16500000000000001</x:v>
      </x:c>
      <x:c r="AB94" s="21">
        <x:f t="shared" si="108"/>
        <x:v>0.16500000000000001</x:v>
      </x:c>
      <x:c r="AC94" s="21"/>
      <x:c r="AD94" s="21"/>
      <x:c r="AE94" s="21">
        <x:f t="shared" si="109"/>
        <x:v>0.11</x:v>
      </x:c>
      <x:c r="AF94" s="21"/>
      <x:c r="AG94" s="19" t="s">
        <x:v>78</x:v>
      </x:c>
      <x:c r="AH94" t="s">
        <x:v>78</x:v>
      </x:c>
      <x:c r="AI94" t="s">
        <x:v>78</x:v>
      </x:c>
      <x:c r="AJ94" s="19"/>
      <x:c r="AK94" s="19" t="s">
        <x:v>78</x:v>
      </x:c>
      <x:c r="AL94" t="s">
        <x:v>78</x:v>
      </x:c>
      <x:c r="AM94" s="19" t="s">
        <x:v>78</x:v>
      </x:c>
      <x:c r="AN94" s="21"/>
      <x:c r="AO94" s="21"/>
      <x:c r="AP94" s="21"/>
      <x:c r="AQ94" s="21"/>
      <x:c r="AR94" s="21"/>
      <x:c r="AS94" s="21"/>
      <x:c r="AT94" s="21"/>
      <x:c r="AU94" s="21"/>
      <x:c r="AV94" s="21"/>
      <x:c r="AW94" t="s">
        <x:v>78</x:v>
      </x:c>
      <x:c r="AX94" s="19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t="s">
        <x:v>81</x:v>
      </x:c>
      <x:c r="BI94" s="18">
        <x:v>113</x:v>
      </x:c>
      <x:c r="BJ94" s="18">
        <x:v>50</x:v>
      </x:c>
      <x:c r="BK94" s="18">
        <x:v>23</x:v>
      </x:c>
      <x:c r="BL94" s="18">
        <x:v>22</x:v>
      </x:c>
      <x:c r="BM94" s="18">
        <x:v>49</x:v>
      </x:c>
      <x:c r="BN94" s="18">
        <x:v>53</x:v>
      </x:c>
      <x:c r="BO94" s="22">
        <x:v>113.83972222222199</x:v>
      </x:c>
      <x:c r="BP94" s="22">
        <x:v>22.831388888888899</x:v>
      </x:c>
      <x:c r="BQ94" s="18">
        <x:v>15</x:v>
      </x:c>
      <x:c r="BR94" s="18">
        <x:v>3040</x:v>
      </x:c>
      <x:c r="BS94" s="18">
        <x:v>0.128</x:v>
      </x:c>
      <x:c r="BT94" s="18">
        <x:v>0.128</x:v>
      </x:c>
      <x:c r="BU94" s="18">
        <x:v>1E-3</x:v>
      </x:c>
      <x:c r="BV94" s="18">
        <x:v>1E-3</x:v>
      </x:c>
      <x:c r="BW94" s="18">
        <x:v>8.7999999999999995E-2</x:v>
      </x:c>
      <x:c r="BX94" s="18">
        <x:v>8.7999999999999995E-2</x:v>
      </x:c>
      <x:c r="BY94" t="s">
        <x:v>78</x:v>
      </x:c>
      <x:c r="BZ94" t="s">
        <x:v>78</x:v>
      </x:c>
      <x:c r="CA94" s="23">
        <x:f t="shared" si="65"/>
        <x:v>0.22</x:v>
      </x:c>
      <x:c r="CB94" s="23">
        <x:f t="shared" si="66"/>
        <x:v>22.55</x:v>
      </x:c>
      <x:c r="CC94" s="23">
        <x:f t="shared" si="67"/>
        <x:v>7.15</x:v>
      </x:c>
      <x:c r="CD94" s="23">
        <x:f t="shared" si="68"/>
        <x:v>0.16500000000000001</x:v>
      </x:c>
      <x:c r="CE94" s="23">
        <x:f t="shared" si="69"/>
        <x:v>0.16500000000000001</x:v>
      </x:c>
      <x:c r="CF94" s="23">
        <x:f t="shared" si="70"/>
        <x:v>0</x:v>
      </x:c>
      <x:c r="CG94" s="23">
        <x:f t="shared" si="71"/>
        <x:v>0</x:v>
      </x:c>
      <x:c r="CH94" s="23">
        <x:f t="shared" si="72"/>
        <x:v>0.11</x:v>
      </x:c>
      <x:c r="CI94" s="23">
        <x:f t="shared" si="73"/>
        <x:v>0</x:v>
      </x:c>
      <x:c r="CJ94" s="24" t="s">
        <x:v>78</x:v>
      </x:c>
      <x:c r="CK94" s="25">
        <x:v>0</x:v>
      </x:c>
      <x:c r="CL94" s="26" t="s">
        <x:v>97</x:v>
      </x:c>
      <x:c r="CM94" s="28">
        <x:v>85</x:v>
      </x:c>
      <x:c r="CN94" s="27" t="s">
        <x:v>78</x:v>
      </x:c>
      <x:c r="CO94" s="27">
        <x:v>0</x:v>
      </x:c>
      <x:c r="CP94" s="27">
        <x:v>0</x:v>
      </x:c>
      <x:c r="CQ94" s="26">
        <x:f t="shared" si="74"/>
        <x:v>0.22</x:v>
      </x:c>
      <x:c r="CR94" s="26">
        <x:f t="shared" si="75"/>
        <x:v>3.3825000000000007</x:v>
      </x:c>
      <x:c r="CS94" s="26">
        <x:f t="shared" si="78"/>
        <x:v>7.15</x:v>
      </x:c>
      <x:c r="CT94" s="26" t="n">
        <x:f t="shared" ref="CT94:CT157" si="110">CD94*(1-CO94/100)</x:f>
        <x:v>0.165</x:v>
      </x:c>
      <x:c r="CU94" s="26" t="n">
        <x:f t="shared" ref="CU94:CU157" si="111">CE94*(1-CP94/100)</x:f>
        <x:v>0.165</x:v>
      </x:c>
      <x:c r="CV94" s="26" t="n">
        <x:f t="shared" ref="CV94:CV157" si="112">CF94*(1-CP94/100)</x:f>
        <x:v>0</x:v>
      </x:c>
      <x:c r="CW94" s="26" t="n">
        <x:f t="shared" ref="CW94:CW157" si="113">CG94*(1-CP94/100)</x:f>
        <x:v>0</x:v>
      </x:c>
      <x:c r="CX94" s="26">
        <x:f t="shared" si="79"/>
        <x:v>0.11</x:v>
      </x:c>
      <x:c r="CY94" s="26">
        <x:f t="shared" si="80"/>
        <x:v>0</x:v>
      </x:c>
    </x:row>
    <x:row r="95">
      <x:c r="A95" s="18">
        <x:v>2022</x:v>
      </x:c>
      <x:c r="B95" t="s">
        <x:v>260</x:v>
      </x:c>
      <x:c r="C95" t="s">
        <x:v>261</x:v>
      </x:c>
      <x:c r="D95" t="s">
        <x:v>262</x:v>
      </x:c>
      <x:c r="E95" s="18">
        <x:v>440306</x:v>
      </x:c>
      <x:c r="F95" t="s">
        <x:v>263</x:v>
      </x:c>
      <x:c r="G95" t="s">
        <x:v>246</x:v>
      </x:c>
      <x:c r="H95" s="18">
        <x:v>4417</x:v>
      </x:c>
      <x:c r="I95" t="s">
        <x:v>70</x:v>
      </x:c>
      <x:c r="J95" t="s">
        <x:v>78</x:v>
      </x:c>
      <x:c r="K95" t="s">
        <x:v>80</x:v>
      </x:c>
      <x:c r="L95" s="18">
        <x:v>0.106</x:v>
      </x:c>
      <x:c r="M95" t="s">
        <x:v>78</x:v>
      </x:c>
      <x:c r="N95" s="18">
        <x:v>1.0640000000000001</x:v>
      </x:c>
      <x:c r="O95" t="s">
        <x:v>88</x:v>
      </x:c>
      <x:c r="P95" s="18">
        <x:v>15</x:v>
      </x:c>
      <x:c r="Q95" s="19" t="s">
        <x:v>96</x:v>
      </x:c>
      <x:c r="R95" s="18">
        <x:v>550</x:v>
      </x:c>
      <x:c r="S95" t="s">
        <x:v>76</x:v>
      </x:c>
      <x:c r="T95" s="19">
        <x:f t="shared" si="89"/>
        <x:v>550</x:v>
      </x:c>
      <x:c r="U95" s="20">
        <x:v>20</x:v>
      </x:c>
      <x:c r="V95" t="s">
        <x:v>77</x:v>
      </x:c>
      <x:c r="W95" s="19" t="s">
        <x:v>78</x:v>
      </x:c>
      <x:c r="X95" s="21">
        <x:f t="shared" si="104"/>
        <x:v>0.22</x:v>
      </x:c>
      <x:c r="Y95" s="21">
        <x:f t="shared" si="105"/>
        <x:v>22.55</x:v>
      </x:c>
      <x:c r="Z95" s="21">
        <x:f t="shared" si="106"/>
        <x:v>7.15</x:v>
      </x:c>
      <x:c r="AA95" s="21">
        <x:f t="shared" si="107"/>
        <x:v>0.16500000000000001</x:v>
      </x:c>
      <x:c r="AB95" s="21">
        <x:f t="shared" si="108"/>
        <x:v>0.16500000000000001</x:v>
      </x:c>
      <x:c r="AC95" s="21"/>
      <x:c r="AD95" s="21"/>
      <x:c r="AE95" s="21">
        <x:f t="shared" si="109"/>
        <x:v>0.11</x:v>
      </x:c>
      <x:c r="AF95" s="21"/>
      <x:c r="AG95" s="19" t="s">
        <x:v>78</x:v>
      </x:c>
      <x:c r="AH95" t="s">
        <x:v>78</x:v>
      </x:c>
      <x:c r="AI95" t="s">
        <x:v>78</x:v>
      </x:c>
      <x:c r="AJ95" s="19"/>
      <x:c r="AK95" s="19" t="s">
        <x:v>78</x:v>
      </x:c>
      <x:c r="AL95" t="s">
        <x:v>78</x:v>
      </x:c>
      <x:c r="AM95" s="19" t="s">
        <x:v>78</x:v>
      </x:c>
      <x:c r="AN95" s="21"/>
      <x:c r="AO95" s="21"/>
      <x:c r="AP95" s="21"/>
      <x:c r="AQ95" s="21"/>
      <x:c r="AR95" s="21"/>
      <x:c r="AS95" s="21"/>
      <x:c r="AT95" s="21"/>
      <x:c r="AU95" s="21"/>
      <x:c r="AV95" s="21"/>
      <x:c r="AW95" t="s">
        <x:v>78</x:v>
      </x:c>
      <x:c r="AX95" s="19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t="s">
        <x:v>79</x:v>
      </x:c>
      <x:c r="BI95" s="18">
        <x:v>113</x:v>
      </x:c>
      <x:c r="BJ95" s="18">
        <x:v>50</x:v>
      </x:c>
      <x:c r="BK95" s="18">
        <x:v>33</x:v>
      </x:c>
      <x:c r="BL95" s="18">
        <x:v>22</x:v>
      </x:c>
      <x:c r="BM95" s="18">
        <x:v>49</x:v>
      </x:c>
      <x:c r="BN95" s="18">
        <x:v>58</x:v>
      </x:c>
      <x:c r="BO95" s="22">
        <x:v>113.8425</x:v>
      </x:c>
      <x:c r="BP95" s="22">
        <x:v>22.8327777777778</x:v>
      </x:c>
      <x:c r="BQ95" s="18">
        <x:v>15</x:v>
      </x:c>
      <x:c r="BR95" s="18">
        <x:v>3040</x:v>
      </x:c>
      <x:c r="BS95" s="18">
        <x:v>0.128</x:v>
      </x:c>
      <x:c r="BT95" s="18">
        <x:v>0.128</x:v>
      </x:c>
      <x:c r="BU95" s="18">
        <x:v>1E-3</x:v>
      </x:c>
      <x:c r="BV95" s="18">
        <x:v>1E-3</x:v>
      </x:c>
      <x:c r="BW95" s="18">
        <x:v>8.7999999999999995E-2</x:v>
      </x:c>
      <x:c r="BX95" s="18">
        <x:v>8.7999999999999995E-2</x:v>
      </x:c>
      <x:c r="BY95" t="s">
        <x:v>78</x:v>
      </x:c>
      <x:c r="BZ95" t="s">
        <x:v>78</x:v>
      </x:c>
      <x:c r="CA95" s="23">
        <x:f t="shared" si="65"/>
        <x:v>0.22</x:v>
      </x:c>
      <x:c r="CB95" s="23">
        <x:f t="shared" si="66"/>
        <x:v>22.55</x:v>
      </x:c>
      <x:c r="CC95" s="23">
        <x:f t="shared" si="67"/>
        <x:v>7.15</x:v>
      </x:c>
      <x:c r="CD95" s="23">
        <x:f t="shared" si="68"/>
        <x:v>0.16500000000000001</x:v>
      </x:c>
      <x:c r="CE95" s="23">
        <x:f t="shared" si="69"/>
        <x:v>0.16500000000000001</x:v>
      </x:c>
      <x:c r="CF95" s="23">
        <x:f t="shared" si="70"/>
        <x:v>0</x:v>
      </x:c>
      <x:c r="CG95" s="23">
        <x:f t="shared" si="71"/>
        <x:v>0</x:v>
      </x:c>
      <x:c r="CH95" s="23">
        <x:f t="shared" si="72"/>
        <x:v>0.11</x:v>
      </x:c>
      <x:c r="CI95" s="23">
        <x:f t="shared" si="73"/>
        <x:v>0</x:v>
      </x:c>
      <x:c r="CJ95" s="24" t="s">
        <x:v>78</x:v>
      </x:c>
      <x:c r="CK95" s="25">
        <x:v>0</x:v>
      </x:c>
      <x:c r="CL95" s="26" t="s">
        <x:v>97</x:v>
      </x:c>
      <x:c r="CM95" s="28">
        <x:v>85</x:v>
      </x:c>
      <x:c r="CN95" s="27" t="s">
        <x:v>78</x:v>
      </x:c>
      <x:c r="CO95" s="27">
        <x:v>0</x:v>
      </x:c>
      <x:c r="CP95" s="27">
        <x:v>0</x:v>
      </x:c>
      <x:c r="CQ95" s="26">
        <x:f t="shared" si="74"/>
        <x:v>0.22</x:v>
      </x:c>
      <x:c r="CR95" s="26">
        <x:f t="shared" si="75"/>
        <x:v>3.3825000000000007</x:v>
      </x:c>
      <x:c r="CS95" s="26">
        <x:f t="shared" si="78"/>
        <x:v>7.15</x:v>
      </x:c>
      <x:c r="CT95" s="26">
        <x:f t="shared" si="110"/>
        <x:v>0.16500000000000001</x:v>
      </x:c>
      <x:c r="CU95" s="26">
        <x:f t="shared" si="111"/>
        <x:v>0.16500000000000001</x:v>
      </x:c>
      <x:c r="CV95" s="26">
        <x:f t="shared" si="112"/>
        <x:v>0</x:v>
      </x:c>
      <x:c r="CW95" s="26">
        <x:f t="shared" si="113"/>
        <x:v>0</x:v>
      </x:c>
      <x:c r="CX95" s="26">
        <x:f t="shared" si="79"/>
        <x:v>0.11</x:v>
      </x:c>
      <x:c r="CY95" s="26">
        <x:f t="shared" si="80"/>
        <x:v>0</x:v>
      </x:c>
    </x:row>
    <x:row r="96">
      <x:c r="A96" s="18">
        <x:v>2022</x:v>
      </x:c>
      <x:c r="B96" t="s">
        <x:v>260</x:v>
      </x:c>
      <x:c r="C96" t="s">
        <x:v>261</x:v>
      </x:c>
      <x:c r="D96" t="s">
        <x:v>262</x:v>
      </x:c>
      <x:c r="E96" s="18">
        <x:v>440306</x:v>
      </x:c>
      <x:c r="F96" t="s">
        <x:v>263</x:v>
      </x:c>
      <x:c r="G96" t="s">
        <x:v>246</x:v>
      </x:c>
      <x:c r="H96" s="18">
        <x:v>4417</x:v>
      </x:c>
      <x:c r="I96" t="s">
        <x:v>70</x:v>
      </x:c>
      <x:c r="J96" t="s">
        <x:v>78</x:v>
      </x:c>
      <x:c r="K96" t="s">
        <x:v>80</x:v>
      </x:c>
      <x:c r="L96" s="18">
        <x:v>0.106</x:v>
      </x:c>
      <x:c r="M96" t="s">
        <x:v>78</x:v>
      </x:c>
      <x:c r="N96" s="18">
        <x:v>1.0640000000000001</x:v>
      </x:c>
      <x:c r="O96" t="s">
        <x:v>88</x:v>
      </x:c>
      <x:c r="P96" s="18">
        <x:v>15</x:v>
      </x:c>
      <x:c r="Q96" s="19" t="s">
        <x:v>96</x:v>
      </x:c>
      <x:c r="R96" s="18">
        <x:v>550</x:v>
      </x:c>
      <x:c r="S96" t="s">
        <x:v>76</x:v>
      </x:c>
      <x:c r="T96" s="19">
        <x:f t="shared" si="89"/>
        <x:v>550</x:v>
      </x:c>
      <x:c r="U96" s="20">
        <x:v>20</x:v>
      </x:c>
      <x:c r="V96" t="s">
        <x:v>77</x:v>
      </x:c>
      <x:c r="W96" s="19" t="s">
        <x:v>78</x:v>
      </x:c>
      <x:c r="X96" s="21">
        <x:f t="shared" si="104"/>
        <x:v>0.22</x:v>
      </x:c>
      <x:c r="Y96" s="21">
        <x:f t="shared" si="105"/>
        <x:v>22.55</x:v>
      </x:c>
      <x:c r="Z96" s="21">
        <x:f t="shared" si="106"/>
        <x:v>7.15</x:v>
      </x:c>
      <x:c r="AA96" s="21">
        <x:f t="shared" si="107"/>
        <x:v>0.16500000000000001</x:v>
      </x:c>
      <x:c r="AB96" s="21">
        <x:f t="shared" si="108"/>
        <x:v>0.16500000000000001</x:v>
      </x:c>
      <x:c r="AC96" s="21"/>
      <x:c r="AD96" s="21"/>
      <x:c r="AE96" s="21">
        <x:f t="shared" si="109"/>
        <x:v>0.11</x:v>
      </x:c>
      <x:c r="AF96" s="21"/>
      <x:c r="AG96" s="19" t="s">
        <x:v>78</x:v>
      </x:c>
      <x:c r="AH96" t="s">
        <x:v>78</x:v>
      </x:c>
      <x:c r="AI96" t="s">
        <x:v>78</x:v>
      </x:c>
      <x:c r="AJ96" s="19"/>
      <x:c r="AK96" s="19" t="s">
        <x:v>78</x:v>
      </x:c>
      <x:c r="AL96" t="s">
        <x:v>78</x:v>
      </x:c>
      <x:c r="AM96" s="19" t="s">
        <x:v>78</x:v>
      </x:c>
      <x:c r="AN96" s="21"/>
      <x:c r="AO96" s="21"/>
      <x:c r="AP96" s="21"/>
      <x:c r="AQ96" s="21"/>
      <x:c r="AR96" s="21"/>
      <x:c r="AS96" s="21"/>
      <x:c r="AT96" s="21"/>
      <x:c r="AU96" s="21"/>
      <x:c r="AV96" s="21"/>
      <x:c r="AW96" t="s">
        <x:v>78</x:v>
      </x:c>
      <x:c r="AX96" s="19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t="s">
        <x:v>82</x:v>
      </x:c>
      <x:c r="BI96" s="18">
        <x:v>113</x:v>
      </x:c>
      <x:c r="BJ96" s="18">
        <x:v>50</x:v>
      </x:c>
      <x:c r="BK96" s="18">
        <x:v>43</x:v>
      </x:c>
      <x:c r="BL96" s="18">
        <x:v>22</x:v>
      </x:c>
      <x:c r="BM96" s="18">
        <x:v>49</x:v>
      </x:c>
      <x:c r="BN96" s="18">
        <x:v>45</x:v>
      </x:c>
      <x:c r="BO96" s="22">
        <x:v>113.84527777777799</x:v>
      </x:c>
      <x:c r="BP96" s="22">
        <x:v>22.829166666666701</x:v>
      </x:c>
      <x:c r="BQ96" s="18">
        <x:v>15</x:v>
      </x:c>
      <x:c r="BR96" s="18">
        <x:v>2960</x:v>
      </x:c>
      <x:c r="BS96" t="s">
        <x:v>78</x:v>
      </x:c>
      <x:c r="BT96" t="s">
        <x:v>78</x:v>
      </x:c>
      <x:c r="BU96" s="18">
        <x:v>1E-3</x:v>
      </x:c>
      <x:c r="BV96" s="18">
        <x:v>1E-3</x:v>
      </x:c>
      <x:c r="BW96" t="s">
        <x:v>78</x:v>
      </x:c>
      <x:c r="BX96" t="s">
        <x:v>78</x:v>
      </x:c>
      <x:c r="BY96" t="s">
        <x:v>78</x:v>
      </x:c>
      <x:c r="BZ96" t="s">
        <x:v>78</x:v>
      </x:c>
      <x:c r="CA96" s="23">
        <x:f t="shared" si="65"/>
        <x:v>0.22</x:v>
      </x:c>
      <x:c r="CB96" s="23">
        <x:f t="shared" si="66"/>
        <x:v>22.55</x:v>
      </x:c>
      <x:c r="CC96" s="23">
        <x:f t="shared" si="67"/>
        <x:v>7.15</x:v>
      </x:c>
      <x:c r="CD96" s="23">
        <x:f t="shared" si="68"/>
        <x:v>0.16500000000000001</x:v>
      </x:c>
      <x:c r="CE96" s="23">
        <x:f t="shared" si="69"/>
        <x:v>0.16500000000000001</x:v>
      </x:c>
      <x:c r="CF96" s="23">
        <x:f t="shared" si="70"/>
        <x:v>0</x:v>
      </x:c>
      <x:c r="CG96" s="23">
        <x:f t="shared" si="71"/>
        <x:v>0</x:v>
      </x:c>
      <x:c r="CH96" s="23">
        <x:f t="shared" si="72"/>
        <x:v>0.11</x:v>
      </x:c>
      <x:c r="CI96" s="23">
        <x:f t="shared" si="73"/>
        <x:v>0</x:v>
      </x:c>
      <x:c r="CJ96" s="24" t="s">
        <x:v>78</x:v>
      </x:c>
      <x:c r="CK96" s="25">
        <x:v>0</x:v>
      </x:c>
      <x:c r="CL96" s="26" t="s">
        <x:v>97</x:v>
      </x:c>
      <x:c r="CM96" s="28">
        <x:v>85</x:v>
      </x:c>
      <x:c r="CN96" s="27" t="s">
        <x:v>78</x:v>
      </x:c>
      <x:c r="CO96" s="27">
        <x:v>0</x:v>
      </x:c>
      <x:c r="CP96" s="27">
        <x:v>0</x:v>
      </x:c>
      <x:c r="CQ96" s="26">
        <x:f t="shared" si="74"/>
        <x:v>0.22</x:v>
      </x:c>
      <x:c r="CR96" s="26">
        <x:f t="shared" si="75"/>
        <x:v>3.3825000000000007</x:v>
      </x:c>
      <x:c r="CS96" s="26">
        <x:f t="shared" si="78"/>
        <x:v>7.15</x:v>
      </x:c>
      <x:c r="CT96" s="26">
        <x:f t="shared" si="110"/>
        <x:v>0.16500000000000001</x:v>
      </x:c>
      <x:c r="CU96" s="26">
        <x:f t="shared" si="111"/>
        <x:v>0.16500000000000001</x:v>
      </x:c>
      <x:c r="CV96" s="26">
        <x:f t="shared" si="112"/>
        <x:v>0</x:v>
      </x:c>
      <x:c r="CW96" s="26">
        <x:f t="shared" si="113"/>
        <x:v>0</x:v>
      </x:c>
      <x:c r="CX96" s="26">
        <x:f t="shared" si="79"/>
        <x:v>0.11</x:v>
      </x:c>
      <x:c r="CY96" s="26">
        <x:f t="shared" si="80"/>
        <x:v>0</x:v>
      </x:c>
    </x:row>
    <x:row r="97">
      <x:c r="A97" s="18">
        <x:v>2022</x:v>
      </x:c>
      <x:c r="B97" t="s">
        <x:v>264</x:v>
      </x:c>
      <x:c r="C97" t="s">
        <x:v>265</x:v>
      </x:c>
      <x:c r="D97" t="s">
        <x:v>266</x:v>
      </x:c>
      <x:c r="E97" s="18">
        <x:v>440307</x:v>
      </x:c>
      <x:c r="F97" t="s">
        <x:v>267</x:v>
      </x:c>
      <x:c r="G97" t="s">
        <x:v>246</x:v>
      </x:c>
      <x:c r="H97" s="18">
        <x:v>4411</x:v>
      </x:c>
      <x:c r="I97" t="s">
        <x:v>102</x:v>
      </x:c>
      <x:c r="J97" t="s">
        <x:v>78</x:v>
      </x:c>
      <x:c r="K97" t="s">
        <x:v>80</x:v>
      </x:c>
      <x:c r="L97" s="18">
        <x:v>18</x:v>
      </x:c>
      <x:c r="M97" t="s">
        <x:v>78</x:v>
      </x:c>
      <x:c r="N97" s="18">
        <x:v>220</x:v>
      </x:c>
      <x:c r="O97" t="s">
        <x:v>88</x:v>
      </x:c>
      <x:c r="P97" s="18">
        <x:v>15</x:v>
      </x:c>
      <x:c r="Q97" s="19" t="s">
        <x:v>96</x:v>
      </x:c>
      <x:c r="R97" s="18">
        <x:v>5870.59</x:v>
      </x:c>
      <x:c r="S97" t="s">
        <x:v>76</x:v>
      </x:c>
      <x:c r="T97" s="19">
        <x:f t="shared" si="89"/>
        <x:v>5870.59</x:v>
      </x:c>
      <x:c r="U97" s="20">
        <x:v>16.87</x:v>
      </x:c>
      <x:c r="V97" t="s">
        <x:v>77</x:v>
      </x:c>
      <x:c r="W97" s="19" t="s">
        <x:v>78</x:v>
      </x:c>
      <x:c r="X97" s="21">
        <x:f t="shared" si="104"/>
        <x:v>1.9807370660000001</x:v>
      </x:c>
      <x:c r="Y97" s="21">
        <x:f t="shared" si="105"/>
        <x:v>240.69418999999996</x:v>
      </x:c>
      <x:c r="Z97" s="21">
        <x:f t="shared" si="106"/>
        <x:v>76.317670000000007</x:v>
      </x:c>
      <x:c r="AA97" s="21">
        <x:f t="shared" si="107"/>
        <x:v>1.7611769999999998</x:v>
      </x:c>
      <x:c r="AB97" s="21">
        <x:f t="shared" si="108"/>
        <x:v>1.7611769999999998</x:v>
      </x:c>
      <x:c r="AC97" s="21"/>
      <x:c r="AD97" s="21"/>
      <x:c r="AE97" s="21">
        <x:f t="shared" si="109"/>
        <x:v>1.174118</x:v>
      </x:c>
      <x:c r="AF97" s="21"/>
      <x:c r="AG97" s="19" t="s">
        <x:v>78</x:v>
      </x:c>
      <x:c r="AH97" t="s">
        <x:v>78</x:v>
      </x:c>
      <x:c r="AI97" t="s">
        <x:v>78</x:v>
      </x:c>
      <x:c r="AJ97" s="19"/>
      <x:c r="AK97" s="19" t="s">
        <x:v>78</x:v>
      </x:c>
      <x:c r="AL97" t="s">
        <x:v>78</x:v>
      </x:c>
      <x:c r="AM97" s="19" t="s">
        <x:v>78</x:v>
      </x:c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t="s">
        <x:v>78</x:v>
      </x:c>
      <x:c r="AX97" s="19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t="s">
        <x:v>81</x:v>
      </x:c>
      <x:c r="BI97" s="18">
        <x:v>114</x:v>
      </x:c>
      <x:c r="BJ97" s="18">
        <x:v>8</x:v>
      </x:c>
      <x:c r="BK97" s="18">
        <x:v>10.61</x:v>
      </x:c>
      <x:c r="BL97" s="18">
        <x:v>22</x:v>
      </x:c>
      <x:c r="BM97" s="18">
        <x:v>42</x:v>
      </x:c>
      <x:c r="BN97" s="18">
        <x:v>59.42</x:v>
      </x:c>
      <x:c r="BO97" s="22">
        <x:v>114.136280555556</x:v>
      </x:c>
      <x:c r="BP97" s="22">
        <x:v>22.716505555555599</x:v>
      </x:c>
      <x:c r="BQ97" s="18">
        <x:v>60</x:v>
      </x:c>
      <x:c r="BR97" s="18">
        <x:v>79879.846999999994</x:v>
      </x:c>
      <x:c r="BS97" t="s">
        <x:v>78</x:v>
      </x:c>
      <x:c r="BT97" t="s">
        <x:v>78</x:v>
      </x:c>
      <x:c r="BU97" s="18">
        <x:v>74.555999999999997</x:v>
      </x:c>
      <x:c r="BV97" s="18">
        <x:v>26.094999999999999</x:v>
      </x:c>
      <x:c r="BW97" t="s">
        <x:v>78</x:v>
      </x:c>
      <x:c r="BX97" t="s">
        <x:v>78</x:v>
      </x:c>
      <x:c r="BY97" t="s">
        <x:v>78</x:v>
      </x:c>
      <x:c r="BZ97" t="s">
        <x:v>78</x:v>
      </x:c>
      <x:c r="CA97" s="23">
        <x:f t="shared" si="65"/>
        <x:v>1.9807370660000001</x:v>
      </x:c>
      <x:c r="CB97" s="23">
        <x:f t="shared" si="66"/>
        <x:v>240.69418999999996</x:v>
      </x:c>
      <x:c r="CC97" s="23">
        <x:f t="shared" si="67"/>
        <x:v>76.317670000000007</x:v>
      </x:c>
      <x:c r="CD97" s="23">
        <x:f t="shared" si="68"/>
        <x:v>1.7611769999999998</x:v>
      </x:c>
      <x:c r="CE97" s="23">
        <x:f t="shared" si="69"/>
        <x:v>1.7611769999999998</x:v>
      </x:c>
      <x:c r="CF97" s="23">
        <x:f t="shared" si="70"/>
        <x:v>0</x:v>
      </x:c>
      <x:c r="CG97" s="23">
        <x:f t="shared" si="71"/>
        <x:v>0</x:v>
      </x:c>
      <x:c r="CH97" s="23">
        <x:f t="shared" si="72"/>
        <x:v>1.174118</x:v>
      </x:c>
      <x:c r="CI97" s="23">
        <x:f t="shared" si="73"/>
        <x:v>0</x:v>
      </x:c>
      <x:c r="CJ97" s="24" t="s">
        <x:v>78</x:v>
      </x:c>
      <x:c r="CK97" s="25">
        <x:v>0</x:v>
      </x:c>
      <x:c r="CL97" s="26" t="s">
        <x:v>78</x:v>
      </x:c>
      <x:c r="CM97" s="26" t="n">
        <x:f>(1-BV97/BU97)*100</x:f>
        <x:v>64.9994634905306</x:v>
      </x:c>
      <x:c r="CN97" s="27" t="s">
        <x:v>78</x:v>
      </x:c>
      <x:c r="CO97" s="27">
        <x:v>0</x:v>
      </x:c>
      <x:c r="CP97" s="27">
        <x:v>0</x:v>
      </x:c>
      <x:c r="CQ97" s="26">
        <x:f t="shared" si="74"/>
        <x:v>1.9807370660000001</x:v>
      </x:c>
      <x:c r="CR97" s="26">
        <x:f t="shared" si="75"/>
        <x:v>84.244257847121617</x:v>
      </x:c>
      <x:c r="CS97" s="26">
        <x:f t="shared" si="78"/>
        <x:v>76.317670000000007</x:v>
      </x:c>
      <x:c r="CT97" s="26">
        <x:f t="shared" si="110"/>
        <x:v>1.7611769999999998</x:v>
      </x:c>
      <x:c r="CU97" s="26">
        <x:f t="shared" si="111"/>
        <x:v>1.7611769999999998</x:v>
      </x:c>
      <x:c r="CV97" s="26">
        <x:f t="shared" si="112"/>
        <x:v>0</x:v>
      </x:c>
      <x:c r="CW97" s="26">
        <x:f t="shared" si="113"/>
        <x:v>0</x:v>
      </x:c>
      <x:c r="CX97" s="26">
        <x:f t="shared" si="79"/>
        <x:v>1.174118</x:v>
      </x:c>
      <x:c r="CY97" s="26">
        <x:f t="shared" si="80"/>
        <x:v>0</x:v>
      </x:c>
    </x:row>
    <x:row r="98">
      <x:c r="A98" s="18">
        <x:v>2022</x:v>
      </x:c>
      <x:c r="B98" t="s">
        <x:v>264</x:v>
      </x:c>
      <x:c r="C98" t="s">
        <x:v>265</x:v>
      </x:c>
      <x:c r="D98" t="s">
        <x:v>266</x:v>
      </x:c>
      <x:c r="E98" s="18">
        <x:v>440307</x:v>
      </x:c>
      <x:c r="F98" t="s">
        <x:v>267</x:v>
      </x:c>
      <x:c r="G98" t="s">
        <x:v>246</x:v>
      </x:c>
      <x:c r="H98" s="18">
        <x:v>4411</x:v>
      </x:c>
      <x:c r="I98" t="s">
        <x:v>102</x:v>
      </x:c>
      <x:c r="J98" t="s">
        <x:v>78</x:v>
      </x:c>
      <x:c r="K98" t="s">
        <x:v>80</x:v>
      </x:c>
      <x:c r="L98" s="18">
        <x:v>18</x:v>
      </x:c>
      <x:c r="M98" t="s">
        <x:v>78</x:v>
      </x:c>
      <x:c r="N98" s="18">
        <x:v>220</x:v>
      </x:c>
      <x:c r="O98" t="s">
        <x:v>88</x:v>
      </x:c>
      <x:c r="P98" s="18">
        <x:v>15</x:v>
      </x:c>
      <x:c r="Q98" s="19" t="s">
        <x:v>96</x:v>
      </x:c>
      <x:c r="R98" s="18">
        <x:v>9497.2919999999995</x:v>
      </x:c>
      <x:c r="S98" t="s">
        <x:v>76</x:v>
      </x:c>
      <x:c r="T98" s="19">
        <x:f t="shared" si="89"/>
        <x:v>9497.2919999999995</x:v>
      </x:c>
      <x:c r="U98" s="20">
        <x:v>16.87</x:v>
      </x:c>
      <x:c r="V98" t="s">
        <x:v>77</x:v>
      </x:c>
      <x:c r="W98" s="19" t="s">
        <x:v>78</x:v>
      </x:c>
      <x:c r="X98" s="21">
        <x:f t="shared" si="104"/>
        <x:v>3.2043863208000003</x:v>
      </x:c>
      <x:c r="Y98" s="21">
        <x:f t="shared" si="105"/>
        <x:v>389.38897199999997</x:v>
      </x:c>
      <x:c r="Z98" s="21">
        <x:f t="shared" si="106"/>
        <x:v>123.46479600000001</x:v>
      </x:c>
      <x:c r="AA98" s="21">
        <x:f t="shared" si="107"/>
        <x:v>2.8491875999999996</x:v>
      </x:c>
      <x:c r="AB98" s="21">
        <x:f t="shared" si="108"/>
        <x:v>2.8491875999999996</x:v>
      </x:c>
      <x:c r="AC98" s="21"/>
      <x:c r="AD98" s="21"/>
      <x:c r="AE98" s="21">
        <x:f t="shared" si="109"/>
        <x:v>1.8994584000000001</x:v>
      </x:c>
      <x:c r="AF98" s="21"/>
      <x:c r="AG98" s="19" t="s">
        <x:v>78</x:v>
      </x:c>
      <x:c r="AH98" t="s">
        <x:v>78</x:v>
      </x:c>
      <x:c r="AI98" t="s">
        <x:v>78</x:v>
      </x:c>
      <x:c r="AJ98" s="19"/>
      <x:c r="AK98" s="19" t="s">
        <x:v>78</x:v>
      </x:c>
      <x:c r="AL98" t="s">
        <x:v>78</x:v>
      </x:c>
      <x:c r="AM98" s="19" t="s">
        <x:v>78</x:v>
      </x:c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t="s">
        <x:v>78</x:v>
      </x:c>
      <x:c r="AX98" s="19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t="s">
        <x:v>79</x:v>
      </x:c>
      <x:c r="BI98" s="18">
        <x:v>114</x:v>
      </x:c>
      <x:c r="BJ98" s="18">
        <x:v>8</x:v>
      </x:c>
      <x:c r="BK98" s="18">
        <x:v>9.4600000000000009</x:v>
      </x:c>
      <x:c r="BL98" s="18">
        <x:v>22</x:v>
      </x:c>
      <x:c r="BM98" s="18">
        <x:v>42</x:v>
      </x:c>
      <x:c r="BN98" s="18">
        <x:v>58.39</x:v>
      </x:c>
      <x:c r="BO98" s="22">
        <x:v>114.135961111111</x:v>
      </x:c>
      <x:c r="BP98" s="22">
        <x:v>22.716219444444398</x:v>
      </x:c>
      <x:c r="BQ98" s="18">
        <x:v>60</x:v>
      </x:c>
      <x:c r="BR98" s="18">
        <x:v>129448.091</x:v>
      </x:c>
      <x:c r="BS98" t="s">
        <x:v>78</x:v>
      </x:c>
      <x:c r="BT98" t="s">
        <x:v>78</x:v>
      </x:c>
      <x:c r="BU98" s="18">
        <x:v>120.616</x:v>
      </x:c>
      <x:c r="BV98" s="18">
        <x:v>42.215000000000003</x:v>
      </x:c>
      <x:c r="BW98" t="s">
        <x:v>78</x:v>
      </x:c>
      <x:c r="BX98" t="s">
        <x:v>78</x:v>
      </x:c>
      <x:c r="BY98" t="s">
        <x:v>78</x:v>
      </x:c>
      <x:c r="BZ98" t="s">
        <x:v>78</x:v>
      </x:c>
      <x:c r="CA98" s="23">
        <x:f t="shared" si="65"/>
        <x:v>3.2043863208000003</x:v>
      </x:c>
      <x:c r="CB98" s="23">
        <x:f t="shared" si="66"/>
        <x:v>389.38897199999997</x:v>
      </x:c>
      <x:c r="CC98" s="23">
        <x:f t="shared" si="67"/>
        <x:v>123.46479600000001</x:v>
      </x:c>
      <x:c r="CD98" s="23">
        <x:f t="shared" si="68"/>
        <x:v>2.8491875999999996</x:v>
      </x:c>
      <x:c r="CE98" s="23">
        <x:f t="shared" si="69"/>
        <x:v>2.8491875999999996</x:v>
      </x:c>
      <x:c r="CF98" s="23">
        <x:f t="shared" si="70"/>
        <x:v>0</x:v>
      </x:c>
      <x:c r="CG98" s="23">
        <x:f t="shared" si="71"/>
        <x:v>0</x:v>
      </x:c>
      <x:c r="CH98" s="23">
        <x:f t="shared" si="72"/>
        <x:v>1.8994584000000001</x:v>
      </x:c>
      <x:c r="CI98" s="23">
        <x:f t="shared" si="73"/>
        <x:v>0</x:v>
      </x:c>
      <x:c r="CJ98" s="24" t="s">
        <x:v>78</x:v>
      </x:c>
      <x:c r="CK98" s="25">
        <x:v>0</x:v>
      </x:c>
      <x:c r="CL98" s="26" t="s">
        <x:v>78</x:v>
      </x:c>
      <x:c r="CM98" s="26" t="n">
        <x:f>(1-BV98/BU98)*100</x:f>
        <x:v>65.0004974464416</x:v>
      </x:c>
      <x:c r="CN98" s="27" t="s">
        <x:v>78</x:v>
      </x:c>
      <x:c r="CO98" s="27">
        <x:v>0</x:v>
      </x:c>
      <x:c r="CP98" s="27">
        <x:v>0</x:v>
      </x:c>
      <x:c r="CQ98" s="26">
        <x:f t="shared" si="74"/>
        <x:v>3.2043863208000003</x:v>
      </x:c>
      <x:c r="CR98" s="26">
        <x:f t="shared" si="75"/>
        <x:v>136.28420319841482</x:v>
      </x:c>
      <x:c r="CS98" s="26">
        <x:f t="shared" si="78"/>
        <x:v>123.46479600000001</x:v>
      </x:c>
      <x:c r="CT98" s="26">
        <x:f t="shared" si="110"/>
        <x:v>2.8491875999999996</x:v>
      </x:c>
      <x:c r="CU98" s="26">
        <x:f t="shared" si="111"/>
        <x:v>2.8491875999999996</x:v>
      </x:c>
      <x:c r="CV98" s="26">
        <x:f t="shared" si="112"/>
        <x:v>0</x:v>
      </x:c>
      <x:c r="CW98" s="26">
        <x:f t="shared" si="113"/>
        <x:v>0</x:v>
      </x:c>
      <x:c r="CX98" s="26">
        <x:f t="shared" si="79"/>
        <x:v>1.8994584000000001</x:v>
      </x:c>
      <x:c r="CY98" s="26">
        <x:f t="shared" si="80"/>
        <x:v>0</x:v>
      </x:c>
    </x:row>
    <x:row r="99">
      <x:c r="A99" s="18">
        <x:v>2022</x:v>
      </x:c>
      <x:c r="B99" t="s">
        <x:v>268</x:v>
      </x:c>
      <x:c r="C99" t="s">
        <x:v>269</x:v>
      </x:c>
      <x:c r="D99" t="s">
        <x:v>270</x:v>
      </x:c>
      <x:c r="E99" s="18">
        <x:v>440309</x:v>
      </x:c>
      <x:c r="F99" t="s">
        <x:v>271</x:v>
      </x:c>
      <x:c r="G99" t="s">
        <x:v>246</x:v>
      </x:c>
      <x:c r="H99" s="18">
        <x:v>4411</x:v>
      </x:c>
      <x:c r="I99" t="s">
        <x:v>102</x:v>
      </x:c>
      <x:c r="J99" t="s">
        <x:v>78</x:v>
      </x:c>
      <x:c r="K99" t="s">
        <x:v>80</x:v>
      </x:c>
      <x:c r="L99" s="18">
        <x:v>18.34</x:v>
      </x:c>
      <x:c r="M99" t="s">
        <x:v>78</x:v>
      </x:c>
      <x:c r="N99" s="18">
        <x:v>12.34</x:v>
      </x:c>
      <x:c r="O99" t="s">
        <x:v>88</x:v>
      </x:c>
      <x:c r="P99" s="18">
        <x:v>15</x:v>
      </x:c>
      <x:c r="Q99" s="19" t="s">
        <x:v>96</x:v>
      </x:c>
      <x:c r="R99" s="18">
        <x:v>10232.385</x:v>
      </x:c>
      <x:c r="S99" t="s">
        <x:v>76</x:v>
      </x:c>
      <x:c r="T99" s="19">
        <x:f t="shared" si="89"/>
        <x:v>10232.385</x:v>
      </x:c>
      <x:c r="U99" s="19">
        <x:v>19.52</x:v>
      </x:c>
      <x:c r="V99" t="s">
        <x:v>77</x:v>
      </x:c>
      <x:c r="W99" s="19" t="s">
        <x:v>78</x:v>
      </x:c>
      <x:c r="X99" s="21">
        <x:f t="shared" si="104"/>
        <x:v>3.9947231040000002</x:v>
      </x:c>
      <x:c r="Y99" s="21">
        <x:f t="shared" si="105"/>
        <x:v>419.52778499999999</x:v>
      </x:c>
      <x:c r="Z99" s="21">
        <x:f t="shared" si="106"/>
        <x:v>133.021005</x:v>
      </x:c>
      <x:c r="AA99" s="21">
        <x:f t="shared" si="107"/>
        <x:v>3.0697155</x:v>
      </x:c>
      <x:c r="AB99" s="21">
        <x:f t="shared" si="108"/>
        <x:v>3.0697155</x:v>
      </x:c>
      <x:c r="AC99" s="21"/>
      <x:c r="AD99" s="21"/>
      <x:c r="AE99" s="21">
        <x:f t="shared" si="109"/>
        <x:v>2.0464770000000003</x:v>
      </x:c>
      <x:c r="AF99" s="21"/>
      <x:c r="AG99" s="19" t="s">
        <x:v>78</x:v>
      </x:c>
      <x:c r="AH99" t="s">
        <x:v>78</x:v>
      </x:c>
      <x:c r="AI99" t="s">
        <x:v>78</x:v>
      </x:c>
      <x:c r="AJ99" s="19"/>
      <x:c r="AK99" s="19" t="s">
        <x:v>78</x:v>
      </x:c>
      <x:c r="AL99" t="s">
        <x:v>78</x:v>
      </x:c>
      <x:c r="AM99" s="19" t="s">
        <x:v>78</x:v>
      </x:c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t="s">
        <x:v>78</x:v>
      </x:c>
      <x:c r="AX99" s="19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t="s">
        <x:v>82</x:v>
      </x:c>
      <x:c r="BI99" s="18">
        <x:v>114</x:v>
      </x:c>
      <x:c r="BJ99" s="18">
        <x:v>1</x:v>
      </x:c>
      <x:c r="BK99" s="18">
        <x:v>38.93</x:v>
      </x:c>
      <x:c r="BL99" s="18">
        <x:v>22</x:v>
      </x:c>
      <x:c r="BM99" s="18">
        <x:v>42</x:v>
      </x:c>
      <x:c r="BN99" s="18">
        <x:v>25.92</x:v>
      </x:c>
      <x:c r="BO99" s="22">
        <x:v>114.027480555556</x:v>
      </x:c>
      <x:c r="BP99" s="22">
        <x:v>22.7072</x:v>
      </x:c>
      <x:c r="BQ99" s="18">
        <x:v>60</x:v>
      </x:c>
      <x:c r="BR99" s="18">
        <x:v>315496.71799999999</x:v>
      </x:c>
      <x:c r="BS99" t="s">
        <x:v>78</x:v>
      </x:c>
      <x:c r="BT99" t="s">
        <x:v>78</x:v>
      </x:c>
      <x:c r="BU99" s="18">
        <x:v>129.95099999999999</x:v>
      </x:c>
      <x:c r="BV99" s="18">
        <x:v>129.95099999999999</x:v>
      </x:c>
      <x:c r="BW99" t="s">
        <x:v>78</x:v>
      </x:c>
      <x:c r="BX99" t="s">
        <x:v>78</x:v>
      </x:c>
      <x:c r="BY99" t="s">
        <x:v>78</x:v>
      </x:c>
      <x:c r="BZ99" t="s">
        <x:v>78</x:v>
      </x:c>
      <x:c r="CA99" s="23">
        <x:f t="shared" si="65"/>
        <x:v>3.9947231040000002</x:v>
      </x:c>
      <x:c r="CB99" s="23">
        <x:f t="shared" si="66"/>
        <x:v>419.52778499999999</x:v>
      </x:c>
      <x:c r="CC99" s="23">
        <x:f t="shared" si="67"/>
        <x:v>133.021005</x:v>
      </x:c>
      <x:c r="CD99" s="23">
        <x:f t="shared" si="68"/>
        <x:v>3.0697155</x:v>
      </x:c>
      <x:c r="CE99" s="23">
        <x:f t="shared" si="69"/>
        <x:v>3.0697155</x:v>
      </x:c>
      <x:c r="CF99" s="23">
        <x:f t="shared" si="70"/>
        <x:v>0</x:v>
      </x:c>
      <x:c r="CG99" s="23">
        <x:f t="shared" si="71"/>
        <x:v>0</x:v>
      </x:c>
      <x:c r="CH99" s="23">
        <x:f t="shared" si="72"/>
        <x:v>2.0464770000000003</x:v>
      </x:c>
      <x:c r="CI99" s="23">
        <x:f t="shared" si="73"/>
        <x:v>0</x:v>
      </x:c>
      <x:c r="CJ99" s="24" t="s">
        <x:v>78</x:v>
      </x:c>
      <x:c r="CK99" s="25">
        <x:v>0</x:v>
      </x:c>
      <x:c r="CL99" s="26" t="s">
        <x:v>78</x:v>
      </x:c>
      <x:c r="CM99" s="26">
        <x:v>42</x:v>
      </x:c>
      <x:c r="CN99" s="27" t="s">
        <x:v>78</x:v>
      </x:c>
      <x:c r="CO99" s="27">
        <x:v>0</x:v>
      </x:c>
      <x:c r="CP99" s="27">
        <x:v>0</x:v>
      </x:c>
      <x:c r="CQ99" s="26">
        <x:f t="shared" si="74"/>
        <x:v>3.9947231040000002</x:v>
      </x:c>
      <x:c r="CR99" s="26">
        <x:f t="shared" si="75"/>
        <x:v>243.32611530000003</x:v>
      </x:c>
      <x:c r="CS99" s="26">
        <x:f t="shared" si="78"/>
        <x:v>133.021005</x:v>
      </x:c>
      <x:c r="CT99" s="26">
        <x:f t="shared" si="110"/>
        <x:v>3.0697155</x:v>
      </x:c>
      <x:c r="CU99" s="26">
        <x:f t="shared" si="111"/>
        <x:v>3.0697155</x:v>
      </x:c>
      <x:c r="CV99" s="26">
        <x:f t="shared" si="112"/>
        <x:v>0</x:v>
      </x:c>
      <x:c r="CW99" s="26">
        <x:f t="shared" si="113"/>
        <x:v>0</x:v>
      </x:c>
      <x:c r="CX99" s="26">
        <x:f t="shared" si="79"/>
        <x:v>2.0464770000000003</x:v>
      </x:c>
      <x:c r="CY99" s="26">
        <x:f t="shared" si="80"/>
        <x:v>0</x:v>
      </x:c>
    </x:row>
    <x:row r="100">
      <x:c r="A100" s="18">
        <x:v>2022</x:v>
      </x:c>
      <x:c r="B100" t="s">
        <x:v>268</x:v>
      </x:c>
      <x:c r="C100" t="s">
        <x:v>269</x:v>
      </x:c>
      <x:c r="D100" t="s">
        <x:v>270</x:v>
      </x:c>
      <x:c r="E100" s="18">
        <x:v>440309</x:v>
      </x:c>
      <x:c r="F100" t="s">
        <x:v>271</x:v>
      </x:c>
      <x:c r="G100" t="s">
        <x:v>246</x:v>
      </x:c>
      <x:c r="H100" s="18">
        <x:v>4411</x:v>
      </x:c>
      <x:c r="I100" t="s">
        <x:v>102</x:v>
      </x:c>
      <x:c r="J100" t="s">
        <x:v>78</x:v>
      </x:c>
      <x:c r="K100" t="s">
        <x:v>80</x:v>
      </x:c>
      <x:c r="L100" s="18">
        <x:v>18.34</x:v>
      </x:c>
      <x:c r="M100" t="s">
        <x:v>78</x:v>
      </x:c>
      <x:c r="N100" s="18">
        <x:v>12.34</x:v>
      </x:c>
      <x:c r="O100" t="s">
        <x:v>88</x:v>
      </x:c>
      <x:c r="P100" s="18">
        <x:v>15</x:v>
      </x:c>
      <x:c r="Q100" s="19" t="s">
        <x:v>96</x:v>
      </x:c>
      <x:c r="R100" s="18">
        <x:v>9626.5249999999996</x:v>
      </x:c>
      <x:c r="S100" t="s">
        <x:v>76</x:v>
      </x:c>
      <x:c r="T100" s="19">
        <x:f t="shared" si="89"/>
        <x:v>9626.5249999999996</x:v>
      </x:c>
      <x:c r="U100" s="19">
        <x:v>19.52</x:v>
      </x:c>
      <x:c r="V100" t="s">
        <x:v>77</x:v>
      </x:c>
      <x:c r="W100" s="19" t="s">
        <x:v>78</x:v>
      </x:c>
      <x:c r="X100" s="21">
        <x:f t="shared" si="104"/>
        <x:v>3.7581953599999993</x:v>
      </x:c>
      <x:c r="Y100" s="21">
        <x:f t="shared" si="105"/>
        <x:v>394.68752499999994</x:v>
      </x:c>
      <x:c r="Z100" s="21">
        <x:f t="shared" si="106"/>
        <x:v>125.144825</x:v>
      </x:c>
      <x:c r="AA100" s="21">
        <x:f t="shared" si="107"/>
        <x:v>2.8879575000000002</x:v>
      </x:c>
      <x:c r="AB100" s="21">
        <x:f t="shared" si="108"/>
        <x:v>2.8879575000000002</x:v>
      </x:c>
      <x:c r="AC100" s="21"/>
      <x:c r="AD100" s="21"/>
      <x:c r="AE100" s="21">
        <x:f t="shared" si="109"/>
        <x:v>1.925305</x:v>
      </x:c>
      <x:c r="AF100" s="21"/>
      <x:c r="AG100" s="19" t="s">
        <x:v>78</x:v>
      </x:c>
      <x:c r="AH100" t="s">
        <x:v>78</x:v>
      </x:c>
      <x:c r="AI100" t="s">
        <x:v>78</x:v>
      </x:c>
      <x:c r="AJ100" s="19"/>
      <x:c r="AK100" s="19" t="s">
        <x:v>78</x:v>
      </x:c>
      <x:c r="AL100" t="s">
        <x:v>78</x:v>
      </x:c>
      <x:c r="AM100" s="19" t="s">
        <x:v>78</x:v>
      </x:c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t="s">
        <x:v>78</x:v>
      </x:c>
      <x:c r="AX100" s="19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t="s">
        <x:v>83</x:v>
      </x:c>
      <x:c r="BI100" s="18">
        <x:v>114</x:v>
      </x:c>
      <x:c r="BJ100" s="18">
        <x:v>1</x:v>
      </x:c>
      <x:c r="BK100" s="18">
        <x:v>38.96</x:v>
      </x:c>
      <x:c r="BL100" s="18">
        <x:v>22</x:v>
      </x:c>
      <x:c r="BM100" s="18">
        <x:v>42</x:v>
      </x:c>
      <x:c r="BN100" s="18">
        <x:v>27.43</x:v>
      </x:c>
      <x:c r="BO100" s="22">
        <x:v>114.027488888889</x:v>
      </x:c>
      <x:c r="BP100" s="22">
        <x:v>22.707619444444401</x:v>
      </x:c>
      <x:c r="BQ100" s="18">
        <x:v>60</x:v>
      </x:c>
      <x:c r="BR100" s="18">
        <x:v>321298.69400000002</x:v>
      </x:c>
      <x:c r="BS100" t="s">
        <x:v>78</x:v>
      </x:c>
      <x:c r="BT100" t="s">
        <x:v>78</x:v>
      </x:c>
      <x:c r="BU100" s="18">
        <x:v>122.25700000000001</x:v>
      </x:c>
      <x:c r="BV100" s="18">
        <x:v>122.25700000000001</x:v>
      </x:c>
      <x:c r="BW100" t="s">
        <x:v>78</x:v>
      </x:c>
      <x:c r="BX100" t="s">
        <x:v>78</x:v>
      </x:c>
      <x:c r="BY100" t="s">
        <x:v>78</x:v>
      </x:c>
      <x:c r="BZ100" t="s">
        <x:v>78</x:v>
      </x:c>
      <x:c r="CA100" s="23">
        <x:f t="shared" si="65"/>
        <x:v>3.7581953599999993</x:v>
      </x:c>
      <x:c r="CB100" s="23">
        <x:f t="shared" si="66"/>
        <x:v>394.68752499999994</x:v>
      </x:c>
      <x:c r="CC100" s="23">
        <x:f t="shared" si="67"/>
        <x:v>125.144825</x:v>
      </x:c>
      <x:c r="CD100" s="23">
        <x:f t="shared" si="68"/>
        <x:v>2.8879575000000002</x:v>
      </x:c>
      <x:c r="CE100" s="23">
        <x:f t="shared" si="69"/>
        <x:v>2.8879575000000002</x:v>
      </x:c>
      <x:c r="CF100" s="23">
        <x:f t="shared" si="70"/>
        <x:v>0</x:v>
      </x:c>
      <x:c r="CG100" s="23">
        <x:f t="shared" si="71"/>
        <x:v>0</x:v>
      </x:c>
      <x:c r="CH100" s="23">
        <x:f t="shared" si="72"/>
        <x:v>1.925305</x:v>
      </x:c>
      <x:c r="CI100" s="23">
        <x:f t="shared" si="73"/>
        <x:v>0</x:v>
      </x:c>
      <x:c r="CJ100" s="24" t="s">
        <x:v>78</x:v>
      </x:c>
      <x:c r="CK100" s="25">
        <x:v>0</x:v>
      </x:c>
      <x:c r="CL100" s="26" t="s">
        <x:v>78</x:v>
      </x:c>
      <x:c r="CM100" s="26">
        <x:v>42</x:v>
      </x:c>
      <x:c r="CN100" s="27" t="s">
        <x:v>78</x:v>
      </x:c>
      <x:c r="CO100" s="27">
        <x:v>0</x:v>
      </x:c>
      <x:c r="CP100" s="27">
        <x:v>0</x:v>
      </x:c>
      <x:c r="CQ100" s="26">
        <x:f t="shared" si="74"/>
        <x:v>3.7581953599999993</x:v>
      </x:c>
      <x:c r="CR100" s="26">
        <x:f t="shared" si="75"/>
        <x:v>228.91876449999998</x:v>
      </x:c>
      <x:c r="CS100" s="26">
        <x:f t="shared" si="78"/>
        <x:v>125.144825</x:v>
      </x:c>
      <x:c r="CT100" s="26">
        <x:f t="shared" si="110"/>
        <x:v>2.8879575000000002</x:v>
      </x:c>
      <x:c r="CU100" s="26">
        <x:f t="shared" si="111"/>
        <x:v>2.8879575000000002</x:v>
      </x:c>
      <x:c r="CV100" s="26">
        <x:f t="shared" si="112"/>
        <x:v>0</x:v>
      </x:c>
      <x:c r="CW100" s="26">
        <x:f t="shared" si="113"/>
        <x:v>0</x:v>
      </x:c>
      <x:c r="CX100" s="26">
        <x:f t="shared" si="79"/>
        <x:v>1.925305</x:v>
      </x:c>
      <x:c r="CY100" s="26">
        <x:f t="shared" si="80"/>
        <x:v>0</x:v>
      </x:c>
    </x:row>
    <x:row r="101">
      <x:c r="A101" s="18">
        <x:v>2022</x:v>
      </x:c>
      <x:c r="B101" t="s">
        <x:v>272</x:v>
      </x:c>
      <x:c r="C101" t="s">
        <x:v>273</x:v>
      </x:c>
      <x:c r="D101" t="s">
        <x:v>274</x:v>
      </x:c>
      <x:c r="E101" s="18">
        <x:v>440310</x:v>
      </x:c>
      <x:c r="F101" t="s">
        <x:v>275</x:v>
      </x:c>
      <x:c r="G101" t="s">
        <x:v>246</x:v>
      </x:c>
      <x:c r="H101" s="18">
        <x:v>4412</x:v>
      </x:c>
      <x:c r="I101" t="s">
        <x:v>108</x:v>
      </x:c>
      <x:c r="J101" t="s">
        <x:v>276</x:v>
      </x:c>
      <x:c r="K101" t="s">
        <x:v>80</x:v>
      </x:c>
      <x:c r="L101" s="18">
        <x:v>12.25</x:v>
      </x:c>
      <x:c r="M101" t="s">
        <x:v>78</x:v>
      </x:c>
      <x:c r="N101" s="18">
        <x:v>125.93</x:v>
      </x:c>
      <x:c r="O101" t="s">
        <x:v>88</x:v>
      </x:c>
      <x:c r="P101" s="18">
        <x:v>15</x:v>
      </x:c>
      <x:c r="Q101" s="19" t="s">
        <x:v>96</x:v>
      </x:c>
      <x:c r="R101" s="18">
        <x:v>11601.55</x:v>
      </x:c>
      <x:c r="S101" t="s">
        <x:v>76</x:v>
      </x:c>
      <x:c r="T101" s="19">
        <x:f t="shared" si="89"/>
        <x:v>11601.55</x:v>
      </x:c>
      <x:c r="U101" s="19">
        <x:v>19.52</x:v>
      </x:c>
      <x:c r="V101" t="s">
        <x:v>77</x:v>
      </x:c>
      <x:c r="W101" s="19" t="s">
        <x:v>78</x:v>
      </x:c>
      <x:c r="X101" s="21">
        <x:f t="shared" si="104"/>
        <x:v>4.5292451199999997</x:v>
      </x:c>
      <x:c r="Y101" s="21">
        <x:f t="shared" si="105"/>
        <x:v>475.66354999999993</x:v>
      </x:c>
      <x:c r="Z101" s="21">
        <x:f t="shared" si="106"/>
        <x:v>150.82015000000001</x:v>
      </x:c>
      <x:c r="AA101" s="21">
        <x:f t="shared" si="107"/>
        <x:v>3.4804650000000001</x:v>
      </x:c>
      <x:c r="AB101" s="21">
        <x:f t="shared" si="108"/>
        <x:v>3.4804650000000001</x:v>
      </x:c>
      <x:c r="AC101" s="21"/>
      <x:c r="AD101" s="21"/>
      <x:c r="AE101" s="21">
        <x:f t="shared" si="109"/>
        <x:v>2.3203100000000001</x:v>
      </x:c>
      <x:c r="AF101" s="21"/>
      <x:c r="AG101" s="19" t="s">
        <x:v>78</x:v>
      </x:c>
      <x:c r="AH101" t="s">
        <x:v>78</x:v>
      </x:c>
      <x:c r="AI101" t="s">
        <x:v>78</x:v>
      </x:c>
      <x:c r="AJ101" s="19"/>
      <x:c r="AK101" s="19" t="s">
        <x:v>78</x:v>
      </x:c>
      <x:c r="AL101" t="s">
        <x:v>78</x:v>
      </x:c>
      <x:c r="AM101" s="19" t="s">
        <x:v>78</x:v>
      </x:c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t="s">
        <x:v>78</x:v>
      </x:c>
      <x:c r="AX101" s="19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t="s">
        <x:v>81</x:v>
      </x:c>
      <x:c r="BI101" s="18">
        <x:v>114</x:v>
      </x:c>
      <x:c r="BJ101" s="18">
        <x:v>23</x:v>
      </x:c>
      <x:c r="BK101" s="18">
        <x:v>47.36</x:v>
      </x:c>
      <x:c r="BL101" s="18">
        <x:v>22</x:v>
      </x:c>
      <x:c r="BM101" s="18">
        <x:v>43</x:v>
      </x:c>
      <x:c r="BN101" s="18">
        <x:v>36.409999999999997</x:v>
      </x:c>
      <x:c r="BO101" s="22">
        <x:v>114.396488888889</x:v>
      </x:c>
      <x:c r="BP101" s="22">
        <x:v>22.7267805555556</x:v>
      </x:c>
      <x:c r="BQ101" s="18">
        <x:v>60</x:v>
      </x:c>
      <x:c r="BR101" s="18">
        <x:v>315050.82500000001</x:v>
      </x:c>
      <x:c r="BS101" s="18">
        <x:v>0.25600000000000001</x:v>
      </x:c>
      <x:c r="BT101" s="18">
        <x:v>0.25600000000000001</x:v>
      </x:c>
      <x:c r="BU101" s="18">
        <x:v>147.34</x:v>
      </x:c>
      <x:c r="BV101" s="18">
        <x:v>28.721</x:v>
      </x:c>
      <x:c r="BW101" s="18">
        <x:v>2.7559999999999998</x:v>
      </x:c>
      <x:c r="BX101" s="18">
        <x:v>2.7559999999999998</x:v>
      </x:c>
      <x:c r="BY101" t="s">
        <x:v>78</x:v>
      </x:c>
      <x:c r="BZ101" t="s">
        <x:v>78</x:v>
      </x:c>
      <x:c r="CA101" s="23">
        <x:f t="shared" si="65"/>
        <x:v>4.5292451199999997</x:v>
      </x:c>
      <x:c r="CB101" s="23">
        <x:f t="shared" si="66"/>
        <x:v>475.66354999999993</x:v>
      </x:c>
      <x:c r="CC101" s="23">
        <x:f t="shared" si="67"/>
        <x:v>150.82015000000001</x:v>
      </x:c>
      <x:c r="CD101" s="23">
        <x:f t="shared" si="68"/>
        <x:v>3.4804650000000001</x:v>
      </x:c>
      <x:c r="CE101" s="23">
        <x:f t="shared" si="69"/>
        <x:v>3.4804650000000001</x:v>
      </x:c>
      <x:c r="CF101" s="23">
        <x:f t="shared" si="70"/>
        <x:v>0</x:v>
      </x:c>
      <x:c r="CG101" s="23">
        <x:f t="shared" si="71"/>
        <x:v>0</x:v>
      </x:c>
      <x:c r="CH101" s="23">
        <x:f t="shared" si="72"/>
        <x:v>2.3203100000000001</x:v>
      </x:c>
      <x:c r="CI101" s="23">
        <x:f t="shared" si="73"/>
        <x:v>0</x:v>
      </x:c>
      <x:c r="CJ101" s="24" t="s">
        <x:v>78</x:v>
      </x:c>
      <x:c r="CK101" s="25">
        <x:v>0</x:v>
      </x:c>
      <x:c r="CL101" s="26" t="s">
        <x:v>78</x:v>
      </x:c>
      <x:c r="CM101" s="26" t="n">
        <x:f>(1-BV101/BU101)*100</x:f>
        <x:v>80.50699063390798</x:v>
      </x:c>
      <x:c r="CN101" s="27" t="s">
        <x:v>78</x:v>
      </x:c>
      <x:c r="CO101" s="27">
        <x:v>0</x:v>
      </x:c>
      <x:c r="CP101" s="27">
        <x:v>0</x:v>
      </x:c>
      <x:c r="CQ101" s="26">
        <x:f t="shared" si="74"/>
        <x:v>4.5292451199999997</x:v>
      </x:c>
      <x:c r="CR101" s="26">
        <x:f t="shared" si="75"/>
        <x:v>92.721140352585834</x:v>
      </x:c>
      <x:c r="CS101" s="26">
        <x:f t="shared" si="78"/>
        <x:v>150.82015000000001</x:v>
      </x:c>
      <x:c r="CT101" s="26">
        <x:f t="shared" si="110"/>
        <x:v>3.4804650000000001</x:v>
      </x:c>
      <x:c r="CU101" s="26">
        <x:f t="shared" si="111"/>
        <x:v>3.4804650000000001</x:v>
      </x:c>
      <x:c r="CV101" s="26">
        <x:f t="shared" si="112"/>
        <x:v>0</x:v>
      </x:c>
      <x:c r="CW101" s="26">
        <x:f t="shared" si="113"/>
        <x:v>0</x:v>
      </x:c>
      <x:c r="CX101" s="26">
        <x:f t="shared" si="79"/>
        <x:v>2.3203100000000001</x:v>
      </x:c>
      <x:c r="CY101" s="26">
        <x:f t="shared" si="80"/>
        <x:v>0</x:v>
      </x:c>
    </x:row>
    <x:row r="102">
      <x:c r="A102" s="18">
        <x:v>2022</x:v>
      </x:c>
      <x:c r="B102" t="s">
        <x:v>272</x:v>
      </x:c>
      <x:c r="C102" t="s">
        <x:v>273</x:v>
      </x:c>
      <x:c r="D102" t="s">
        <x:v>274</x:v>
      </x:c>
      <x:c r="E102" s="18">
        <x:v>440310</x:v>
      </x:c>
      <x:c r="F102" t="s">
        <x:v>275</x:v>
      </x:c>
      <x:c r="G102" t="s">
        <x:v>246</x:v>
      </x:c>
      <x:c r="H102" s="18">
        <x:v>4412</x:v>
      </x:c>
      <x:c r="I102" t="s">
        <x:v>108</x:v>
      </x:c>
      <x:c r="J102" t="s">
        <x:v>276</x:v>
      </x:c>
      <x:c r="K102" t="s">
        <x:v>80</x:v>
      </x:c>
      <x:c r="L102" s="18">
        <x:v>12.25</x:v>
      </x:c>
      <x:c r="M102" t="s">
        <x:v>78</x:v>
      </x:c>
      <x:c r="N102" s="18">
        <x:v>125.93</x:v>
      </x:c>
      <x:c r="O102" t="s">
        <x:v>88</x:v>
      </x:c>
      <x:c r="P102" s="18">
        <x:v>15</x:v>
      </x:c>
      <x:c r="Q102" s="19" t="s">
        <x:v>96</x:v>
      </x:c>
      <x:c r="R102" s="18">
        <x:v>11537.86</x:v>
      </x:c>
      <x:c r="S102" t="s">
        <x:v>76</x:v>
      </x:c>
      <x:c r="T102" s="19">
        <x:f t="shared" si="89"/>
        <x:v>11537.86</x:v>
      </x:c>
      <x:c r="U102" s="19">
        <x:v>19.52</x:v>
      </x:c>
      <x:c r="V102" t="s">
        <x:v>77</x:v>
      </x:c>
      <x:c r="W102" s="19" t="s">
        <x:v>78</x:v>
      </x:c>
      <x:c r="X102" s="21">
        <x:f t="shared" si="104"/>
        <x:v>4.504380544</x:v>
      </x:c>
      <x:c r="Y102" s="21">
        <x:f t="shared" si="105"/>
        <x:v>473.05225999999993</x:v>
      </x:c>
      <x:c r="Z102" s="21">
        <x:f t="shared" si="106"/>
        <x:v>149.99217999999999</x:v>
      </x:c>
      <x:c r="AA102" s="21">
        <x:f t="shared" si="107"/>
        <x:v>3.4613580000000002</x:v>
      </x:c>
      <x:c r="AB102" s="21">
        <x:f t="shared" si="108"/>
        <x:v>3.4613580000000002</x:v>
      </x:c>
      <x:c r="AC102" s="21"/>
      <x:c r="AD102" s="21"/>
      <x:c r="AE102" s="21">
        <x:f t="shared" si="109"/>
        <x:v>2.307572</x:v>
      </x:c>
      <x:c r="AF102" s="21"/>
      <x:c r="AG102" s="19" t="s">
        <x:v>78</x:v>
      </x:c>
      <x:c r="AH102" t="s">
        <x:v>78</x:v>
      </x:c>
      <x:c r="AI102" t="s">
        <x:v>78</x:v>
      </x:c>
      <x:c r="AJ102" s="19"/>
      <x:c r="AK102" s="19" t="s">
        <x:v>78</x:v>
      </x:c>
      <x:c r="AL102" t="s">
        <x:v>78</x:v>
      </x:c>
      <x:c r="AM102" s="19" t="s">
        <x:v>78</x:v>
      </x:c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t="s">
        <x:v>78</x:v>
      </x:c>
      <x:c r="AX102" s="19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t="s">
        <x:v>79</x:v>
      </x:c>
      <x:c r="BI102" s="18">
        <x:v>114</x:v>
      </x:c>
      <x:c r="BJ102" s="18">
        <x:v>23</x:v>
      </x:c>
      <x:c r="BK102" s="18">
        <x:v>47.04</x:v>
      </x:c>
      <x:c r="BL102" s="18">
        <x:v>22</x:v>
      </x:c>
      <x:c r="BM102" s="18">
        <x:v>43</x:v>
      </x:c>
      <x:c r="BN102" s="18">
        <x:v>37.42</x:v>
      </x:c>
      <x:c r="BO102" s="22">
        <x:v>114.3964</x:v>
      </x:c>
      <x:c r="BP102" s="22">
        <x:v>22.727061111111102</x:v>
      </x:c>
      <x:c r="BQ102" s="18">
        <x:v>60</x:v>
      </x:c>
      <x:c r="BR102" s="18">
        <x:v>291556.01400000002</x:v>
      </x:c>
      <x:c r="BS102" s="18">
        <x:v>0.251</x:v>
      </x:c>
      <x:c r="BT102" s="18">
        <x:v>0.251</x:v>
      </x:c>
      <x:c r="BU102" s="18">
        <x:v>146.53100000000001</x:v>
      </x:c>
      <x:c r="BV102" s="18">
        <x:v>26.215</x:v>
      </x:c>
      <x:c r="BW102" s="18">
        <x:v>0.98599999999999999</x:v>
      </x:c>
      <x:c r="BX102" s="18">
        <x:v>0.98599999999999999</x:v>
      </x:c>
      <x:c r="BY102" t="s">
        <x:v>78</x:v>
      </x:c>
      <x:c r="BZ102" t="s">
        <x:v>78</x:v>
      </x:c>
      <x:c r="CA102" s="23">
        <x:f t="shared" si="65"/>
        <x:v>4.504380544</x:v>
      </x:c>
      <x:c r="CB102" s="23">
        <x:f t="shared" si="66"/>
        <x:v>473.05225999999993</x:v>
      </x:c>
      <x:c r="CC102" s="23">
        <x:f t="shared" si="67"/>
        <x:v>149.99217999999999</x:v>
      </x:c>
      <x:c r="CD102" s="23">
        <x:f t="shared" si="68"/>
        <x:v>3.4613580000000002</x:v>
      </x:c>
      <x:c r="CE102" s="23">
        <x:f t="shared" si="69"/>
        <x:v>3.4613580000000002</x:v>
      </x:c>
      <x:c r="CF102" s="23">
        <x:f t="shared" si="70"/>
        <x:v>0</x:v>
      </x:c>
      <x:c r="CG102" s="23">
        <x:f t="shared" si="71"/>
        <x:v>0</x:v>
      </x:c>
      <x:c r="CH102" s="23">
        <x:f t="shared" si="72"/>
        <x:v>2.307572</x:v>
      </x:c>
      <x:c r="CI102" s="23">
        <x:f t="shared" si="73"/>
        <x:v>0</x:v>
      </x:c>
      <x:c r="CJ102" s="24" t="s">
        <x:v>78</x:v>
      </x:c>
      <x:c r="CK102" s="25">
        <x:v>0</x:v>
      </x:c>
      <x:c r="CL102" s="26" t="s">
        <x:v>78</x:v>
      </x:c>
      <x:c r="CM102" s="26" t="n">
        <x:f>(1-BV102/BU102)*100</x:f>
        <x:v>82.10958773228873</x:v>
      </x:c>
      <x:c r="CN102" s="27" t="s">
        <x:v>78</x:v>
      </x:c>
      <x:c r="CO102" s="27">
        <x:v>0</x:v>
      </x:c>
      <x:c r="CP102" s="27">
        <x:v>0</x:v>
      </x:c>
      <x:c r="CQ102" s="26">
        <x:f t="shared" si="74"/>
        <x:v>4.504380544</x:v>
      </x:c>
      <x:c r="CR102" s="26">
        <x:f t="shared" si="75"/>
        <x:v>84.630999555725367</x:v>
      </x:c>
      <x:c r="CS102" s="26">
        <x:f t="shared" si="78"/>
        <x:v>149.99217999999999</x:v>
      </x:c>
      <x:c r="CT102" s="26">
        <x:f t="shared" si="110"/>
        <x:v>3.4613580000000002</x:v>
      </x:c>
      <x:c r="CU102" s="26">
        <x:f t="shared" si="111"/>
        <x:v>3.4613580000000002</x:v>
      </x:c>
      <x:c r="CV102" s="26">
        <x:f t="shared" si="112"/>
        <x:v>0</x:v>
      </x:c>
      <x:c r="CW102" s="26">
        <x:f t="shared" si="113"/>
        <x:v>0</x:v>
      </x:c>
      <x:c r="CX102" s="26">
        <x:f t="shared" si="79"/>
        <x:v>2.307572</x:v>
      </x:c>
      <x:c r="CY102" s="26">
        <x:f t="shared" si="80"/>
        <x:v>0</x:v>
      </x:c>
    </x:row>
    <x:row r="103">
      <x:c r="A103" s="18">
        <x:v>2022</x:v>
      </x:c>
      <x:c r="B103" t="s">
        <x:v>272</x:v>
      </x:c>
      <x:c r="C103" t="s">
        <x:v>273</x:v>
      </x:c>
      <x:c r="D103" t="s">
        <x:v>274</x:v>
      </x:c>
      <x:c r="E103" s="18">
        <x:v>440310</x:v>
      </x:c>
      <x:c r="F103" t="s">
        <x:v>275</x:v>
      </x:c>
      <x:c r="G103" t="s">
        <x:v>246</x:v>
      </x:c>
      <x:c r="H103" s="18">
        <x:v>4412</x:v>
      </x:c>
      <x:c r="I103" t="s">
        <x:v>108</x:v>
      </x:c>
      <x:c r="J103" t="s">
        <x:v>276</x:v>
      </x:c>
      <x:c r="K103" t="s">
        <x:v>80</x:v>
      </x:c>
      <x:c r="L103" s="18">
        <x:v>12</x:v>
      </x:c>
      <x:c r="M103" t="s">
        <x:v>78</x:v>
      </x:c>
      <x:c r="N103" s="18">
        <x:v>125.93</x:v>
      </x:c>
      <x:c r="O103" t="s">
        <x:v>88</x:v>
      </x:c>
      <x:c r="P103" s="18">
        <x:v>15</x:v>
      </x:c>
      <x:c r="Q103" s="19" t="s">
        <x:v>96</x:v>
      </x:c>
      <x:c r="R103" s="18">
        <x:v>12139.27</x:v>
      </x:c>
      <x:c r="S103" t="s">
        <x:v>76</x:v>
      </x:c>
      <x:c r="T103" s="19">
        <x:f t="shared" si="89"/>
        <x:v>12139.27</x:v>
      </x:c>
      <x:c r="U103" s="19">
        <x:v>19.52</x:v>
      </x:c>
      <x:c r="V103" t="s">
        <x:v>77</x:v>
      </x:c>
      <x:c r="W103" s="19" t="s">
        <x:v>78</x:v>
      </x:c>
      <x:c r="X103" s="21">
        <x:f t="shared" si="104"/>
        <x:v>4.7391710079999996</x:v>
      </x:c>
      <x:c r="Y103" s="21">
        <x:f t="shared" si="105"/>
        <x:v>497.71006999999997</x:v>
      </x:c>
      <x:c r="Z103" s="21">
        <x:f t="shared" si="106"/>
        <x:v>157.81050999999999</x:v>
      </x:c>
      <x:c r="AA103" s="21">
        <x:f t="shared" si="107"/>
        <x:v>3.6417809999999995</x:v>
      </x:c>
      <x:c r="AB103" s="21">
        <x:f t="shared" si="108"/>
        <x:v>3.6417809999999995</x:v>
      </x:c>
      <x:c r="AC103" s="21"/>
      <x:c r="AD103" s="21"/>
      <x:c r="AE103" s="21">
        <x:f t="shared" si="109"/>
        <x:v>2.427854</x:v>
      </x:c>
      <x:c r="AF103" s="21"/>
      <x:c r="AG103" s="19" t="s">
        <x:v>78</x:v>
      </x:c>
      <x:c r="AH103" t="s">
        <x:v>78</x:v>
      </x:c>
      <x:c r="AI103" t="s">
        <x:v>78</x:v>
      </x:c>
      <x:c r="AJ103" s="19"/>
      <x:c r="AK103" s="19" t="s">
        <x:v>78</x:v>
      </x:c>
      <x:c r="AL103" t="s">
        <x:v>78</x:v>
      </x:c>
      <x:c r="AM103" s="19" t="s">
        <x:v>78</x:v>
      </x:c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t="s">
        <x:v>78</x:v>
      </x:c>
      <x:c r="AX103" s="19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t="s">
        <x:v>82</x:v>
      </x:c>
      <x:c r="BI103" s="18">
        <x:v>114</x:v>
      </x:c>
      <x:c r="BJ103" s="18">
        <x:v>23</x:v>
      </x:c>
      <x:c r="BK103" s="18">
        <x:v>46.82</x:v>
      </x:c>
      <x:c r="BL103" s="18">
        <x:v>22</x:v>
      </x:c>
      <x:c r="BM103" s="18">
        <x:v>43</x:v>
      </x:c>
      <x:c r="BN103" s="18">
        <x:v>38.75</x:v>
      </x:c>
      <x:c r="BO103" s="22">
        <x:v>114.39633888888901</x:v>
      </x:c>
      <x:c r="BP103" s="22">
        <x:v>22.7274305555556</x:v>
      </x:c>
      <x:c r="BQ103" s="18">
        <x:v>60</x:v>
      </x:c>
      <x:c r="BR103" s="18">
        <x:v>287824.25400000002</x:v>
      </x:c>
      <x:c r="BS103" s="18">
        <x:v>0.27300000000000002</x:v>
      </x:c>
      <x:c r="BT103" s="18">
        <x:v>0.27300000000000002</x:v>
      </x:c>
      <x:c r="BU103" s="18">
        <x:v>154.16900000000001</x:v>
      </x:c>
      <x:c r="BV103" s="18">
        <x:v>32.387</x:v>
      </x:c>
      <x:c r="BW103" s="18">
        <x:v>2.3439999999999999</x:v>
      </x:c>
      <x:c r="BX103" s="18">
        <x:v>2.3439999999999999</x:v>
      </x:c>
      <x:c r="BY103" t="s">
        <x:v>78</x:v>
      </x:c>
      <x:c r="BZ103" t="s">
        <x:v>78</x:v>
      </x:c>
      <x:c r="CA103" s="23">
        <x:f t="shared" si="65"/>
        <x:v>4.7391710079999996</x:v>
      </x:c>
      <x:c r="CB103" s="23">
        <x:f t="shared" si="66"/>
        <x:v>497.71006999999997</x:v>
      </x:c>
      <x:c r="CC103" s="23">
        <x:f t="shared" si="67"/>
        <x:v>157.81050999999999</x:v>
      </x:c>
      <x:c r="CD103" s="23">
        <x:f t="shared" si="68"/>
        <x:v>3.6417809999999995</x:v>
      </x:c>
      <x:c r="CE103" s="23">
        <x:f t="shared" si="69"/>
        <x:v>3.6417809999999995</x:v>
      </x:c>
      <x:c r="CF103" s="23">
        <x:f t="shared" si="70"/>
        <x:v>0</x:v>
      </x:c>
      <x:c r="CG103" s="23">
        <x:f t="shared" si="71"/>
        <x:v>0</x:v>
      </x:c>
      <x:c r="CH103" s="23">
        <x:f t="shared" si="72"/>
        <x:v>2.427854</x:v>
      </x:c>
      <x:c r="CI103" s="23">
        <x:f t="shared" si="73"/>
        <x:v>0</x:v>
      </x:c>
      <x:c r="CJ103" s="24" t="s">
        <x:v>78</x:v>
      </x:c>
      <x:c r="CK103" s="25">
        <x:v>0</x:v>
      </x:c>
      <x:c r="CL103" s="26" t="s">
        <x:v>78</x:v>
      </x:c>
      <x:c r="CM103" s="26" t="n">
        <x:f>(1-BV103/BU103)*100</x:f>
        <x:v>78.99253416705044</x:v>
      </x:c>
      <x:c r="CN103" s="27" t="s">
        <x:v>78</x:v>
      </x:c>
      <x:c r="CO103" s="27">
        <x:v>0</x:v>
      </x:c>
      <x:c r="CP103" s="27">
        <x:v>0</x:v>
      </x:c>
      <x:c r="CQ103" s="26">
        <x:f t="shared" si="74"/>
        <x:v>4.7391710079999996</x:v>
      </x:c>
      <x:c r="CR103" s="26">
        <x:f t="shared" si="75"/>
        <x:v>104.55627290239937</x:v>
      </x:c>
      <x:c r="CS103" s="26">
        <x:f t="shared" si="78"/>
        <x:v>157.81050999999999</x:v>
      </x:c>
      <x:c r="CT103" s="26">
        <x:f t="shared" si="110"/>
        <x:v>3.6417809999999995</x:v>
      </x:c>
      <x:c r="CU103" s="26">
        <x:f t="shared" si="111"/>
        <x:v>3.6417809999999995</x:v>
      </x:c>
      <x:c r="CV103" s="26">
        <x:f t="shared" si="112"/>
        <x:v>0</x:v>
      </x:c>
      <x:c r="CW103" s="26">
        <x:f t="shared" si="113"/>
        <x:v>0</x:v>
      </x:c>
      <x:c r="CX103" s="26">
        <x:f t="shared" si="79"/>
        <x:v>2.427854</x:v>
      </x:c>
      <x:c r="CY103" s="26">
        <x:f t="shared" si="80"/>
        <x:v>0</x:v>
      </x:c>
    </x:row>
    <x:row r="104">
      <x:c r="A104" s="18">
        <x:v>2022</x:v>
      </x:c>
      <x:c r="B104" t="s">
        <x:v>277</x:v>
      </x:c>
      <x:c r="C104" t="s">
        <x:v>278</x:v>
      </x:c>
      <x:c r="D104" t="s">
        <x:v>279</x:v>
      </x:c>
      <x:c r="E104" s="18">
        <x:v>440361</x:v>
      </x:c>
      <x:c r="F104" t="s">
        <x:v>280</x:v>
      </x:c>
      <x:c r="G104" t="s">
        <x:v>246</x:v>
      </x:c>
      <x:c r="H104" s="18">
        <x:v>4411</x:v>
      </x:c>
      <x:c r="I104" t="s">
        <x:v>102</x:v>
      </x:c>
      <x:c r="J104" t="s">
        <x:v>281</x:v>
      </x:c>
      <x:c r="K104" t="s">
        <x:v>80</x:v>
      </x:c>
      <x:c r="L104" s="18">
        <x:v>18</x:v>
      </x:c>
      <x:c r="M104" t="s">
        <x:v>78</x:v>
      </x:c>
      <x:c r="N104" s="18">
        <x:v>178</x:v>
      </x:c>
      <x:c r="O104" t="s">
        <x:v>88</x:v>
      </x:c>
      <x:c r="P104" s="18">
        <x:v>15</x:v>
      </x:c>
      <x:c r="Q104" s="19" t="s">
        <x:v>96</x:v>
      </x:c>
      <x:c r="R104" s="18">
        <x:v>8323</x:v>
      </x:c>
      <x:c r="S104" t="s">
        <x:v>76</x:v>
      </x:c>
      <x:c r="T104" s="19">
        <x:f t="shared" si="89"/>
        <x:v>8323</x:v>
      </x:c>
      <x:c r="U104" s="19">
        <x:v>19.52</x:v>
      </x:c>
      <x:c r="V104" t="s">
        <x:v>77</x:v>
      </x:c>
      <x:c r="W104" s="20">
        <x:v>0</x:v>
      </x:c>
      <x:c r="X104" s="21">
        <x:f t="shared" si="104"/>
        <x:v>3.2492991999999998</x:v>
      </x:c>
      <x:c r="Y104" s="21">
        <x:f t="shared" si="105"/>
        <x:v>341.24299999999994</x:v>
      </x:c>
      <x:c r="Z104" s="21">
        <x:f t="shared" si="106"/>
        <x:v>108.199</x:v>
      </x:c>
      <x:c r="AA104" s="21">
        <x:f t="shared" si="107"/>
        <x:v>2.4969000000000001</x:v>
      </x:c>
      <x:c r="AB104" s="21">
        <x:f t="shared" si="108"/>
        <x:v>2.4969000000000001</x:v>
      </x:c>
      <x:c r="AC104" s="21"/>
      <x:c r="AD104" s="21"/>
      <x:c r="AE104" s="21">
        <x:f t="shared" si="109"/>
        <x:v>1.6646000000000001</x:v>
      </x:c>
      <x:c r="AF104" s="21"/>
      <x:c r="AG104" s="19" t="s">
        <x:v>78</x:v>
      </x:c>
      <x:c r="AH104" t="s">
        <x:v>78</x:v>
      </x:c>
      <x:c r="AI104" t="s">
        <x:v>78</x:v>
      </x:c>
      <x:c r="AJ104" s="19"/>
      <x:c r="AK104" s="19" t="s">
        <x:v>78</x:v>
      </x:c>
      <x:c r="AL104" t="s">
        <x:v>78</x:v>
      </x:c>
      <x:c r="AM104" s="19" t="s">
        <x:v>78</x:v>
      </x:c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t="s">
        <x:v>78</x:v>
      </x:c>
      <x:c r="AX104" s="19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t="s">
        <x:v>81</x:v>
      </x:c>
      <x:c r="BI104" s="18">
        <x:v>114</x:v>
      </x:c>
      <x:c r="BJ104" s="18">
        <x:v>29</x:v>
      </x:c>
      <x:c r="BK104" s="18">
        <x:v>28</x:v>
      </x:c>
      <x:c r="BL104" s="18">
        <x:v>22</x:v>
      </x:c>
      <x:c r="BM104" s="18">
        <x:v>33</x:v>
      </x:c>
      <x:c r="BN104" s="18">
        <x:v>25</x:v>
      </x:c>
      <x:c r="BO104" s="22">
        <x:v>114.491111111111</x:v>
      </x:c>
      <x:c r="BP104" s="22">
        <x:v>22.556944444444401</x:v>
      </x:c>
      <x:c r="BQ104" s="18">
        <x:v>60</x:v>
      </x:c>
      <x:c r="BR104" s="18">
        <x:v>355262</x:v>
      </x:c>
      <x:c r="BS104" s="18">
        <x:v>0</x:v>
      </x:c>
      <x:c r="BT104" s="18">
        <x:v>0</x:v>
      </x:c>
      <x:c r="BU104" s="18">
        <x:v>31.911999999999999</x:v>
      </x:c>
      <x:c r="BV104" s="18">
        <x:v>31.911999999999999</x:v>
      </x:c>
      <x:c r="BW104" s="18">
        <x:v>0</x:v>
      </x:c>
      <x:c r="BX104" s="18">
        <x:v>0</x:v>
      </x:c>
      <x:c r="BY104" t="s">
        <x:v>78</x:v>
      </x:c>
      <x:c r="BZ104" t="s">
        <x:v>78</x:v>
      </x:c>
      <x:c r="CA104" s="23">
        <x:f t="shared" si="65"/>
        <x:v>3.2492991999999998</x:v>
      </x:c>
      <x:c r="CB104" s="23">
        <x:f t="shared" si="66"/>
        <x:v>341.24299999999994</x:v>
      </x:c>
      <x:c r="CC104" s="23">
        <x:f t="shared" si="67"/>
        <x:v>108.199</x:v>
      </x:c>
      <x:c r="CD104" s="23">
        <x:f t="shared" si="68"/>
        <x:v>2.4969000000000001</x:v>
      </x:c>
      <x:c r="CE104" s="23">
        <x:f t="shared" si="69"/>
        <x:v>2.4969000000000001</x:v>
      </x:c>
      <x:c r="CF104" s="23">
        <x:f t="shared" si="70"/>
        <x:v>0</x:v>
      </x:c>
      <x:c r="CG104" s="23">
        <x:f t="shared" si="71"/>
        <x:v>0</x:v>
      </x:c>
      <x:c r="CH104" s="23">
        <x:f t="shared" si="72"/>
        <x:v>1.6646000000000001</x:v>
      </x:c>
      <x:c r="CI104" s="23">
        <x:f t="shared" si="73"/>
        <x:v>0</x:v>
      </x:c>
      <x:c r="CJ104" s="24" t="s">
        <x:v>78</x:v>
      </x:c>
      <x:c r="CK104" s="25">
        <x:v>0</x:v>
      </x:c>
      <x:c r="CL104" s="26" t="s">
        <x:v>78</x:v>
      </x:c>
      <x:c r="CM104" s="26">
        <x:v>42</x:v>
      </x:c>
      <x:c r="CN104" s="27" t="s">
        <x:v>78</x:v>
      </x:c>
      <x:c r="CO104" s="27">
        <x:v>0</x:v>
      </x:c>
      <x:c r="CP104" s="27">
        <x:v>0</x:v>
      </x:c>
      <x:c r="CQ104" s="26">
        <x:f t="shared" si="74"/>
        <x:v>3.2492991999999998</x:v>
      </x:c>
      <x:c r="CR104" s="26">
        <x:f t="shared" si="75"/>
        <x:v>197.92094</x:v>
      </x:c>
      <x:c r="CS104" s="26">
        <x:f t="shared" si="78"/>
        <x:v>108.199</x:v>
      </x:c>
      <x:c r="CT104" s="26">
        <x:f t="shared" si="110"/>
        <x:v>2.4969000000000001</x:v>
      </x:c>
      <x:c r="CU104" s="26">
        <x:f t="shared" si="111"/>
        <x:v>2.4969000000000001</x:v>
      </x:c>
      <x:c r="CV104" s="26">
        <x:f t="shared" si="112"/>
        <x:v>0</x:v>
      </x:c>
      <x:c r="CW104" s="26">
        <x:f t="shared" si="113"/>
        <x:v>0</x:v>
      </x:c>
      <x:c r="CX104" s="26">
        <x:f t="shared" si="79"/>
        <x:v>1.6646000000000001</x:v>
      </x:c>
      <x:c r="CY104" s="26">
        <x:f t="shared" si="80"/>
        <x:v>0</x:v>
      </x:c>
    </x:row>
    <x:row r="105">
      <x:c r="A105" s="18">
        <x:v>2022</x:v>
      </x:c>
      <x:c r="B105" t="s">
        <x:v>277</x:v>
      </x:c>
      <x:c r="C105" t="s">
        <x:v>278</x:v>
      </x:c>
      <x:c r="D105" t="s">
        <x:v>279</x:v>
      </x:c>
      <x:c r="E105" s="18">
        <x:v>440361</x:v>
      </x:c>
      <x:c r="F105" t="s">
        <x:v>280</x:v>
      </x:c>
      <x:c r="G105" t="s">
        <x:v>246</x:v>
      </x:c>
      <x:c r="H105" s="18">
        <x:v>4411</x:v>
      </x:c>
      <x:c r="I105" t="s">
        <x:v>102</x:v>
      </x:c>
      <x:c r="J105" t="s">
        <x:v>281</x:v>
      </x:c>
      <x:c r="K105" t="s">
        <x:v>80</x:v>
      </x:c>
      <x:c r="L105" s="18">
        <x:v>18</x:v>
      </x:c>
      <x:c r="M105" t="s">
        <x:v>78</x:v>
      </x:c>
      <x:c r="N105" s="18">
        <x:v>178</x:v>
      </x:c>
      <x:c r="O105" t="s">
        <x:v>88</x:v>
      </x:c>
      <x:c r="P105" s="18">
        <x:v>15</x:v>
      </x:c>
      <x:c r="Q105" s="19" t="s">
        <x:v>96</x:v>
      </x:c>
      <x:c r="R105" s="18">
        <x:v>11487</x:v>
      </x:c>
      <x:c r="S105" t="s">
        <x:v>76</x:v>
      </x:c>
      <x:c r="T105" s="19">
        <x:f t="shared" si="89"/>
        <x:v>11487</x:v>
      </x:c>
      <x:c r="U105" s="19">
        <x:v>19.52</x:v>
      </x:c>
      <x:c r="V105" t="s">
        <x:v>77</x:v>
      </x:c>
      <x:c r="W105" s="20">
        <x:v>0</x:v>
      </x:c>
      <x:c r="X105" s="21">
        <x:f t="shared" si="104"/>
        <x:v>4.4845248</x:v>
      </x:c>
      <x:c r="Y105" s="21">
        <x:f t="shared" si="105"/>
        <x:v>470.96699999999998</x:v>
      </x:c>
      <x:c r="Z105" s="21">
        <x:f t="shared" si="106"/>
        <x:v>149.33099999999999</x:v>
      </x:c>
      <x:c r="AA105" s="21">
        <x:f t="shared" si="107"/>
        <x:v>3.4460999999999999</x:v>
      </x:c>
      <x:c r="AB105" s="21">
        <x:f t="shared" si="108"/>
        <x:v>3.4460999999999999</x:v>
      </x:c>
      <x:c r="AC105" s="21"/>
      <x:c r="AD105" s="21"/>
      <x:c r="AE105" s="21">
        <x:f t="shared" si="109"/>
        <x:v>2.2974000000000001</x:v>
      </x:c>
      <x:c r="AF105" s="21"/>
      <x:c r="AG105" s="19" t="s">
        <x:v>78</x:v>
      </x:c>
      <x:c r="AH105" t="s">
        <x:v>78</x:v>
      </x:c>
      <x:c r="AI105" t="s">
        <x:v>78</x:v>
      </x:c>
      <x:c r="AJ105" s="19"/>
      <x:c r="AK105" s="19" t="s">
        <x:v>78</x:v>
      </x:c>
      <x:c r="AL105" t="s">
        <x:v>78</x:v>
      </x:c>
      <x:c r="AM105" s="19" t="s">
        <x:v>78</x:v>
      </x:c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t="s">
        <x:v>78</x:v>
      </x:c>
      <x:c r="AX105" s="19"/>
      <x:c r="AY105" s="21"/>
      <x:c r="AZ105" s="21"/>
      <x:c r="BA105" s="21"/>
      <x:c r="BB105" s="21"/>
      <x:c r="BC105" s="21"/>
      <x:c r="BD105" s="21"/>
      <x:c r="BE105" s="21"/>
      <x:c r="BF105" s="21"/>
      <x:c r="BG105" s="21"/>
      <x:c r="BH105" t="s">
        <x:v>79</x:v>
      </x:c>
      <x:c r="BI105" s="18">
        <x:v>114</x:v>
      </x:c>
      <x:c r="BJ105" s="18">
        <x:v>29</x:v>
      </x:c>
      <x:c r="BK105" s="18">
        <x:v>29</x:v>
      </x:c>
      <x:c r="BL105" s="18">
        <x:v>22</x:v>
      </x:c>
      <x:c r="BM105" s="18">
        <x:v>33</x:v>
      </x:c>
      <x:c r="BN105" s="18">
        <x:v>25</x:v>
      </x:c>
      <x:c r="BO105" s="22">
        <x:v>114.49138888888901</x:v>
      </x:c>
      <x:c r="BP105" s="22">
        <x:v>22.556944444444401</x:v>
      </x:c>
      <x:c r="BQ105" s="18">
        <x:v>60</x:v>
      </x:c>
      <x:c r="BR105" s="18">
        <x:v>381536</x:v>
      </x:c>
      <x:c r="BS105" s="18">
        <x:v>0</x:v>
      </x:c>
      <x:c r="BT105" s="18">
        <x:v>0</x:v>
      </x:c>
      <x:c r="BU105" s="18">
        <x:v>37.576999999999998</x:v>
      </x:c>
      <x:c r="BV105" s="18">
        <x:v>37.576999999999998</x:v>
      </x:c>
      <x:c r="BW105" s="18">
        <x:v>3.637</x:v>
      </x:c>
      <x:c r="BX105" s="18">
        <x:v>3.637</x:v>
      </x:c>
      <x:c r="BY105" t="s">
        <x:v>78</x:v>
      </x:c>
      <x:c r="BZ105" t="s">
        <x:v>78</x:v>
      </x:c>
      <x:c r="CA105" s="23">
        <x:f t="shared" si="65"/>
        <x:v>4.4845248</x:v>
      </x:c>
      <x:c r="CB105" s="23">
        <x:f t="shared" si="66"/>
        <x:v>470.96699999999998</x:v>
      </x:c>
      <x:c r="CC105" s="23">
        <x:f t="shared" si="67"/>
        <x:v>149.33099999999999</x:v>
      </x:c>
      <x:c r="CD105" s="23">
        <x:f t="shared" si="68"/>
        <x:v>3.4460999999999999</x:v>
      </x:c>
      <x:c r="CE105" s="23">
        <x:f t="shared" si="69"/>
        <x:v>3.4460999999999999</x:v>
      </x:c>
      <x:c r="CF105" s="23">
        <x:f t="shared" si="70"/>
        <x:v>0</x:v>
      </x:c>
      <x:c r="CG105" s="23">
        <x:f t="shared" si="71"/>
        <x:v>0</x:v>
      </x:c>
      <x:c r="CH105" s="23">
        <x:f t="shared" si="72"/>
        <x:v>2.2974000000000001</x:v>
      </x:c>
      <x:c r="CI105" s="23">
        <x:f t="shared" si="73"/>
        <x:v>0</x:v>
      </x:c>
      <x:c r="CJ105" s="24" t="s">
        <x:v>78</x:v>
      </x:c>
      <x:c r="CK105" s="25">
        <x:v>0</x:v>
      </x:c>
      <x:c r="CL105" s="26" t="s">
        <x:v>78</x:v>
      </x:c>
      <x:c r="CM105" s="26">
        <x:v>42</x:v>
      </x:c>
      <x:c r="CN105" s="27" t="s">
        <x:v>78</x:v>
      </x:c>
      <x:c r="CO105" s="27">
        <x:v>0</x:v>
      </x:c>
      <x:c r="CP105" s="27">
        <x:v>0</x:v>
      </x:c>
      <x:c r="CQ105" s="26">
        <x:f t="shared" si="74"/>
        <x:v>4.4845248</x:v>
      </x:c>
      <x:c r="CR105" s="26">
        <x:f t="shared" si="75"/>
        <x:v>273.16086000000001</x:v>
      </x:c>
      <x:c r="CS105" s="26">
        <x:f t="shared" si="78"/>
        <x:v>149.33099999999999</x:v>
      </x:c>
      <x:c r="CT105" s="26">
        <x:f t="shared" si="110"/>
        <x:v>3.4460999999999999</x:v>
      </x:c>
      <x:c r="CU105" s="26">
        <x:f t="shared" si="111"/>
        <x:v>3.4460999999999999</x:v>
      </x:c>
      <x:c r="CV105" s="26">
        <x:f t="shared" si="112"/>
        <x:v>0</x:v>
      </x:c>
      <x:c r="CW105" s="26">
        <x:f t="shared" si="113"/>
        <x:v>0</x:v>
      </x:c>
      <x:c r="CX105" s="26">
        <x:f t="shared" si="79"/>
        <x:v>2.2974000000000001</x:v>
      </x:c>
      <x:c r="CY105" s="26">
        <x:f t="shared" si="80"/>
        <x:v>0</x:v>
      </x:c>
    </x:row>
    <x:row r="106">
      <x:c r="A106" s="18">
        <x:v>2022</x:v>
      </x:c>
      <x:c r="B106" t="s">
        <x:v>277</x:v>
      </x:c>
      <x:c r="C106" t="s">
        <x:v>278</x:v>
      </x:c>
      <x:c r="D106" t="s">
        <x:v>279</x:v>
      </x:c>
      <x:c r="E106" s="18">
        <x:v>440361</x:v>
      </x:c>
      <x:c r="F106" t="s">
        <x:v>280</x:v>
      </x:c>
      <x:c r="G106" t="s">
        <x:v>246</x:v>
      </x:c>
      <x:c r="H106" s="18">
        <x:v>4411</x:v>
      </x:c>
      <x:c r="I106" t="s">
        <x:v>102</x:v>
      </x:c>
      <x:c r="J106" t="s">
        <x:v>281</x:v>
      </x:c>
      <x:c r="K106" t="s">
        <x:v>80</x:v>
      </x:c>
      <x:c r="L106" s="18">
        <x:v>16</x:v>
      </x:c>
      <x:c r="M106" t="s">
        <x:v>78</x:v>
      </x:c>
      <x:c r="N106" s="18">
        <x:v>178</x:v>
      </x:c>
      <x:c r="O106" t="s">
        <x:v>88</x:v>
      </x:c>
      <x:c r="P106" s="18">
        <x:v>15</x:v>
      </x:c>
      <x:c r="Q106" s="19" t="s">
        <x:v>96</x:v>
      </x:c>
      <x:c r="R106" s="18">
        <x:v>3762</x:v>
      </x:c>
      <x:c r="S106" t="s">
        <x:v>76</x:v>
      </x:c>
      <x:c r="T106" s="19">
        <x:f t="shared" si="89"/>
        <x:v>3762</x:v>
      </x:c>
      <x:c r="U106" s="19">
        <x:v>19.52</x:v>
      </x:c>
      <x:c r="V106" t="s">
        <x:v>77</x:v>
      </x:c>
      <x:c r="W106" s="20">
        <x:v>0</x:v>
      </x:c>
      <x:c r="X106" s="21">
        <x:f t="shared" si="104"/>
        <x:v>1.4686847999999999</x:v>
      </x:c>
      <x:c r="Y106" s="21">
        <x:f t="shared" si="105"/>
        <x:v>154.24199999999999</x:v>
      </x:c>
      <x:c r="Z106" s="21">
        <x:f t="shared" si="106"/>
        <x:v>48.905999999999999</x:v>
      </x:c>
      <x:c r="AA106" s="21">
        <x:f t="shared" si="107"/>
        <x:v>1.1286</x:v>
      </x:c>
      <x:c r="AB106" s="21">
        <x:f t="shared" si="108"/>
        <x:v>1.1286</x:v>
      </x:c>
      <x:c r="AC106" s="21"/>
      <x:c r="AD106" s="21"/>
      <x:c r="AE106" s="21">
        <x:f t="shared" si="109"/>
        <x:v>0.75239999999999996</x:v>
      </x:c>
      <x:c r="AF106" s="21"/>
      <x:c r="AG106" s="19" t="s">
        <x:v>78</x:v>
      </x:c>
      <x:c r="AH106" t="s">
        <x:v>78</x:v>
      </x:c>
      <x:c r="AI106" t="s">
        <x:v>78</x:v>
      </x:c>
      <x:c r="AJ106" s="19"/>
      <x:c r="AK106" s="19" t="s">
        <x:v>78</x:v>
      </x:c>
      <x:c r="AL106" t="s">
        <x:v>78</x:v>
      </x:c>
      <x:c r="AM106" s="19" t="s">
        <x:v>78</x:v>
      </x:c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t="s">
        <x:v>78</x:v>
      </x:c>
      <x:c r="AX106" s="19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t="s">
        <x:v>82</x:v>
      </x:c>
      <x:c r="BI106" s="18">
        <x:v>114</x:v>
      </x:c>
      <x:c r="BJ106" s="18">
        <x:v>29</x:v>
      </x:c>
      <x:c r="BK106" s="18">
        <x:v>27</x:v>
      </x:c>
      <x:c r="BL106" s="18">
        <x:v>22</x:v>
      </x:c>
      <x:c r="BM106" s="18">
        <x:v>33</x:v>
      </x:c>
      <x:c r="BN106" s="18">
        <x:v>24</x:v>
      </x:c>
      <x:c r="BO106" s="22">
        <x:v>114.490833333333</x:v>
      </x:c>
      <x:c r="BP106" s="22">
        <x:v>22.5566666666667</x:v>
      </x:c>
      <x:c r="BQ106" s="18">
        <x:v>60</x:v>
      </x:c>
      <x:c r="BR106" s="18">
        <x:v>223863</x:v>
      </x:c>
      <x:c r="BS106" s="18">
        <x:v>1.5109999999999999</x:v>
      </x:c>
      <x:c r="BT106" s="18">
        <x:v>1.5109999999999999</x:v>
      </x:c>
      <x:c r="BU106" s="18">
        <x:v>27.359000000000002</x:v>
      </x:c>
      <x:c r="BV106" s="18">
        <x:v>27.359000000000002</x:v>
      </x:c>
      <x:c r="BW106" s="18">
        <x:v>8.1000000000000003E-2</x:v>
      </x:c>
      <x:c r="BX106" s="18">
        <x:v>8.1000000000000003E-2</x:v>
      </x:c>
      <x:c r="BY106" t="s">
        <x:v>78</x:v>
      </x:c>
      <x:c r="BZ106" t="s">
        <x:v>78</x:v>
      </x:c>
      <x:c r="CA106" s="23">
        <x:f t="shared" si="65"/>
        <x:v>1.4686847999999999</x:v>
      </x:c>
      <x:c r="CB106" s="23">
        <x:f t="shared" si="66"/>
        <x:v>154.24199999999999</x:v>
      </x:c>
      <x:c r="CC106" s="23">
        <x:f t="shared" si="67"/>
        <x:v>48.905999999999999</x:v>
      </x:c>
      <x:c r="CD106" s="23">
        <x:f t="shared" si="68"/>
        <x:v>1.1286</x:v>
      </x:c>
      <x:c r="CE106" s="23">
        <x:f t="shared" si="69"/>
        <x:v>1.1286</x:v>
      </x:c>
      <x:c r="CF106" s="23">
        <x:f t="shared" si="70"/>
        <x:v>0</x:v>
      </x:c>
      <x:c r="CG106" s="23">
        <x:f t="shared" si="71"/>
        <x:v>0</x:v>
      </x:c>
      <x:c r="CH106" s="23">
        <x:f t="shared" si="72"/>
        <x:v>0.75239999999999996</x:v>
      </x:c>
      <x:c r="CI106" s="23">
        <x:f t="shared" si="73"/>
        <x:v>0</x:v>
      </x:c>
      <x:c r="CJ106" s="24" t="s">
        <x:v>78</x:v>
      </x:c>
      <x:c r="CK106" s="25">
        <x:v>0</x:v>
      </x:c>
      <x:c r="CL106" s="26" t="s">
        <x:v>78</x:v>
      </x:c>
      <x:c r="CM106" s="26">
        <x:v>42</x:v>
      </x:c>
      <x:c r="CN106" s="27" t="s">
        <x:v>78</x:v>
      </x:c>
      <x:c r="CO106" s="27">
        <x:v>0</x:v>
      </x:c>
      <x:c r="CP106" s="27">
        <x:v>0</x:v>
      </x:c>
      <x:c r="CQ106" s="26">
        <x:f t="shared" si="74"/>
        <x:v>1.4686847999999999</x:v>
      </x:c>
      <x:c r="CR106" s="26">
        <x:f t="shared" si="75"/>
        <x:v>89.460360000000009</x:v>
      </x:c>
      <x:c r="CS106" s="26">
        <x:f t="shared" si="78"/>
        <x:v>48.905999999999999</x:v>
      </x:c>
      <x:c r="CT106" s="26">
        <x:f t="shared" si="110"/>
        <x:v>1.1286</x:v>
      </x:c>
      <x:c r="CU106" s="26">
        <x:f t="shared" si="111"/>
        <x:v>1.1286</x:v>
      </x:c>
      <x:c r="CV106" s="26">
        <x:f t="shared" si="112"/>
        <x:v>0</x:v>
      </x:c>
      <x:c r="CW106" s="26">
        <x:f t="shared" si="113"/>
        <x:v>0</x:v>
      </x:c>
      <x:c r="CX106" s="26">
        <x:f t="shared" si="79"/>
        <x:v>0.75239999999999996</x:v>
      </x:c>
      <x:c r="CY106" s="26">
        <x:f t="shared" si="80"/>
        <x:v>0</x:v>
      </x:c>
    </x:row>
    <x:row r="107">
      <x:c r="A107" s="18">
        <x:v>2022</x:v>
      </x:c>
      <x:c r="B107" t="s">
        <x:v>282</x:v>
      </x:c>
      <x:c r="C107" t="s">
        <x:v>283</x:v>
      </x:c>
      <x:c r="D107" t="s">
        <x:v>284</x:v>
      </x:c>
      <x:c r="E107" s="18">
        <x:v>440361</x:v>
      </x:c>
      <x:c r="F107" t="s">
        <x:v>280</x:v>
      </x:c>
      <x:c r="G107" t="s">
        <x:v>246</x:v>
      </x:c>
      <x:c r="H107" s="18">
        <x:v>4411</x:v>
      </x:c>
      <x:c r="I107" t="s">
        <x:v>102</x:v>
      </x:c>
      <x:c r="J107" t="s">
        <x:v>285</x:v>
      </x:c>
      <x:c r="K107" t="s">
        <x:v>80</x:v>
      </x:c>
      <x:c r="L107" s="18">
        <x:v>39</x:v>
      </x:c>
      <x:c r="M107" t="s">
        <x:v>78</x:v>
      </x:c>
      <x:c r="N107" s="18">
        <x:v>366</x:v>
      </x:c>
      <x:c r="O107" t="s">
        <x:v>88</x:v>
      </x:c>
      <x:c r="P107" s="18">
        <x:v>15</x:v>
      </x:c>
      <x:c r="Q107" s="19" t="s">
        <x:v>96</x:v>
      </x:c>
      <x:c r="R107" s="18">
        <x:v>20682.52</x:v>
      </x:c>
      <x:c r="S107" t="s">
        <x:v>76</x:v>
      </x:c>
      <x:c r="T107" s="19">
        <x:f t="shared" si="89"/>
        <x:v>20682.52</x:v>
      </x:c>
      <x:c r="U107" s="19">
        <x:v>19.52</x:v>
      </x:c>
      <x:c r="V107" t="s">
        <x:v>77</x:v>
      </x:c>
      <x:c r="W107" s="19" t="s">
        <x:v>78</x:v>
      </x:c>
      <x:c r="X107" s="21">
        <x:f t="shared" si="104"/>
        <x:v>8.0744558079999997</x:v>
      </x:c>
      <x:c r="Y107" s="21">
        <x:f t="shared" si="105"/>
        <x:v>847.98332000000005</x:v>
      </x:c>
      <x:c r="Z107" s="21">
        <x:f t="shared" si="106"/>
        <x:v>268.87276000000003</x:v>
      </x:c>
      <x:c r="AA107" s="21">
        <x:f t="shared" si="107"/>
        <x:v>6.2047559999999997</x:v>
      </x:c>
      <x:c r="AB107" s="21">
        <x:f t="shared" si="108"/>
        <x:v>6.2047559999999997</x:v>
      </x:c>
      <x:c r="AC107" s="21"/>
      <x:c r="AD107" s="21"/>
      <x:c r="AE107" s="21">
        <x:f t="shared" si="109"/>
        <x:v>4.1365040000000004</x:v>
      </x:c>
      <x:c r="AF107" s="21"/>
      <x:c r="AG107" s="19" t="s">
        <x:v>78</x:v>
      </x:c>
      <x:c r="AH107" t="s">
        <x:v>78</x:v>
      </x:c>
      <x:c r="AI107" t="s">
        <x:v>78</x:v>
      </x:c>
      <x:c r="AJ107" s="19"/>
      <x:c r="AK107" s="19" t="s">
        <x:v>78</x:v>
      </x:c>
      <x:c r="AL107" t="s">
        <x:v>78</x:v>
      </x:c>
      <x:c r="AM107" s="19" t="s">
        <x:v>78</x:v>
      </x:c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t="s">
        <x:v>78</x:v>
      </x:c>
      <x:c r="AX107" s="19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t="s">
        <x:v>81</x:v>
      </x:c>
      <x:c r="BI107" s="18">
        <x:v>114</x:v>
      </x:c>
      <x:c r="BJ107" s="18">
        <x:v>26</x:v>
      </x:c>
      <x:c r="BK107" s="18">
        <x:v>32.93</x:v>
      </x:c>
      <x:c r="BL107" s="18">
        <x:v>22</x:v>
      </x:c>
      <x:c r="BM107" s="18">
        <x:v>34</x:v>
      </x:c>
      <x:c r="BN107" s="18">
        <x:v>26.83</x:v>
      </x:c>
      <x:c r="BO107" s="22">
        <x:v>114.442480555556</x:v>
      </x:c>
      <x:c r="BP107" s="22">
        <x:v>22.574119444444399</x:v>
      </x:c>
      <x:c r="BQ107" s="18">
        <x:v>80</x:v>
      </x:c>
      <x:c r="BR107" s="18">
        <x:v>641176</x:v>
      </x:c>
      <x:c r="BS107" s="18">
        <x:v>3.984</x:v>
      </x:c>
      <x:c r="BT107" s="18">
        <x:v>3.984</x:v>
      </x:c>
      <x:c r="BU107" s="18">
        <x:v>262.66800000000001</x:v>
      </x:c>
      <x:c r="BV107" s="18">
        <x:v>85.537999999999997</x:v>
      </x:c>
      <x:c r="BW107" s="18">
        <x:v>3.6120000000000001</x:v>
      </x:c>
      <x:c r="BX107" s="18">
        <x:v>3.6120000000000001</x:v>
      </x:c>
      <x:c r="BY107" t="s">
        <x:v>78</x:v>
      </x:c>
      <x:c r="BZ107" t="s">
        <x:v>78</x:v>
      </x:c>
      <x:c r="CA107" s="23">
        <x:f t="shared" si="65"/>
        <x:v>8.0744558079999997</x:v>
      </x:c>
      <x:c r="CB107" s="23">
        <x:f t="shared" si="66"/>
        <x:v>847.98332000000005</x:v>
      </x:c>
      <x:c r="CC107" s="23">
        <x:f t="shared" si="67"/>
        <x:v>268.87276000000003</x:v>
      </x:c>
      <x:c r="CD107" s="23">
        <x:f t="shared" si="68"/>
        <x:v>6.2047559999999997</x:v>
      </x:c>
      <x:c r="CE107" s="23">
        <x:f t="shared" si="69"/>
        <x:v>6.2047559999999997</x:v>
      </x:c>
      <x:c r="CF107" s="23">
        <x:f t="shared" si="70"/>
        <x:v>0</x:v>
      </x:c>
      <x:c r="CG107" s="23">
        <x:f t="shared" si="71"/>
        <x:v>0</x:v>
      </x:c>
      <x:c r="CH107" s="23">
        <x:f t="shared" si="72"/>
        <x:v>4.1365040000000004</x:v>
      </x:c>
      <x:c r="CI107" s="23">
        <x:f t="shared" si="73"/>
        <x:v>0</x:v>
      </x:c>
      <x:c r="CJ107" s="24" t="s">
        <x:v>78</x:v>
      </x:c>
      <x:c r="CK107" s="25">
        <x:v>0</x:v>
      </x:c>
      <x:c r="CL107" s="26" t="s">
        <x:v>78</x:v>
      </x:c>
      <x:c r="CM107" s="26" t="n">
        <x:f>(1-BV107/BU107)*100</x:f>
        <x:v>67.434936878493</x:v>
      </x:c>
      <x:c r="CN107" s="27" t="s">
        <x:v>78</x:v>
      </x:c>
      <x:c r="CO107" s="27">
        <x:v>0</x:v>
      </x:c>
      <x:c r="CP107" s="27">
        <x:v>0</x:v>
      </x:c>
      <x:c r="CQ107" s="26">
        <x:f t="shared" si="74"/>
        <x:v>8.0744558079999997</x:v>
      </x:c>
      <x:c r="CR107" s="26">
        <x:f t="shared" si="75"/>
        <x:v>276.14630341785067</x:v>
      </x:c>
      <x:c r="CS107" s="26">
        <x:f t="shared" si="78"/>
        <x:v>268.87276000000003</x:v>
      </x:c>
      <x:c r="CT107" s="26">
        <x:f t="shared" si="110"/>
        <x:v>6.2047559999999997</x:v>
      </x:c>
      <x:c r="CU107" s="26">
        <x:f t="shared" si="111"/>
        <x:v>6.2047559999999997</x:v>
      </x:c>
      <x:c r="CV107" s="26">
        <x:f t="shared" si="112"/>
        <x:v>0</x:v>
      </x:c>
      <x:c r="CW107" s="26">
        <x:f t="shared" si="113"/>
        <x:v>0</x:v>
      </x:c>
      <x:c r="CX107" s="26">
        <x:f t="shared" si="79"/>
        <x:v>4.1365040000000004</x:v>
      </x:c>
      <x:c r="CY107" s="26">
        <x:f t="shared" si="80"/>
        <x:v>0</x:v>
      </x:c>
    </x:row>
    <x:row r="108">
      <x:c r="A108" s="18">
        <x:v>2022</x:v>
      </x:c>
      <x:c r="B108" t="s">
        <x:v>282</x:v>
      </x:c>
      <x:c r="C108" t="s">
        <x:v>283</x:v>
      </x:c>
      <x:c r="D108" t="s">
        <x:v>284</x:v>
      </x:c>
      <x:c r="E108" s="18">
        <x:v>440361</x:v>
      </x:c>
      <x:c r="F108" t="s">
        <x:v>280</x:v>
      </x:c>
      <x:c r="G108" t="s">
        <x:v>246</x:v>
      </x:c>
      <x:c r="H108" s="18">
        <x:v>4411</x:v>
      </x:c>
      <x:c r="I108" t="s">
        <x:v>102</x:v>
      </x:c>
      <x:c r="J108" t="s">
        <x:v>285</x:v>
      </x:c>
      <x:c r="K108" t="s">
        <x:v>80</x:v>
      </x:c>
      <x:c r="L108" s="18">
        <x:v>39</x:v>
      </x:c>
      <x:c r="M108" t="s">
        <x:v>78</x:v>
      </x:c>
      <x:c r="N108" s="18">
        <x:v>366</x:v>
      </x:c>
      <x:c r="O108" t="s">
        <x:v>88</x:v>
      </x:c>
      <x:c r="P108" s="18">
        <x:v>15</x:v>
      </x:c>
      <x:c r="Q108" s="19" t="s">
        <x:v>96</x:v>
      </x:c>
      <x:c r="R108" s="18">
        <x:v>28000.54</x:v>
      </x:c>
      <x:c r="S108" t="s">
        <x:v>76</x:v>
      </x:c>
      <x:c r="T108" s="19">
        <x:f t="shared" si="89"/>
        <x:v>28000.54</x:v>
      </x:c>
      <x:c r="U108" s="19">
        <x:v>19.52</x:v>
      </x:c>
      <x:c r="V108" t="s">
        <x:v>77</x:v>
      </x:c>
      <x:c r="W108" s="19" t="s">
        <x:v>78</x:v>
      </x:c>
      <x:c r="X108" s="21">
        <x:f t="shared" si="104"/>
        <x:v>10.931410816</x:v>
      </x:c>
      <x:c r="Y108" s="21">
        <x:f t="shared" si="105"/>
        <x:v>1148.02214</x:v>
      </x:c>
      <x:c r="Z108" s="21">
        <x:f t="shared" si="106"/>
        <x:v>364.00702000000007</x:v>
      </x:c>
      <x:c r="AA108" s="21">
        <x:f t="shared" si="107"/>
        <x:v>8.4001619999999999</x:v>
      </x:c>
      <x:c r="AB108" s="21">
        <x:f t="shared" si="108"/>
        <x:v>8.4001619999999999</x:v>
      </x:c>
      <x:c r="AC108" s="21"/>
      <x:c r="AD108" s="21"/>
      <x:c r="AE108" s="21">
        <x:f t="shared" si="109"/>
        <x:v>5.6001079999999996</x:v>
      </x:c>
      <x:c r="AF108" s="21"/>
      <x:c r="AG108" s="19" t="s">
        <x:v>78</x:v>
      </x:c>
      <x:c r="AH108" t="s">
        <x:v>78</x:v>
      </x:c>
      <x:c r="AI108" t="s">
        <x:v>78</x:v>
      </x:c>
      <x:c r="AJ108" s="19"/>
      <x:c r="AK108" s="19" t="s">
        <x:v>78</x:v>
      </x:c>
      <x:c r="AL108" t="s">
        <x:v>78</x:v>
      </x:c>
      <x:c r="AM108" s="19" t="s">
        <x:v>78</x:v>
      </x:c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t="s">
        <x:v>78</x:v>
      </x:c>
      <x:c r="AX108" s="19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t="s">
        <x:v>79</x:v>
      </x:c>
      <x:c r="BI108" s="18">
        <x:v>114</x:v>
      </x:c>
      <x:c r="BJ108" s="18">
        <x:v>26</x:v>
      </x:c>
      <x:c r="BK108" s="18">
        <x:v>33.07</x:v>
      </x:c>
      <x:c r="BL108" s="18">
        <x:v>22</x:v>
      </x:c>
      <x:c r="BM108" s="18">
        <x:v>34</x:v>
      </x:c>
      <x:c r="BN108" s="18">
        <x:v>28.27</x:v>
      </x:c>
      <x:c r="BO108" s="22">
        <x:v>114.442519444444</x:v>
      </x:c>
      <x:c r="BP108" s="22">
        <x:v>22.574519444444402</x:v>
      </x:c>
      <x:c r="BQ108" s="18">
        <x:v>80</x:v>
      </x:c>
      <x:c r="BR108" s="18">
        <x:v>816348</x:v>
      </x:c>
      <x:c r="BS108" s="18">
        <x:v>7.0069999999999997</x:v>
      </x:c>
      <x:c r="BT108" s="18">
        <x:v>7.0069999999999997</x:v>
      </x:c>
      <x:c r="BU108" s="18">
        <x:v>355.60700000000003</x:v>
      </x:c>
      <x:c r="BV108" s="18">
        <x:v>114.292</x:v>
      </x:c>
      <x:c r="BW108" s="18">
        <x:v>3.9569999999999999</x:v>
      </x:c>
      <x:c r="BX108" s="18">
        <x:v>3.9569999999999999</x:v>
      </x:c>
      <x:c r="BY108" t="s">
        <x:v>78</x:v>
      </x:c>
      <x:c r="BZ108" t="s">
        <x:v>78</x:v>
      </x:c>
      <x:c r="CA108" s="23">
        <x:f t="shared" si="65"/>
        <x:v>10.931410816</x:v>
      </x:c>
      <x:c r="CB108" s="23">
        <x:f t="shared" si="66"/>
        <x:v>1148.02214</x:v>
      </x:c>
      <x:c r="CC108" s="23">
        <x:f t="shared" si="67"/>
        <x:v>364.00702000000007</x:v>
      </x:c>
      <x:c r="CD108" s="23">
        <x:f t="shared" si="68"/>
        <x:v>8.4001619999999999</x:v>
      </x:c>
      <x:c r="CE108" s="23">
        <x:f t="shared" si="69"/>
        <x:v>8.4001619999999999</x:v>
      </x:c>
      <x:c r="CF108" s="23">
        <x:f t="shared" si="70"/>
        <x:v>0</x:v>
      </x:c>
      <x:c r="CG108" s="23">
        <x:f t="shared" si="71"/>
        <x:v>0</x:v>
      </x:c>
      <x:c r="CH108" s="23">
        <x:f t="shared" si="72"/>
        <x:v>5.6001079999999996</x:v>
      </x:c>
      <x:c r="CI108" s="23">
        <x:f t="shared" si="73"/>
        <x:v>0</x:v>
      </x:c>
      <x:c r="CJ108" s="24" t="s">
        <x:v>78</x:v>
      </x:c>
      <x:c r="CK108" s="25">
        <x:v>0</x:v>
      </x:c>
      <x:c r="CL108" s="26" t="s">
        <x:v>78</x:v>
      </x:c>
      <x:c r="CM108" s="26" t="n">
        <x:f>(1-BV108/BU108)*100</x:f>
        <x:v>67.86002525259627</x:v>
      </x:c>
      <x:c r="CN108" s="27" t="s">
        <x:v>78</x:v>
      </x:c>
      <x:c r="CO108" s="27">
        <x:v>0</x:v>
      </x:c>
      <x:c r="CP108" s="27">
        <x:v>0</x:v>
      </x:c>
      <x:c r="CQ108" s="26">
        <x:f t="shared" si="74"/>
        <x:v>10.931410816</x:v>
      </x:c>
      <x:c r="CR108" s="26">
        <x:f t="shared" si="75"/>
        <x:v>368.97402589060391</x:v>
      </x:c>
      <x:c r="CS108" s="26">
        <x:f t="shared" si="78"/>
        <x:v>364.00702000000007</x:v>
      </x:c>
      <x:c r="CT108" s="26">
        <x:f t="shared" si="110"/>
        <x:v>8.4001619999999999</x:v>
      </x:c>
      <x:c r="CU108" s="26">
        <x:f t="shared" si="111"/>
        <x:v>8.4001619999999999</x:v>
      </x:c>
      <x:c r="CV108" s="26">
        <x:f t="shared" si="112"/>
        <x:v>0</x:v>
      </x:c>
      <x:c r="CW108" s="26">
        <x:f t="shared" si="113"/>
        <x:v>0</x:v>
      </x:c>
      <x:c r="CX108" s="26">
        <x:f t="shared" si="79"/>
        <x:v>5.6001079999999996</x:v>
      </x:c>
      <x:c r="CY108" s="26">
        <x:f t="shared" si="80"/>
        <x:v>0</x:v>
      </x:c>
    </x:row>
    <x:row r="109">
      <x:c r="A109" s="18">
        <x:v>2022</x:v>
      </x:c>
      <x:c r="B109" t="s">
        <x:v>282</x:v>
      </x:c>
      <x:c r="C109" t="s">
        <x:v>283</x:v>
      </x:c>
      <x:c r="D109" t="s">
        <x:v>284</x:v>
      </x:c>
      <x:c r="E109" s="18">
        <x:v>440361</x:v>
      </x:c>
      <x:c r="F109" t="s">
        <x:v>280</x:v>
      </x:c>
      <x:c r="G109" t="s">
        <x:v>246</x:v>
      </x:c>
      <x:c r="H109" s="18">
        <x:v>4411</x:v>
      </x:c>
      <x:c r="I109" t="s">
        <x:v>102</x:v>
      </x:c>
      <x:c r="J109" t="s">
        <x:v>285</x:v>
      </x:c>
      <x:c r="K109" t="s">
        <x:v>80</x:v>
      </x:c>
      <x:c r="L109" s="18">
        <x:v>39</x:v>
      </x:c>
      <x:c r="M109" t="s">
        <x:v>78</x:v>
      </x:c>
      <x:c r="N109" s="18">
        <x:v>366</x:v>
      </x:c>
      <x:c r="O109" t="s">
        <x:v>88</x:v>
      </x:c>
      <x:c r="P109" s="18">
        <x:v>15</x:v>
      </x:c>
      <x:c r="Q109" s="19" t="s">
        <x:v>96</x:v>
      </x:c>
      <x:c r="R109" s="18">
        <x:v>20977.39</x:v>
      </x:c>
      <x:c r="S109" t="s">
        <x:v>76</x:v>
      </x:c>
      <x:c r="T109" s="19">
        <x:f t="shared" si="89"/>
        <x:v>20977.39</x:v>
      </x:c>
      <x:c r="U109" s="19">
        <x:v>19.52</x:v>
      </x:c>
      <x:c r="V109" t="s">
        <x:v>77</x:v>
      </x:c>
      <x:c r="W109" s="19" t="s">
        <x:v>78</x:v>
      </x:c>
      <x:c r="X109" s="21">
        <x:f t="shared" si="104"/>
        <x:v>8.1895730560000004</x:v>
      </x:c>
      <x:c r="Y109" s="21">
        <x:f t="shared" si="105"/>
        <x:v>860.07298999999989</x:v>
      </x:c>
      <x:c r="Z109" s="21">
        <x:f t="shared" si="106"/>
        <x:v>272.70607000000001</x:v>
      </x:c>
      <x:c r="AA109" s="21">
        <x:f t="shared" si="107"/>
        <x:v>6.2932170000000003</x:v>
      </x:c>
      <x:c r="AB109" s="21">
        <x:f t="shared" si="108"/>
        <x:v>6.2932170000000003</x:v>
      </x:c>
      <x:c r="AC109" s="21"/>
      <x:c r="AD109" s="21"/>
      <x:c r="AE109" s="21">
        <x:f t="shared" si="109"/>
        <x:v>4.1954779999999996</x:v>
      </x:c>
      <x:c r="AF109" s="21"/>
      <x:c r="AG109" s="19" t="s">
        <x:v>78</x:v>
      </x:c>
      <x:c r="AH109" t="s">
        <x:v>78</x:v>
      </x:c>
      <x:c r="AI109" t="s">
        <x:v>78</x:v>
      </x:c>
      <x:c r="AJ109" s="19"/>
      <x:c r="AK109" s="19" t="s">
        <x:v>78</x:v>
      </x:c>
      <x:c r="AL109" t="s">
        <x:v>78</x:v>
      </x:c>
      <x:c r="AM109" s="19" t="s">
        <x:v>78</x:v>
      </x:c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t="s">
        <x:v>78</x:v>
      </x:c>
      <x:c r="AX109" s="19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t="s">
        <x:v>82</x:v>
      </x:c>
      <x:c r="BI109" s="18">
        <x:v>114</x:v>
      </x:c>
      <x:c r="BJ109" s="18">
        <x:v>26</x:v>
      </x:c>
      <x:c r="BK109" s="18">
        <x:v>33.07</x:v>
      </x:c>
      <x:c r="BL109" s="18">
        <x:v>22</x:v>
      </x:c>
      <x:c r="BM109" s="18">
        <x:v>34</x:v>
      </x:c>
      <x:c r="BN109" s="18">
        <x:v>29.53</x:v>
      </x:c>
      <x:c r="BO109" s="22">
        <x:v>114.442519444444</x:v>
      </x:c>
      <x:c r="BP109" s="22">
        <x:v>22.574869444444399</x:v>
      </x:c>
      <x:c r="BQ109" s="18">
        <x:v>80</x:v>
      </x:c>
      <x:c r="BR109" s="18">
        <x:v>614610</x:v>
      </x:c>
      <x:c r="BS109" s="18">
        <x:v>2.5939999999999999</x:v>
      </x:c>
      <x:c r="BT109" s="18">
        <x:v>2.5939999999999999</x:v>
      </x:c>
      <x:c r="BU109" s="18">
        <x:v>266.41300000000001</x:v>
      </x:c>
      <x:c r="BV109" s="18">
        <x:v>96.372</x:v>
      </x:c>
      <x:c r="BW109" s="18">
        <x:v>1.4219999999999999</x:v>
      </x:c>
      <x:c r="BX109" s="18">
        <x:v>1.4219999999999999</x:v>
      </x:c>
      <x:c r="BY109" t="s">
        <x:v>78</x:v>
      </x:c>
      <x:c r="BZ109" t="s">
        <x:v>78</x:v>
      </x:c>
      <x:c r="CA109" s="23">
        <x:f t="shared" si="65"/>
        <x:v>8.1895730560000004</x:v>
      </x:c>
      <x:c r="CB109" s="23">
        <x:f t="shared" si="66"/>
        <x:v>860.07298999999989</x:v>
      </x:c>
      <x:c r="CC109" s="23">
        <x:f t="shared" si="67"/>
        <x:v>272.70607000000001</x:v>
      </x:c>
      <x:c r="CD109" s="23">
        <x:f t="shared" si="68"/>
        <x:v>6.2932170000000003</x:v>
      </x:c>
      <x:c r="CE109" s="23">
        <x:f t="shared" si="69"/>
        <x:v>6.2932170000000003</x:v>
      </x:c>
      <x:c r="CF109" s="23">
        <x:f t="shared" si="70"/>
        <x:v>0</x:v>
      </x:c>
      <x:c r="CG109" s="23">
        <x:f t="shared" si="71"/>
        <x:v>0</x:v>
      </x:c>
      <x:c r="CH109" s="23">
        <x:f t="shared" si="72"/>
        <x:v>4.1954779999999996</x:v>
      </x:c>
      <x:c r="CI109" s="23">
        <x:f t="shared" si="73"/>
        <x:v>0</x:v>
      </x:c>
      <x:c r="CJ109" s="24" t="s">
        <x:v>78</x:v>
      </x:c>
      <x:c r="CK109" s="25">
        <x:v>0</x:v>
      </x:c>
      <x:c r="CL109" s="26" t="s">
        <x:v>78</x:v>
      </x:c>
      <x:c r="CM109" s="26" t="n">
        <x:f>(1-BV109/BU109)*100</x:f>
        <x:v>63.82608956770128</x:v>
      </x:c>
      <x:c r="CN109" s="27" t="s">
        <x:v>78</x:v>
      </x:c>
      <x:c r="CO109" s="27">
        <x:v>0</x:v>
      </x:c>
      <x:c r="CP109" s="27">
        <x:v>0</x:v>
      </x:c>
      <x:c r="CQ109" s="26">
        <x:f t="shared" si="74"/>
        <x:v>8.1895730560000004</x:v>
      </x:c>
      <x:c r="CR109" s="26">
        <x:f t="shared" si="75"/>
        <x:v>311.12203305499344</x:v>
      </x:c>
      <x:c r="CS109" s="26">
        <x:f t="shared" si="78"/>
        <x:v>272.70607000000001</x:v>
      </x:c>
      <x:c r="CT109" s="26">
        <x:f t="shared" si="110"/>
        <x:v>6.2932170000000003</x:v>
      </x:c>
      <x:c r="CU109" s="26">
        <x:f t="shared" si="111"/>
        <x:v>6.2932170000000003</x:v>
      </x:c>
      <x:c r="CV109" s="26">
        <x:f t="shared" si="112"/>
        <x:v>0</x:v>
      </x:c>
      <x:c r="CW109" s="26">
        <x:f t="shared" si="113"/>
        <x:v>0</x:v>
      </x:c>
      <x:c r="CX109" s="26">
        <x:f t="shared" si="79"/>
        <x:v>4.1954779999999996</x:v>
      </x:c>
      <x:c r="CY109" s="26">
        <x:f t="shared" si="80"/>
        <x:v>0</x:v>
      </x:c>
    </x:row>
    <x:row r="110">
      <x:c r="A110" s="18">
        <x:v>2022</x:v>
      </x:c>
      <x:c r="B110" t="s">
        <x:v>286</x:v>
      </x:c>
      <x:c r="C110" t="s">
        <x:v>287</x:v>
      </x:c>
      <x:c r="D110" t="s">
        <x:v>288</x:v>
      </x:c>
      <x:c r="E110" s="18">
        <x:v>440362</x:v>
      </x:c>
      <x:c r="F110" t="s">
        <x:v>289</x:v>
      </x:c>
      <x:c r="G110" t="s">
        <x:v>246</x:v>
      </x:c>
      <x:c r="H110" s="18">
        <x:v>4411</x:v>
      </x:c>
      <x:c r="I110" t="s">
        <x:v>102</x:v>
      </x:c>
      <x:c r="J110" t="s">
        <x:v>290</x:v>
      </x:c>
      <x:c r="K110" t="s">
        <x:v>109</x:v>
      </x:c>
      <x:c r="L110" s="20">
        <x:v>105</x:v>
      </x:c>
      <x:c r="M110" t="s">
        <x:v>110</x:v>
      </x:c>
      <x:c r="N110" s="18">
        <x:v>3100</x:v>
      </x:c>
      <x:c r="O110" t="s">
        <x:v>88</x:v>
      </x:c>
      <x:c r="P110" s="18">
        <x:v>5</x:v>
      </x:c>
      <x:c r="Q110" s="19" t="s">
        <x:v>238</x:v>
      </x:c>
      <x:c r="R110" s="18">
        <x:v>2734873.24</x:v>
      </x:c>
      <x:c r="S110" t="s">
        <x:v>112</x:v>
      </x:c>
      <x:c r="T110" s="19" t="n">
        <x:f t="shared" ref="T110:T116" si="114">R110</x:f>
        <x:v>2734873.24</x:v>
      </x:c>
      <x:c r="U110" s="20">
        <x:v>0.57999999999999996</x:v>
      </x:c>
      <x:c r="V110" t="s">
        <x:v>113</x:v>
      </x:c>
      <x:c r="W110" s="20">
        <x:v>12.9</x:v>
      </x:c>
      <x:c r="X110" s="21" t="n">
        <x:f>2*U110/100*(1-0.15)*T110</x:f>
        <x:v>26965.8501464</x:v>
      </x:c>
      <x:c r="Y110" s="21" t="n">
        <x:f>7.21*T110/1000</x:f>
        <x:v>19718.436060400003</x:v>
      </x:c>
      <x:c r="Z110" s="21" t="n">
        <x:f>2*T110/1000</x:f>
        <x:v>5469.746480000001</x:v>
      </x:c>
      <x:c r="AA110" s="21" t="n">
        <x:f>W110/100*(1-0.25)*0.23*T110</x:f>
        <x:v>60857.76677310001</x:v>
      </x:c>
      <x:c r="AB110" s="21" t="n">
        <x:f>W110/100*(1-0.25)*0.06*T110</x:f>
        <x:v>15875.939158200003</x:v>
      </x:c>
      <x:c r="AC110" s="21" t="n">
        <x:f t="shared" ref="AC110:AC111" si="115">0.002*AB110</x:f>
        <x:v>31.751878316400006</x:v>
      </x:c>
      <x:c r="AD110" s="21"/>
      <x:c r="AE110" s="21" t="n">
        <x:f>0.04*T110/1000</x:f>
        <x:v>109.39492960000001</x:v>
      </x:c>
      <x:c r="AF110" s="21"/>
      <x:c r="AG110" s="19" t="s">
        <x:v>176</x:v>
      </x:c>
      <x:c r="AH110" s="18">
        <x:v>551.44000000000005</x:v>
      </x:c>
      <x:c r="AI110" t="s">
        <x:v>112</x:v>
      </x:c>
      <x:c r="AJ110" s="19" t="n">
        <x:f t="shared" ref="AJ110:AJ111" si="116">AH110</x:f>
        <x:v>551.44</x:v>
      </x:c>
      <x:c r="AK110" s="20">
        <x:v>5.0000000000000001E-3</x:v>
      </x:c>
      <x:c r="AL110" t="s">
        <x:v>113</x:v>
      </x:c>
      <x:c r="AM110" s="19" t="s">
        <x:v>78</x:v>
      </x:c>
      <x:c r="AN110" s="21" t="n">
        <x:f>2*AK110/100*AJ110</x:f>
        <x:v>0.055144000000000006</x:v>
      </x:c>
      <x:c r="AO110" s="21" t="n">
        <x:f>7.4*AJ110/1000</x:f>
        <x:v>4.080656</x:v>
      </x:c>
      <x:c r="AP110" s="21" t="n">
        <x:f>0.6*AJ110/1000</x:f>
        <x:v>0.33086400000000005</x:v>
      </x:c>
      <x:c r="AQ110" s="21" t="n">
        <x:f>0.5*AJ110/1000</x:f>
        <x:v>0.27572</x:v>
      </x:c>
      <x:c r="AR110" s="21" t="n">
        <x:f>0.5*AJ110/1000</x:f>
        <x:v>0.27572</x:v>
      </x:c>
      <x:c r="AS110" s="21" t="n">
        <x:f>0.01*AJ110/1000</x:f>
        <x:v>0.005514400000000001</x:v>
      </x:c>
      <x:c r="AT110" s="21" t="n">
        <x:f>0.04*AJ110/1000</x:f>
        <x:v>0.022057600000000004</x:v>
      </x:c>
      <x:c r="AU110" s="21" t="n">
        <x:f>0.13*AJ110/1000</x:f>
        <x:v>0.0716872</x:v>
      </x:c>
      <x:c r="AV110" s="21"/>
      <x:c r="AW110" s="18">
        <x:v>0</x:v>
      </x:c>
      <x:c r="AX110" s="19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t="s">
        <x:v>81</x:v>
      </x:c>
      <x:c r="BI110" s="18">
        <x:v>115</x:v>
      </x:c>
      <x:c r="BJ110" s="18">
        <x:v>2</x:v>
      </x:c>
      <x:c r="BK110" s="18">
        <x:v>51</x:v>
      </x:c>
      <x:c r="BL110" s="18">
        <x:v>22</x:v>
      </x:c>
      <x:c r="BM110" s="18">
        <x:v>44</x:v>
      </x:c>
      <x:c r="BN110" s="18">
        <x:v>58</x:v>
      </x:c>
      <x:c r="BO110" s="22">
        <x:v>115.0475</x:v>
      </x:c>
      <x:c r="BP110" s="22">
        <x:v>22.7494444444444</x:v>
      </x:c>
      <x:c r="BQ110" s="18">
        <x:v>240</x:v>
      </x:c>
      <x:c r="BR110" s="18">
        <x:v>1774398.39</x:v>
      </x:c>
      <x:c r="BS110" s="18">
        <x:v>29958.169000000002</x:v>
      </x:c>
      <x:c r="BT110" s="18">
        <x:v>282.67</x:v>
      </x:c>
      <x:c r="BU110" s="18">
        <x:v>4309.2129999999997</x:v>
      </x:c>
      <x:c r="BV110" s="18">
        <x:v>769.18700000000001</x:v>
      </x:c>
      <x:c r="BW110" s="18">
        <x:v>455.358</x:v>
      </x:c>
      <x:c r="BX110" s="18">
        <x:v>25.132000000000001</x:v>
      </x:c>
      <x:c r="BY110" s="18">
        <x:v>16163.101000000001</x:v>
      </x:c>
      <x:c r="BZ110" s="18">
        <x:v>16163.101000000001</x:v>
      </x:c>
      <x:c r="CA110" s="23">
        <x:f t="shared" si="65"/>
        <x:v>26965.905290400002</x:v>
      </x:c>
      <x:c r="CB110" s="23">
        <x:f t="shared" si="66"/>
        <x:v>19722.516716400001</x:v>
      </x:c>
      <x:c r="CC110" s="23">
        <x:f t="shared" si="67"/>
        <x:v>5470.0773440000003</x:v>
      </x:c>
      <x:c r="CD110" s="23">
        <x:f t="shared" si="68"/>
        <x:v>60858.042493100009</x:v>
      </x:c>
      <x:c r="CE110" s="23">
        <x:f t="shared" si="69"/>
        <x:v>15876.214878200002</x:v>
      </x:c>
      <x:c r="CF110" s="23">
        <x:f t="shared" si="70"/>
        <x:v>31.757392716400005</x:v>
      </x:c>
      <x:c r="CG110" s="23">
        <x:f t="shared" si="71"/>
        <x:v>2.2057600000000004E-2</x:v>
      </x:c>
      <x:c r="CH110" s="23">
        <x:f t="shared" si="72"/>
        <x:v>109.46661680000001</x:v>
      </x:c>
      <x:c r="CI110" s="23">
        <x:f t="shared" si="73"/>
        <x:v>0</x:v>
      </x:c>
      <x:c r="CJ110" s="24" t="s">
        <x:v>153</x:v>
      </x:c>
      <x:c r="CK110" s="29">
        <x:v>98.5</x:v>
      </x:c>
      <x:c r="CL110" s="26" t="s">
        <x:v>104</x:v>
      </x:c>
      <x:c r="CM110" s="28">
        <x:v>80</x:v>
      </x:c>
      <x:c r="CN110" s="30" t="s">
        <x:v>291</x:v>
      </x:c>
      <x:c r="CO110" s="27">
        <x:v>98.9</x:v>
      </x:c>
      <x:c r="CP110" s="27">
        <x:v>97</x:v>
      </x:c>
      <x:c r="CQ110" s="26">
        <x:f t="shared" si="74"/>
        <x:v>404.4885793560004</x:v>
      </x:c>
      <x:c r="CR110" s="26">
        <x:f t="shared" si="75"/>
        <x:v>3944.5033432799992</x:v>
      </x:c>
      <x:c r="CS110" s="26">
        <x:f t="shared" si="78"/>
        <x:v>5470.0773440000003</x:v>
      </x:c>
      <x:c r="CT110" s="26">
        <x:f t="shared" si="110"/>
        <x:v>669.43846742409391</x:v>
      </x:c>
      <x:c r="CU110" s="26">
        <x:f t="shared" si="111"/>
        <x:v>476.2864463460005</x:v>
      </x:c>
      <x:c r="CV110" s="26">
        <x:f t="shared" si="112"/>
        <x:v>0.95272178149200104</x:v>
      </x:c>
      <x:c r="CW110" s="26">
        <x:f t="shared" si="113"/>
        <x:v>6.6172800000000075E-4</x:v>
      </x:c>
      <x:c r="CX110" s="26">
        <x:f t="shared" si="79"/>
        <x:v>109.46661680000001</x:v>
      </x:c>
      <x:c r="CY110" s="26">
        <x:f t="shared" si="80"/>
        <x:v>0</x:v>
      </x:c>
    </x:row>
    <x:row r="111">
      <x:c r="A111" s="18">
        <x:v>2022</x:v>
      </x:c>
      <x:c r="B111" t="s">
        <x:v>286</x:v>
      </x:c>
      <x:c r="C111" t="s">
        <x:v>287</x:v>
      </x:c>
      <x:c r="D111" t="s">
        <x:v>288</x:v>
      </x:c>
      <x:c r="E111" s="18">
        <x:v>440362</x:v>
      </x:c>
      <x:c r="F111" t="s">
        <x:v>289</x:v>
      </x:c>
      <x:c r="G111" t="s">
        <x:v>246</x:v>
      </x:c>
      <x:c r="H111" s="18">
        <x:v>4411</x:v>
      </x:c>
      <x:c r="I111" t="s">
        <x:v>102</x:v>
      </x:c>
      <x:c r="J111" t="s">
        <x:v>290</x:v>
      </x:c>
      <x:c r="K111" t="s">
        <x:v>109</x:v>
      </x:c>
      <x:c r="L111" s="20">
        <x:v>105</x:v>
      </x:c>
      <x:c r="M111" t="s">
        <x:v>110</x:v>
      </x:c>
      <x:c r="N111" s="18">
        <x:v>3100</x:v>
      </x:c>
      <x:c r="O111" t="s">
        <x:v>88</x:v>
      </x:c>
      <x:c r="P111" s="18">
        <x:v>5</x:v>
      </x:c>
      <x:c r="Q111" s="19" t="s">
        <x:v>238</x:v>
      </x:c>
      <x:c r="R111" s="18">
        <x:v>2828111.76</x:v>
      </x:c>
      <x:c r="S111" t="s">
        <x:v>112</x:v>
      </x:c>
      <x:c r="T111" s="19">
        <x:f t="shared" si="114"/>
        <x:v>2828111.76</x:v>
      </x:c>
      <x:c r="U111" s="20">
        <x:v>0.57999999999999996</x:v>
      </x:c>
      <x:c r="V111" t="s">
        <x:v>113</x:v>
      </x:c>
      <x:c r="W111" s="20">
        <x:v>12.9</x:v>
      </x:c>
      <x:c r="X111" s="21" t="n">
        <x:f>2*U111/100*(1-0.15)*T111</x:f>
        <x:v>27885.181953599997</x:v>
      </x:c>
      <x:c r="Y111" s="21" t="n">
        <x:f>7.21*T111/1000</x:f>
        <x:v>20390.6857896</x:v>
      </x:c>
      <x:c r="Z111" s="21" t="n">
        <x:f>2*T111/1000</x:f>
        <x:v>5656.22352</x:v>
      </x:c>
      <x:c r="AA111" s="21" t="n">
        <x:f>W111/100*(1-0.25)*0.23*T111</x:f>
        <x:v>62932.5569394</x:v>
      </x:c>
      <x:c r="AB111" s="21" t="n">
        <x:f>W111/100*(1-0.25)*0.06*T111</x:f>
        <x:v>16417.188766799998</x:v>
      </x:c>
      <x:c r="AC111" s="21">
        <x:f t="shared" si="115"/>
        <x:v>32.834377533599998</x:v>
      </x:c>
      <x:c r="AD111" s="21"/>
      <x:c r="AE111" s="21" t="n">
        <x:f>0.04*T111/1000</x:f>
        <x:v>113.12447039999999</x:v>
      </x:c>
      <x:c r="AF111" s="21"/>
      <x:c r="AG111" s="19" t="s">
        <x:v>176</x:v>
      </x:c>
      <x:c r="AH111" s="18">
        <x:v>327.67</x:v>
      </x:c>
      <x:c r="AI111" t="s">
        <x:v>112</x:v>
      </x:c>
      <x:c r="AJ111" s="19">
        <x:f t="shared" si="116"/>
        <x:v>327.67</x:v>
      </x:c>
      <x:c r="AK111" s="20">
        <x:v>5.0000000000000001E-3</x:v>
      </x:c>
      <x:c r="AL111" t="s">
        <x:v>113</x:v>
      </x:c>
      <x:c r="AM111" s="19" t="s">
        <x:v>78</x:v>
      </x:c>
      <x:c r="AN111" s="21" t="n">
        <x:f>2*AK111/100*AJ111</x:f>
        <x:v>0.032767000000000004</x:v>
      </x:c>
      <x:c r="AO111" s="21" t="n">
        <x:f>7.4*AJ111/1000</x:f>
        <x:v>2.424758</x:v>
      </x:c>
      <x:c r="AP111" s="21" t="n">
        <x:f>0.6*AJ111/1000</x:f>
        <x:v>0.196602</x:v>
      </x:c>
      <x:c r="AQ111" s="21" t="n">
        <x:f>0.5*AJ111/1000</x:f>
        <x:v>0.163835</x:v>
      </x:c>
      <x:c r="AR111" s="21" t="n">
        <x:f>0.5*AJ111/1000</x:f>
        <x:v>0.163835</x:v>
      </x:c>
      <x:c r="AS111" s="21" t="n">
        <x:f>0.01*AJ111/1000</x:f>
        <x:v>0.0032767000000000004</x:v>
      </x:c>
      <x:c r="AT111" s="21" t="n">
        <x:f>0.04*AJ111/1000</x:f>
        <x:v>0.013106800000000002</x:v>
      </x:c>
      <x:c r="AU111" s="21" t="n">
        <x:f>0.13*AJ111/1000</x:f>
        <x:v>0.042597100000000006</x:v>
      </x:c>
      <x:c r="AV111" s="21"/>
      <x:c r="AW111" s="18">
        <x:v>0</x:v>
      </x:c>
      <x:c r="AX111" s="19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t="s">
        <x:v>79</x:v>
      </x:c>
      <x:c r="BI111" s="18">
        <x:v>115</x:v>
      </x:c>
      <x:c r="BJ111" s="18">
        <x:v>2</x:v>
      </x:c>
      <x:c r="BK111" s="18">
        <x:v>51</x:v>
      </x:c>
      <x:c r="BL111" s="18">
        <x:v>22</x:v>
      </x:c>
      <x:c r="BM111" s="18">
        <x:v>44</x:v>
      </x:c>
      <x:c r="BN111" s="18">
        <x:v>58</x:v>
      </x:c>
      <x:c r="BO111" s="22">
        <x:v>115.0475</x:v>
      </x:c>
      <x:c r="BP111" s="22">
        <x:v>22.7494444444444</x:v>
      </x:c>
      <x:c r="BQ111" s="18">
        <x:v>240</x:v>
      </x:c>
      <x:c r="BR111" s="18">
        <x:v>1817635.95</x:v>
      </x:c>
      <x:c r="BS111" s="18">
        <x:v>31207.126</x:v>
      </x:c>
      <x:c r="BT111" s="18">
        <x:v>283.93200000000002</x:v>
      </x:c>
      <x:c r="BU111" s="18">
        <x:v>4276.9790000000003</x:v>
      </x:c>
      <x:c r="BV111" s="18">
        <x:v>795.197</x:v>
      </x:c>
      <x:c r="BW111" s="18">
        <x:v>481.30500000000001</x:v>
      </x:c>
      <x:c r="BX111" s="18">
        <x:v>23.056999999999999</x:v>
      </x:c>
      <x:c r="BY111" s="18">
        <x:v>16714.141</x:v>
      </x:c>
      <x:c r="BZ111" s="18">
        <x:v>16714.141</x:v>
      </x:c>
      <x:c r="CA111" s="23">
        <x:f t="shared" si="65"/>
        <x:v>27885.214720599997</x:v>
      </x:c>
      <x:c r="CB111" s="23">
        <x:f t="shared" si="66"/>
        <x:v>20393.110547600001</x:v>
      </x:c>
      <x:c r="CC111" s="23">
        <x:f t="shared" si="67"/>
        <x:v>5656.4201219999995</x:v>
      </x:c>
      <x:c r="CD111" s="23">
        <x:f t="shared" si="68"/>
        <x:v>62932.720774399997</x:v>
      </x:c>
      <x:c r="CE111" s="23">
        <x:f t="shared" si="69"/>
        <x:v>16417.352601799998</x:v>
      </x:c>
      <x:c r="CF111" s="23">
        <x:f t="shared" si="70"/>
        <x:v>32.837654233599999</x:v>
      </x:c>
      <x:c r="CG111" s="23">
        <x:f t="shared" si="71"/>
        <x:v>1.3106800000000002E-2</x:v>
      </x:c>
      <x:c r="CH111" s="23">
        <x:f t="shared" si="72"/>
        <x:v>113.16706749999999</x:v>
      </x:c>
      <x:c r="CI111" s="23">
        <x:f t="shared" si="73"/>
        <x:v>0</x:v>
      </x:c>
      <x:c r="CJ111" s="24" t="s">
        <x:v>153</x:v>
      </x:c>
      <x:c r="CK111" s="29">
        <x:v>98.5</x:v>
      </x:c>
      <x:c r="CL111" s="26" t="s">
        <x:v>104</x:v>
      </x:c>
      <x:c r="CM111" s="28">
        <x:v>80</x:v>
      </x:c>
      <x:c r="CN111" s="30" t="s">
        <x:v>291</x:v>
      </x:c>
      <x:c r="CO111" s="27">
        <x:v>98.9</x:v>
      </x:c>
      <x:c r="CP111" s="27">
        <x:v>97</x:v>
      </x:c>
      <x:c r="CQ111" s="26">
        <x:f t="shared" si="74"/>
        <x:v>418.27822080900035</x:v>
      </x:c>
      <x:c r="CR111" s="26">
        <x:f t="shared" si="75"/>
        <x:v>4078.6221095199994</x:v>
      </x:c>
      <x:c r="CS111" s="26">
        <x:f t="shared" si="78"/>
        <x:v>5656.4201219999995</x:v>
      </x:c>
      <x:c r="CT111" s="26">
        <x:f t="shared" si="110"/>
        <x:v>692.25992851839362</x:v>
      </x:c>
      <x:c r="CU111" s="26">
        <x:f t="shared" si="111"/>
        <x:v>492.52057805400034</x:v>
      </x:c>
      <x:c r="CV111" s="26">
        <x:f t="shared" si="112"/>
        <x:v>0.98512962700800089</x:v>
      </x:c>
      <x:c r="CW111" s="26">
        <x:f t="shared" si="113"/>
        <x:v>3.932040000000004E-4</x:v>
      </x:c>
      <x:c r="CX111" s="26">
        <x:f t="shared" si="79"/>
        <x:v>113.16706749999999</x:v>
      </x:c>
      <x:c r="CY111" s="26">
        <x:f t="shared" si="80"/>
        <x:v>0</x:v>
      </x:c>
    </x:row>
    <x:row r="112">
      <x:c r="A112" s="18">
        <x:v>2022</x:v>
      </x:c>
      <x:c r="B112" t="s">
        <x:v>292</x:v>
      </x:c>
      <x:c r="C112" t="s">
        <x:v>293</x:v>
      </x:c>
      <x:c r="D112" t="s">
        <x:v>294</x:v>
      </x:c>
      <x:c r="E112" s="18">
        <x:v>440405</x:v>
      </x:c>
      <x:c r="F112" t="s">
        <x:v>295</x:v>
      </x:c>
      <x:c r="G112" t="s">
        <x:v>296</x:v>
      </x:c>
      <x:c r="H112" s="18">
        <x:v>4412</x:v>
      </x:c>
      <x:c r="I112" t="s">
        <x:v>108</x:v>
      </x:c>
      <x:c r="J112" t="s">
        <x:v>297</x:v>
      </x:c>
      <x:c r="K112" t="s">
        <x:v>80</x:v>
      </x:c>
      <x:c r="L112" s="18">
        <x:v>39</x:v>
      </x:c>
      <x:c r="M112" t="s">
        <x:v>78</x:v>
      </x:c>
      <x:c r="N112" s="18">
        <x:v>357.57</x:v>
      </x:c>
      <x:c r="O112" t="s">
        <x:v>88</x:v>
      </x:c>
      <x:c r="P112" s="18">
        <x:v>15</x:v>
      </x:c>
      <x:c r="Q112" s="19" t="s">
        <x:v>96</x:v>
      </x:c>
      <x:c r="R112" s="18">
        <x:v>11077.721</x:v>
      </x:c>
      <x:c r="S112" t="s">
        <x:v>76</x:v>
      </x:c>
      <x:c r="T112" s="19">
        <x:f t="shared" si="114"/>
        <x:v>11077.721</x:v>
      </x:c>
      <x:c r="U112" s="20">
        <x:v>4.93</x:v>
      </x:c>
      <x:c r="V112" t="s">
        <x:v>77</x:v>
      </x:c>
      <x:c r="W112" s="19" t="s">
        <x:v>78</x:v>
      </x:c>
      <x:c r="X112" s="21" t="n">
        <x:f>2*U112*T112*10000/1000000000</x:f>
        <x:v>1.0922632905999998</x:v>
      </x:c>
      <x:c r="Y112" s="21" t="n">
        <x:f>4.1*T112*10000/1000000</x:f>
        <x:v>454.1865609999999</x:v>
      </x:c>
      <x:c r="Z112" s="21" t="n">
        <x:f>1.3*T112*10000/1000000</x:f>
        <x:v>144.010373</x:v>
      </x:c>
      <x:c r="AA112" s="21" t="n">
        <x:f>0.03*T112*10000/1000000</x:f>
        <x:v>3.3233162999999997</x:v>
      </x:c>
      <x:c r="AB112" s="21" t="n">
        <x:f>0.03*T112*10000/1000000</x:f>
        <x:v>3.3233162999999997</x:v>
      </x:c>
      <x:c r="AC112" s="21"/>
      <x:c r="AD112" s="21"/>
      <x:c r="AE112" s="21" t="n">
        <x:f>0.02*T112*10000/1000000</x:f>
        <x:v>2.2155441999999996</x:v>
      </x:c>
      <x:c r="AF112" s="21"/>
      <x:c r="AG112" s="19" t="s">
        <x:v>78</x:v>
      </x:c>
      <x:c r="AH112" t="s">
        <x:v>78</x:v>
      </x:c>
      <x:c r="AI112" t="s">
        <x:v>78</x:v>
      </x:c>
      <x:c r="AJ112" s="19"/>
      <x:c r="AK112" s="19" t="s">
        <x:v>78</x:v>
      </x:c>
      <x:c r="AL112" t="s">
        <x:v>78</x:v>
      </x:c>
      <x:c r="AM112" s="19" t="s">
        <x:v>78</x:v>
      </x:c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t="s">
        <x:v>78</x:v>
      </x:c>
      <x:c r="AX112" s="19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t="s">
        <x:v>81</x:v>
      </x:c>
      <x:c r="BI112" s="18">
        <x:v>113</x:v>
      </x:c>
      <x:c r="BJ112" s="18">
        <x:v>27</x:v>
      </x:c>
      <x:c r="BK112" s="18">
        <x:v>59.54</x:v>
      </x:c>
      <x:c r="BL112" s="18">
        <x:v>22</x:v>
      </x:c>
      <x:c r="BM112" s="18">
        <x:v>7</x:v>
      </x:c>
      <x:c r="BN112" s="18">
        <x:v>36.770000000000003</x:v>
      </x:c>
      <x:c r="BO112" s="22">
        <x:v>113.466538888889</x:v>
      </x:c>
      <x:c r="BP112" s="22">
        <x:v>22.126880555555601</x:v>
      </x:c>
      <x:c r="BQ112" s="18">
        <x:v>60</x:v>
      </x:c>
      <x:c r="BR112" s="18">
        <x:v>342692</x:v>
      </x:c>
      <x:c r="BS112" t="s">
        <x:v>78</x:v>
      </x:c>
      <x:c r="BT112" t="s">
        <x:v>78</x:v>
      </x:c>
      <x:c r="BU112" t="s">
        <x:v>78</x:v>
      </x:c>
      <x:c r="BV112" t="s">
        <x:v>78</x:v>
      </x:c>
      <x:c r="BW112" t="s">
        <x:v>78</x:v>
      </x:c>
      <x:c r="BX112" t="s">
        <x:v>78</x:v>
      </x:c>
      <x:c r="BY112" t="s">
        <x:v>78</x:v>
      </x:c>
      <x:c r="BZ112" t="s">
        <x:v>78</x:v>
      </x:c>
      <x:c r="CA112" s="23">
        <x:f t="shared" si="65"/>
        <x:v>1.0922632905999998</x:v>
      </x:c>
      <x:c r="CB112" s="23">
        <x:f t="shared" si="66"/>
        <x:v>454.18656099999993</x:v>
      </x:c>
      <x:c r="CC112" s="23">
        <x:f t="shared" si="67"/>
        <x:v>144.01037299999999</x:v>
      </x:c>
      <x:c r="CD112" s="23">
        <x:f t="shared" si="68"/>
        <x:v>3.3233162999999997</x:v>
      </x:c>
      <x:c r="CE112" s="23">
        <x:f t="shared" si="69"/>
        <x:v>3.3233162999999997</x:v>
      </x:c>
      <x:c r="CF112" s="23">
        <x:f t="shared" si="70"/>
        <x:v>0</x:v>
      </x:c>
      <x:c r="CG112" s="23">
        <x:f t="shared" si="71"/>
        <x:v>0</x:v>
      </x:c>
      <x:c r="CH112" s="23">
        <x:f t="shared" si="72"/>
        <x:v>2.2155441999999996</x:v>
      </x:c>
      <x:c r="CI112" s="23">
        <x:f t="shared" si="73"/>
        <x:v>0</x:v>
      </x:c>
      <x:c r="CJ112" s="24" t="s">
        <x:v>78</x:v>
      </x:c>
      <x:c r="CK112" s="25">
        <x:v>0</x:v>
      </x:c>
      <x:c r="CL112" s="26" t="s">
        <x:v>78</x:v>
      </x:c>
      <x:c r="CM112" s="26">
        <x:v>42</x:v>
      </x:c>
      <x:c r="CN112" s="27" t="s">
        <x:v>78</x:v>
      </x:c>
      <x:c r="CO112" s="27">
        <x:v>0</x:v>
      </x:c>
      <x:c r="CP112" s="27">
        <x:v>0</x:v>
      </x:c>
      <x:c r="CQ112" s="26">
        <x:f t="shared" si="74"/>
        <x:v>1.0922632905999998</x:v>
      </x:c>
      <x:c r="CR112" s="26">
        <x:f t="shared" si="75"/>
        <x:v>263.42820538000001</x:v>
      </x:c>
      <x:c r="CS112" s="26">
        <x:f t="shared" si="78"/>
        <x:v>144.01037299999999</x:v>
      </x:c>
      <x:c r="CT112" s="26">
        <x:f t="shared" si="110"/>
        <x:v>3.3233162999999997</x:v>
      </x:c>
      <x:c r="CU112" s="26">
        <x:f t="shared" si="111"/>
        <x:v>3.3233162999999997</x:v>
      </x:c>
      <x:c r="CV112" s="26">
        <x:f t="shared" si="112"/>
        <x:v>0</x:v>
      </x:c>
      <x:c r="CW112" s="26">
        <x:f t="shared" si="113"/>
        <x:v>0</x:v>
      </x:c>
      <x:c r="CX112" s="26">
        <x:f t="shared" si="79"/>
        <x:v>2.2155441999999996</x:v>
      </x:c>
      <x:c r="CY112" s="26">
        <x:f t="shared" si="80"/>
        <x:v>0</x:v>
      </x:c>
    </x:row>
    <x:row r="113">
      <x:c r="A113" s="18">
        <x:v>2022</x:v>
      </x:c>
      <x:c r="B113" t="s">
        <x:v>292</x:v>
      </x:c>
      <x:c r="C113" t="s">
        <x:v>293</x:v>
      </x:c>
      <x:c r="D113" t="s">
        <x:v>294</x:v>
      </x:c>
      <x:c r="E113" s="18">
        <x:v>440405</x:v>
      </x:c>
      <x:c r="F113" t="s">
        <x:v>295</x:v>
      </x:c>
      <x:c r="G113" t="s">
        <x:v>296</x:v>
      </x:c>
      <x:c r="H113" s="18">
        <x:v>4412</x:v>
      </x:c>
      <x:c r="I113" t="s">
        <x:v>108</x:v>
      </x:c>
      <x:c r="J113" t="s">
        <x:v>297</x:v>
      </x:c>
      <x:c r="K113" t="s">
        <x:v>80</x:v>
      </x:c>
      <x:c r="L113" s="18">
        <x:v>39</x:v>
      </x:c>
      <x:c r="M113" t="s">
        <x:v>78</x:v>
      </x:c>
      <x:c r="N113" s="18">
        <x:v>357.57</x:v>
      </x:c>
      <x:c r="O113" t="s">
        <x:v>88</x:v>
      </x:c>
      <x:c r="P113" s="18">
        <x:v>15</x:v>
      </x:c>
      <x:c r="Q113" s="19" t="s">
        <x:v>96</x:v>
      </x:c>
      <x:c r="R113" s="18">
        <x:v>8778.0679999999993</x:v>
      </x:c>
      <x:c r="S113" t="s">
        <x:v>76</x:v>
      </x:c>
      <x:c r="T113" s="19">
        <x:f t="shared" si="114"/>
        <x:v>8778.0679999999993</x:v>
      </x:c>
      <x:c r="U113" s="20">
        <x:v>4.93</x:v>
      </x:c>
      <x:c r="V113" t="s">
        <x:v>77</x:v>
      </x:c>
      <x:c r="W113" s="19" t="s">
        <x:v>78</x:v>
      </x:c>
      <x:c r="X113" s="21" t="n">
        <x:f>2*U113*T113*10000/1000000000</x:f>
        <x:v>0.8655175047999998</x:v>
      </x:c>
      <x:c r="Y113" s="21" t="n">
        <x:f>4.1*T113*10000/1000000</x:f>
        <x:v>359.9007879999999</x:v>
      </x:c>
      <x:c r="Z113" s="21" t="n">
        <x:f>1.3*T113*10000/1000000</x:f>
        <x:v>114.114884</x:v>
      </x:c>
      <x:c r="AA113" s="21" t="n">
        <x:f>0.03*T113*10000/1000000</x:f>
        <x:v>2.6334204</x:v>
      </x:c>
      <x:c r="AB113" s="21" t="n">
        <x:f>0.03*T113*10000/1000000</x:f>
        <x:v>2.6334204</x:v>
      </x:c>
      <x:c r="AC113" s="21"/>
      <x:c r="AD113" s="21"/>
      <x:c r="AE113" s="21" t="n">
        <x:f>0.02*T113*10000/1000000</x:f>
        <x:v>1.7556135999999998</x:v>
      </x:c>
      <x:c r="AF113" s="21"/>
      <x:c r="AG113" s="19" t="s">
        <x:v>78</x:v>
      </x:c>
      <x:c r="AH113" t="s">
        <x:v>78</x:v>
      </x:c>
      <x:c r="AI113" t="s">
        <x:v>78</x:v>
      </x:c>
      <x:c r="AJ113" s="19"/>
      <x:c r="AK113" s="19" t="s">
        <x:v>78</x:v>
      </x:c>
      <x:c r="AL113" t="s">
        <x:v>78</x:v>
      </x:c>
      <x:c r="AM113" s="19" t="s">
        <x:v>78</x:v>
      </x:c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t="s">
        <x:v>78</x:v>
      </x:c>
      <x:c r="AX113" s="19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t="s">
        <x:v>79</x:v>
      </x:c>
      <x:c r="BI113" s="18">
        <x:v>113</x:v>
      </x:c>
      <x:c r="BJ113" s="18">
        <x:v>27</x:v>
      </x:c>
      <x:c r="BK113" s="18">
        <x:v>58.32</x:v>
      </x:c>
      <x:c r="BL113" s="18">
        <x:v>22</x:v>
      </x:c>
      <x:c r="BM113" s="18">
        <x:v>7</x:v>
      </x:c>
      <x:c r="BN113" s="18">
        <x:v>38.32</x:v>
      </x:c>
      <x:c r="BO113" s="22">
        <x:v>113.4662</x:v>
      </x:c>
      <x:c r="BP113" s="22">
        <x:v>22.127311111111101</x:v>
      </x:c>
      <x:c r="BQ113" s="18">
        <x:v>60</x:v>
      </x:c>
      <x:c r="BR113" s="18">
        <x:v>256459</x:v>
      </x:c>
      <x:c r="BS113" t="s">
        <x:v>78</x:v>
      </x:c>
      <x:c r="BT113" t="s">
        <x:v>78</x:v>
      </x:c>
      <x:c r="BU113" t="s">
        <x:v>78</x:v>
      </x:c>
      <x:c r="BV113" t="s">
        <x:v>78</x:v>
      </x:c>
      <x:c r="BW113" t="s">
        <x:v>78</x:v>
      </x:c>
      <x:c r="BX113" t="s">
        <x:v>78</x:v>
      </x:c>
      <x:c r="BY113" t="s">
        <x:v>78</x:v>
      </x:c>
      <x:c r="BZ113" t="s">
        <x:v>78</x:v>
      </x:c>
      <x:c r="CA113" s="23">
        <x:f t="shared" si="65"/>
        <x:v>0.86551750479999978</x:v>
      </x:c>
      <x:c r="CB113" s="23">
        <x:f t="shared" si="66"/>
        <x:v>359.90078799999992</x:v>
      </x:c>
      <x:c r="CC113" s="23">
        <x:f t="shared" si="67"/>
        <x:v>114.114884</x:v>
      </x:c>
      <x:c r="CD113" s="23">
        <x:f t="shared" si="68"/>
        <x:v>2.6334203999999999</x:v>
      </x:c>
      <x:c r="CE113" s="23">
        <x:f t="shared" si="69"/>
        <x:v>2.6334203999999999</x:v>
      </x:c>
      <x:c r="CF113" s="23">
        <x:f t="shared" si="70"/>
        <x:v>0</x:v>
      </x:c>
      <x:c r="CG113" s="23">
        <x:f t="shared" si="71"/>
        <x:v>0</x:v>
      </x:c>
      <x:c r="CH113" s="23">
        <x:f t="shared" si="72"/>
        <x:v>1.7556135999999998</x:v>
      </x:c>
      <x:c r="CI113" s="23">
        <x:f t="shared" si="73"/>
        <x:v>0</x:v>
      </x:c>
      <x:c r="CJ113" s="24" t="s">
        <x:v>78</x:v>
      </x:c>
      <x:c r="CK113" s="25">
        <x:v>0</x:v>
      </x:c>
      <x:c r="CL113" s="26" t="s">
        <x:v>78</x:v>
      </x:c>
      <x:c r="CM113" s="26">
        <x:v>42</x:v>
      </x:c>
      <x:c r="CN113" s="27" t="s">
        <x:v>78</x:v>
      </x:c>
      <x:c r="CO113" s="27">
        <x:v>0</x:v>
      </x:c>
      <x:c r="CP113" s="27">
        <x:v>0</x:v>
      </x:c>
      <x:c r="CQ113" s="26">
        <x:f t="shared" si="74"/>
        <x:v>0.86551750479999978</x:v>
      </x:c>
      <x:c r="CR113" s="26">
        <x:f t="shared" si="75"/>
        <x:v>208.74245703999998</x:v>
      </x:c>
      <x:c r="CS113" s="26">
        <x:f t="shared" si="78"/>
        <x:v>114.114884</x:v>
      </x:c>
      <x:c r="CT113" s="26">
        <x:f t="shared" si="110"/>
        <x:v>2.6334203999999999</x:v>
      </x:c>
      <x:c r="CU113" s="26">
        <x:f t="shared" si="111"/>
        <x:v>2.6334203999999999</x:v>
      </x:c>
      <x:c r="CV113" s="26">
        <x:f t="shared" si="112"/>
        <x:v>0</x:v>
      </x:c>
      <x:c r="CW113" s="26">
        <x:f t="shared" si="113"/>
        <x:v>0</x:v>
      </x:c>
      <x:c r="CX113" s="26">
        <x:f t="shared" si="79"/>
        <x:v>1.7556135999999998</x:v>
      </x:c>
      <x:c r="CY113" s="26">
        <x:f t="shared" si="80"/>
        <x:v>0</x:v>
      </x:c>
    </x:row>
    <x:row r="114">
      <x:c r="A114" s="18">
        <x:v>2022</x:v>
      </x:c>
      <x:c r="B114" t="s">
        <x:v>298</x:v>
      </x:c>
      <x:c r="C114" t="s">
        <x:v>299</x:v>
      </x:c>
      <x:c r="D114" t="s">
        <x:v>300</x:v>
      </x:c>
      <x:c r="E114" s="18">
        <x:v>440405</x:v>
      </x:c>
      <x:c r="F114" t="s">
        <x:v>295</x:v>
      </x:c>
      <x:c r="G114" t="s">
        <x:v>296</x:v>
      </x:c>
      <x:c r="H114" s="18">
        <x:v>4511</x:v>
      </x:c>
      <x:c r="I114" t="s">
        <x:v>301</x:v>
      </x:c>
      <x:c r="J114" t="s">
        <x:v>78</x:v>
      </x:c>
      <x:c r="K114" t="s">
        <x:v>80</x:v>
      </x:c>
      <x:c r="L114" s="18">
        <x:v>0.96499999999999997</x:v>
      </x:c>
      <x:c r="M114" t="s">
        <x:v>78</x:v>
      </x:c>
      <x:c r="N114" s="18">
        <x:v>13.785</x:v>
      </x:c>
      <x:c r="O114" t="s">
        <x:v>74</x:v>
      </x:c>
      <x:c r="P114" s="18">
        <x:v>15</x:v>
      </x:c>
      <x:c r="Q114" s="19" t="s">
        <x:v>96</x:v>
      </x:c>
      <x:c r="R114" s="18">
        <x:v>696.98</x:v>
      </x:c>
      <x:c r="S114" t="s">
        <x:v>76</x:v>
      </x:c>
      <x:c r="T114" s="19">
        <x:f t="shared" si="114"/>
        <x:v>696.98</x:v>
      </x:c>
      <x:c r="U114" s="20">
        <x:v>2</x:v>
      </x:c>
      <x:c r="V114" t="s">
        <x:v>77</x:v>
      </x:c>
      <x:c r="W114" s="19" t="s">
        <x:v>78</x:v>
      </x:c>
      <x:c r="X114" s="21" t="n">
        <x:f>2*U114*T114*10000/1000000000</x:f>
        <x:v>0.0278792</x:v>
      </x:c>
      <x:c r="Y114" s="21" t="n">
        <x:f>4.1*T114*10000/1000000</x:f>
        <x:v>28.57618</x:v>
      </x:c>
      <x:c r="Z114" s="21" t="n">
        <x:f>1.3*T114*10000/1000000</x:f>
        <x:v>9.06074</x:v>
      </x:c>
      <x:c r="AA114" s="21" t="n">
        <x:f>0.03*T114*10000/1000000</x:f>
        <x:v>0.20909400000000003</x:v>
      </x:c>
      <x:c r="AB114" s="21" t="n">
        <x:f>0.03*T114*10000/1000000</x:f>
        <x:v>0.20909400000000003</x:v>
      </x:c>
      <x:c r="AC114" s="21"/>
      <x:c r="AD114" s="21"/>
      <x:c r="AE114" s="21" t="n">
        <x:f>0.02*T114*10000/1000000</x:f>
        <x:v>0.139396</x:v>
      </x:c>
      <x:c r="AF114" s="21"/>
      <x:c r="AG114" s="19" t="s">
        <x:v>78</x:v>
      </x:c>
      <x:c r="AH114" t="s">
        <x:v>78</x:v>
      </x:c>
      <x:c r="AI114" t="s">
        <x:v>78</x:v>
      </x:c>
      <x:c r="AJ114" s="19"/>
      <x:c r="AK114" s="19" t="s">
        <x:v>78</x:v>
      </x:c>
      <x:c r="AL114" t="s">
        <x:v>78</x:v>
      </x:c>
      <x:c r="AM114" s="19" t="s">
        <x:v>78</x:v>
      </x:c>
      <x:c r="AN114" s="21"/>
      <x:c r="AO114" s="21"/>
      <x:c r="AP114" s="21"/>
      <x:c r="AQ114" s="21"/>
      <x:c r="AR114" s="21"/>
      <x:c r="AS114" s="21"/>
      <x:c r="AT114" s="21"/>
      <x:c r="AU114" s="21"/>
      <x:c r="AV114" s="21"/>
      <x:c r="AW114" t="s">
        <x:v>78</x:v>
      </x:c>
      <x:c r="AX114" s="19"/>
      <x:c r="AY114" s="21"/>
      <x:c r="AZ114" s="21"/>
      <x:c r="BA114" s="21"/>
      <x:c r="BB114" s="21"/>
      <x:c r="BC114" s="21"/>
      <x:c r="BD114" s="21"/>
      <x:c r="BE114" s="21"/>
      <x:c r="BF114" s="21"/>
      <x:c r="BG114" s="21"/>
      <x:c r="BH114" t="s">
        <x:v>82</x:v>
      </x:c>
      <x:c r="BI114" s="18">
        <x:v>113</x:v>
      </x:c>
      <x:c r="BJ114" s="18">
        <x:v>27</x:v>
      </x:c>
      <x:c r="BK114" s="18">
        <x:v>7</x:v>
      </x:c>
      <x:c r="BL114" s="18">
        <x:v>22</x:v>
      </x:c>
      <x:c r="BM114" s="18">
        <x:v>7</x:v>
      </x:c>
      <x:c r="BN114" s="18">
        <x:v>53</x:v>
      </x:c>
      <x:c r="BO114" s="22">
        <x:v>113.451944444444</x:v>
      </x:c>
      <x:c r="BP114" s="22">
        <x:v>22.1313888888889</x:v>
      </x:c>
      <x:c r="BQ114" s="18">
        <x:v>15</x:v>
      </x:c>
      <x:c r="BR114" s="18">
        <x:v>18775.626</x:v>
      </x:c>
      <x:c r="BS114" t="s">
        <x:v>78</x:v>
      </x:c>
      <x:c r="BT114" t="s">
        <x:v>78</x:v>
      </x:c>
      <x:c r="BU114" s="18">
        <x:v>8.8520000000000003</x:v>
      </x:c>
      <x:c r="BV114" s="18">
        <x:v>8.8520000000000003</x:v>
      </x:c>
      <x:c r="BW114" t="s">
        <x:v>78</x:v>
      </x:c>
      <x:c r="BX114" t="s">
        <x:v>78</x:v>
      </x:c>
      <x:c r="BY114" t="s">
        <x:v>78</x:v>
      </x:c>
      <x:c r="BZ114" t="s">
        <x:v>78</x:v>
      </x:c>
      <x:c r="CA114" s="23">
        <x:f t="shared" si="65"/>
        <x:v>2.78792E-2</x:v>
      </x:c>
      <x:c r="CB114" s="23">
        <x:f t="shared" si="66"/>
        <x:v>28.576180000000001</x:v>
      </x:c>
      <x:c r="CC114" s="23">
        <x:f t="shared" si="67"/>
        <x:v>9.0607399999999991</x:v>
      </x:c>
      <x:c r="CD114" s="23">
        <x:f t="shared" si="68"/>
        <x:v>0.20909400000000003</x:v>
      </x:c>
      <x:c r="CE114" s="23">
        <x:f t="shared" si="69"/>
        <x:v>0.20909400000000003</x:v>
      </x:c>
      <x:c r="CF114" s="23">
        <x:f t="shared" si="70"/>
        <x:v>0</x:v>
      </x:c>
      <x:c r="CG114" s="23">
        <x:f t="shared" si="71"/>
        <x:v>0</x:v>
      </x:c>
      <x:c r="CH114" s="23">
        <x:f t="shared" si="72"/>
        <x:v>0.13939599999999999</x:v>
      </x:c>
      <x:c r="CI114" s="23">
        <x:f t="shared" si="73"/>
        <x:v>0</x:v>
      </x:c>
      <x:c r="CJ114" s="24" t="s">
        <x:v>78</x:v>
      </x:c>
      <x:c r="CK114" s="25">
        <x:v>0</x:v>
      </x:c>
      <x:c r="CL114" s="26" t="s">
        <x:v>78</x:v>
      </x:c>
      <x:c r="CM114" s="26" t="n">
        <x:f>(1-BV114/BU114)*100</x:f>
        <x:v>0</x:v>
      </x:c>
      <x:c r="CN114" s="27" t="s">
        <x:v>78</x:v>
      </x:c>
      <x:c r="CO114" s="27">
        <x:v>0</x:v>
      </x:c>
      <x:c r="CP114" s="27">
        <x:v>0</x:v>
      </x:c>
      <x:c r="CQ114" s="26">
        <x:f t="shared" si="74"/>
        <x:v>2.78792E-2</x:v>
      </x:c>
      <x:c r="CR114" s="26">
        <x:f t="shared" si="75"/>
        <x:v>28.576180000000001</x:v>
      </x:c>
      <x:c r="CS114" s="26">
        <x:f t="shared" si="78"/>
        <x:v>9.0607399999999991</x:v>
      </x:c>
      <x:c r="CT114" s="26">
        <x:f t="shared" si="110"/>
        <x:v>0.20909400000000003</x:v>
      </x:c>
      <x:c r="CU114" s="26">
        <x:f t="shared" si="111"/>
        <x:v>0.20909400000000003</x:v>
      </x:c>
      <x:c r="CV114" s="26">
        <x:f t="shared" si="112"/>
        <x:v>0</x:v>
      </x:c>
      <x:c r="CW114" s="26">
        <x:f t="shared" si="113"/>
        <x:v>0</x:v>
      </x:c>
      <x:c r="CX114" s="26">
        <x:f t="shared" si="79"/>
        <x:v>0.13939599999999999</x:v>
      </x:c>
      <x:c r="CY114" s="26">
        <x:f t="shared" si="80"/>
        <x:v>0</x:v>
      </x:c>
    </x:row>
    <x:row r="115">
      <x:c r="A115" s="18">
        <x:v>2022</x:v>
      </x:c>
      <x:c r="B115" t="s">
        <x:v>298</x:v>
      </x:c>
      <x:c r="C115" t="s">
        <x:v>299</x:v>
      </x:c>
      <x:c r="D115" t="s">
        <x:v>300</x:v>
      </x:c>
      <x:c r="E115" s="18">
        <x:v>440405</x:v>
      </x:c>
      <x:c r="F115" t="s">
        <x:v>295</x:v>
      </x:c>
      <x:c r="G115" t="s">
        <x:v>296</x:v>
      </x:c>
      <x:c r="H115" s="18">
        <x:v>4511</x:v>
      </x:c>
      <x:c r="I115" t="s">
        <x:v>301</x:v>
      </x:c>
      <x:c r="J115" t="s">
        <x:v>78</x:v>
      </x:c>
      <x:c r="K115" t="s">
        <x:v>80</x:v>
      </x:c>
      <x:c r="L115" s="18">
        <x:v>0.96499999999999997</x:v>
      </x:c>
      <x:c r="M115" t="s">
        <x:v>78</x:v>
      </x:c>
      <x:c r="N115" s="18">
        <x:v>13.785</x:v>
      </x:c>
      <x:c r="O115" t="s">
        <x:v>74</x:v>
      </x:c>
      <x:c r="P115" s="18">
        <x:v>15</x:v>
      </x:c>
      <x:c r="Q115" s="19" t="s">
        <x:v>96</x:v>
      </x:c>
      <x:c r="R115" s="18">
        <x:v>534.72699999999998</x:v>
      </x:c>
      <x:c r="S115" t="s">
        <x:v>76</x:v>
      </x:c>
      <x:c r="T115" s="19">
        <x:f t="shared" si="114"/>
        <x:v>534.72699999999998</x:v>
      </x:c>
      <x:c r="U115" s="20">
        <x:v>2</x:v>
      </x:c>
      <x:c r="V115" t="s">
        <x:v>77</x:v>
      </x:c>
      <x:c r="W115" s="19" t="s">
        <x:v>78</x:v>
      </x:c>
      <x:c r="X115" s="21" t="n">
        <x:f>2*U115*T115*10000/1000000000</x:f>
        <x:v>0.02138908</x:v>
      </x:c>
      <x:c r="Y115" s="21" t="n">
        <x:f>4.1*T115*10000/1000000</x:f>
        <x:v>21.923806999999996</x:v>
      </x:c>
      <x:c r="Z115" s="21" t="n">
        <x:f>1.3*T115*10000/1000000</x:f>
        <x:v>6.951451</x:v>
      </x:c>
      <x:c r="AA115" s="21" t="n">
        <x:f>0.03*T115*10000/1000000</x:f>
        <x:v>0.16041809999999998</x:v>
      </x:c>
      <x:c r="AB115" s="21" t="n">
        <x:f>0.03*T115*10000/1000000</x:f>
        <x:v>0.16041809999999998</x:v>
      </x:c>
      <x:c r="AC115" s="21"/>
      <x:c r="AD115" s="21"/>
      <x:c r="AE115" s="21" t="n">
        <x:f>0.02*T115*10000/1000000</x:f>
        <x:v>0.1069454</x:v>
      </x:c>
      <x:c r="AF115" s="21"/>
      <x:c r="AG115" s="19" t="s">
        <x:v>78</x:v>
      </x:c>
      <x:c r="AH115" t="s">
        <x:v>78</x:v>
      </x:c>
      <x:c r="AI115" t="s">
        <x:v>78</x:v>
      </x:c>
      <x:c r="AJ115" s="19"/>
      <x:c r="AK115" s="19" t="s">
        <x:v>78</x:v>
      </x:c>
      <x:c r="AL115" t="s">
        <x:v>78</x:v>
      </x:c>
      <x:c r="AM115" s="19" t="s">
        <x:v>78</x:v>
      </x:c>
      <x:c r="AN115" s="21"/>
      <x:c r="AO115" s="21"/>
      <x:c r="AP115" s="21"/>
      <x:c r="AQ115" s="21"/>
      <x:c r="AR115" s="21"/>
      <x:c r="AS115" s="21"/>
      <x:c r="AT115" s="21"/>
      <x:c r="AU115" s="21"/>
      <x:c r="AV115" s="21"/>
      <x:c r="AW115" t="s">
        <x:v>78</x:v>
      </x:c>
      <x:c r="AX115" s="19"/>
      <x:c r="AY115" s="21"/>
      <x:c r="AZ115" s="21"/>
      <x:c r="BA115" s="21"/>
      <x:c r="BB115" s="21"/>
      <x:c r="BC115" s="21"/>
      <x:c r="BD115" s="21"/>
      <x:c r="BE115" s="21"/>
      <x:c r="BF115" s="21"/>
      <x:c r="BG115" s="21"/>
      <x:c r="BH115" t="s">
        <x:v>83</x:v>
      </x:c>
      <x:c r="BI115" s="18">
        <x:v>113</x:v>
      </x:c>
      <x:c r="BJ115" s="18">
        <x:v>27</x:v>
      </x:c>
      <x:c r="BK115" s="18">
        <x:v>7</x:v>
      </x:c>
      <x:c r="BL115" s="18">
        <x:v>22</x:v>
      </x:c>
      <x:c r="BM115" s="18">
        <x:v>7</x:v>
      </x:c>
      <x:c r="BN115" s="18">
        <x:v>53</x:v>
      </x:c>
      <x:c r="BO115" s="22">
        <x:v>113.451944444444</x:v>
      </x:c>
      <x:c r="BP115" s="22">
        <x:v>22.1313888888889</x:v>
      </x:c>
      <x:c r="BQ115" s="18">
        <x:v>15</x:v>
      </x:c>
      <x:c r="BR115" s="18">
        <x:v>14108.324000000001</x:v>
      </x:c>
      <x:c r="BS115" t="s">
        <x:v>78</x:v>
      </x:c>
      <x:c r="BT115" t="s">
        <x:v>78</x:v>
      </x:c>
      <x:c r="BU115" s="18">
        <x:v>6.7910000000000004</x:v>
      </x:c>
      <x:c r="BV115" s="18">
        <x:v>6.7910000000000004</x:v>
      </x:c>
      <x:c r="BW115" t="s">
        <x:v>78</x:v>
      </x:c>
      <x:c r="BX115" t="s">
        <x:v>78</x:v>
      </x:c>
      <x:c r="BY115" t="s">
        <x:v>78</x:v>
      </x:c>
      <x:c r="BZ115" t="s">
        <x:v>78</x:v>
      </x:c>
      <x:c r="CA115" s="23">
        <x:f t="shared" si="65"/>
        <x:v>2.1389080000000001E-2</x:v>
      </x:c>
      <x:c r="CB115" s="23">
        <x:f t="shared" si="66"/>
        <x:v>21.923806999999996</x:v>
      </x:c>
      <x:c r="CC115" s="23">
        <x:f t="shared" si="67"/>
        <x:v>6.9514509999999996</x:v>
      </x:c>
      <x:c r="CD115" s="23">
        <x:f t="shared" si="68"/>
        <x:v>0.16041809999999998</x:v>
      </x:c>
      <x:c r="CE115" s="23">
        <x:f t="shared" si="69"/>
        <x:v>0.16041809999999998</x:v>
      </x:c>
      <x:c r="CF115" s="23">
        <x:f t="shared" si="70"/>
        <x:v>0</x:v>
      </x:c>
      <x:c r="CG115" s="23">
        <x:f t="shared" si="71"/>
        <x:v>0</x:v>
      </x:c>
      <x:c r="CH115" s="23">
        <x:f t="shared" si="72"/>
        <x:v>0.1069454</x:v>
      </x:c>
      <x:c r="CI115" s="23">
        <x:f t="shared" si="73"/>
        <x:v>0</x:v>
      </x:c>
      <x:c r="CJ115" s="24" t="s">
        <x:v>78</x:v>
      </x:c>
      <x:c r="CK115" s="25">
        <x:v>0</x:v>
      </x:c>
      <x:c r="CL115" s="26" t="s">
        <x:v>78</x:v>
      </x:c>
      <x:c r="CM115" s="26" t="n">
        <x:f>(1-BV115/BU115)*100</x:f>
        <x:v>0</x:v>
      </x:c>
      <x:c r="CN115" s="27" t="s">
        <x:v>78</x:v>
      </x:c>
      <x:c r="CO115" s="27">
        <x:v>0</x:v>
      </x:c>
      <x:c r="CP115" s="27">
        <x:v>0</x:v>
      </x:c>
      <x:c r="CQ115" s="26">
        <x:f t="shared" si="74"/>
        <x:v>2.1389080000000001E-2</x:v>
      </x:c>
      <x:c r="CR115" s="26">
        <x:f t="shared" si="75"/>
        <x:v>21.923806999999996</x:v>
      </x:c>
      <x:c r="CS115" s="26">
        <x:f t="shared" si="78"/>
        <x:v>6.9514509999999996</x:v>
      </x:c>
      <x:c r="CT115" s="26">
        <x:f t="shared" si="110"/>
        <x:v>0.16041809999999998</x:v>
      </x:c>
      <x:c r="CU115" s="26">
        <x:f t="shared" si="111"/>
        <x:v>0.16041809999999998</x:v>
      </x:c>
      <x:c r="CV115" s="26">
        <x:f t="shared" si="112"/>
        <x:v>0</x:v>
      </x:c>
      <x:c r="CW115" s="26">
        <x:f t="shared" si="113"/>
        <x:v>0</x:v>
      </x:c>
      <x:c r="CX115" s="26">
        <x:f t="shared" si="79"/>
        <x:v>0.1069454</x:v>
      </x:c>
      <x:c r="CY115" s="26">
        <x:f t="shared" si="80"/>
        <x:v>0</x:v>
      </x:c>
    </x:row>
    <x:row r="116">
      <x:c r="A116" s="18">
        <x:v>2022</x:v>
      </x:c>
      <x:c r="B116" t="s">
        <x:v>302</x:v>
      </x:c>
      <x:c r="C116" t="s">
        <x:v>303</x:v>
      </x:c>
      <x:c r="D116" t="s">
        <x:v>304</x:v>
      </x:c>
      <x:c r="E116" s="18">
        <x:v>440406</x:v>
      </x:c>
      <x:c r="F116" t="s">
        <x:v>305</x:v>
      </x:c>
      <x:c r="G116" t="s">
        <x:v>296</x:v>
      </x:c>
      <x:c r="H116" s="18">
        <x:v>4411</x:v>
      </x:c>
      <x:c r="I116" t="s">
        <x:v>102</x:v>
      </x:c>
      <x:c r="J116" t="s">
        <x:v>78</x:v>
      </x:c>
      <x:c r="K116" t="s">
        <x:v>306</x:v>
      </x:c>
      <x:c r="L116" s="18">
        <x:v>7.1999999999999995E-2</x:v>
      </x:c>
      <x:c r="M116" t="s">
        <x:v>136</x:v>
      </x:c>
      <x:c r="N116" s="18">
        <x:v>1</x:v>
      </x:c>
      <x:c r="O116" t="s">
        <x:v>88</x:v>
      </x:c>
      <x:c r="P116" s="18">
        <x:v>21</x:v>
      </x:c>
      <x:c r="Q116" s="19" t="s">
        <x:v>176</x:v>
      </x:c>
      <x:c r="R116" s="18">
        <x:v>367.03</x:v>
      </x:c>
      <x:c r="S116" t="s">
        <x:v>112</x:v>
      </x:c>
      <x:c r="T116" s="19">
        <x:f t="shared" si="114"/>
        <x:v>367.03</x:v>
      </x:c>
      <x:c r="U116" s="20">
        <x:v>0.1</x:v>
      </x:c>
      <x:c r="V116" t="s">
        <x:v>113</x:v>
      </x:c>
      <x:c r="W116" s="19" t="s">
        <x:v>78</x:v>
      </x:c>
      <x:c r="X116" s="21" t="n">
        <x:f>2*U116/100*T116</x:f>
        <x:v>0.7340599999999999</x:v>
      </x:c>
      <x:c r="Y116" s="21" t="n">
        <x:f>7.4*T116/1000</x:f>
        <x:v>2.7160219999999997</x:v>
      </x:c>
      <x:c r="Z116" s="21" t="n">
        <x:f>0.6*T116/1000</x:f>
        <x:v>0.220218</x:v>
      </x:c>
      <x:c r="AA116" s="21" t="n">
        <x:f>0.5*T116/1000</x:f>
        <x:v>0.18351499999999998</x:v>
      </x:c>
      <x:c r="AB116" s="21" t="n">
        <x:f>0.5*T116/1000</x:f>
        <x:v>0.18351499999999998</x:v>
      </x:c>
      <x:c r="AC116" s="21" t="n">
        <x:f>0.01*T116/1000</x:f>
        <x:v>0.0036702999999999996</x:v>
      </x:c>
      <x:c r="AD116" s="21" t="n">
        <x:f>0.04*T116/1000</x:f>
        <x:v>0.014681199999999998</x:v>
      </x:c>
      <x:c r="AE116" s="21" t="n">
        <x:f>0.13*T116/1000</x:f>
        <x:v>0.0477139</x:v>
      </x:c>
      <x:c r="AF116" s="21"/>
      <x:c r="AG116" s="19" t="s">
        <x:v>78</x:v>
      </x:c>
      <x:c r="AH116" t="s">
        <x:v>78</x:v>
      </x:c>
      <x:c r="AI116" t="s">
        <x:v>78</x:v>
      </x:c>
      <x:c r="AJ116" s="19"/>
      <x:c r="AK116" s="19" t="s">
        <x:v>78</x:v>
      </x:c>
      <x:c r="AL116" t="s">
        <x:v>78</x:v>
      </x:c>
      <x:c r="AM116" s="19" t="s">
        <x:v>78</x:v>
      </x:c>
      <x:c r="AN116" s="21"/>
      <x:c r="AO116" s="21"/>
      <x:c r="AP116" s="21"/>
      <x:c r="AQ116" s="21"/>
      <x:c r="AR116" s="21"/>
      <x:c r="AS116" s="21"/>
      <x:c r="AT116" s="21"/>
      <x:c r="AU116" s="21"/>
      <x:c r="AV116" s="21"/>
      <x:c r="AW116" t="s">
        <x:v>78</x:v>
      </x:c>
      <x:c r="AX116" s="19"/>
      <x:c r="AY116" s="21"/>
      <x:c r="AZ116" s="21"/>
      <x:c r="BA116" s="21"/>
      <x:c r="BB116" s="21"/>
      <x:c r="BC116" s="21"/>
      <x:c r="BD116" s="21"/>
      <x:c r="BE116" s="21"/>
      <x:c r="BF116" s="21"/>
      <x:c r="BG116" s="21"/>
      <x:c r="BH116" t="s">
        <x:v>79</x:v>
      </x:c>
      <x:c r="BI116" s="18">
        <x:v>114</x:v>
      </x:c>
      <x:c r="BJ116" s="18">
        <x:v>2</x:v>
      </x:c>
      <x:c r="BK116" s="18">
        <x:v>13</x:v>
      </x:c>
      <x:c r="BL116" s="18">
        <x:v>22</x:v>
      </x:c>
      <x:c r="BM116" s="18">
        <x:v>5</x:v>
      </x:c>
      <x:c r="BN116" s="18">
        <x:v>49</x:v>
      </x:c>
      <x:c r="BO116" s="22">
        <x:v>114.036944444444</x:v>
      </x:c>
      <x:c r="BP116" s="22">
        <x:v>22.0969444444444</x:v>
      </x:c>
      <x:c r="BQ116" s="18">
        <x:v>15</x:v>
      </x:c>
      <x:c r="BR116" s="18">
        <x:v>1664</x:v>
      </x:c>
      <x:c r="BS116" s="18">
        <x:v>1.5449999999999999</x:v>
      </x:c>
      <x:c r="BT116" s="18">
        <x:v>1.5449999999999999</x:v>
      </x:c>
      <x:c r="BU116" s="18">
        <x:v>1.252</x:v>
      </x:c>
      <x:c r="BV116" s="18">
        <x:v>1.252</x:v>
      </x:c>
      <x:c r="BW116" s="18">
        <x:v>9.1999999999999998E-2</x:v>
      </x:c>
      <x:c r="BX116" s="18">
        <x:v>9.1999999999999998E-2</x:v>
      </x:c>
      <x:c r="BY116" s="18">
        <x:v>40.006</x:v>
      </x:c>
      <x:c r="BZ116" s="18">
        <x:v>40.006</x:v>
      </x:c>
      <x:c r="CA116" s="23">
        <x:f t="shared" si="65"/>
        <x:v>0.73405999999999993</x:v>
      </x:c>
      <x:c r="CB116" s="23">
        <x:f t="shared" si="66"/>
        <x:v>2.7160219999999997</x:v>
      </x:c>
      <x:c r="CC116" s="23">
        <x:f t="shared" si="67"/>
        <x:v>0.220218</x:v>
      </x:c>
      <x:c r="CD116" s="23">
        <x:f t="shared" si="68"/>
        <x:v>0.18351499999999998</x:v>
      </x:c>
      <x:c r="CE116" s="23">
        <x:f t="shared" si="69"/>
        <x:v>0.18351499999999998</x:v>
      </x:c>
      <x:c r="CF116" s="23">
        <x:f t="shared" si="70"/>
        <x:v>3.6702999999999996E-3</x:v>
      </x:c>
      <x:c r="CG116" s="23">
        <x:f t="shared" si="71"/>
        <x:v>1.4681199999999998E-2</x:v>
      </x:c>
      <x:c r="CH116" s="23">
        <x:f t="shared" si="72"/>
        <x:v>4.7713899999999997E-2</x:v>
      </x:c>
      <x:c r="CI116" s="23">
        <x:f t="shared" si="73"/>
        <x:v>0</x:v>
      </x:c>
      <x:c r="CJ116" s="24" t="s">
        <x:v>78</x:v>
      </x:c>
      <x:c r="CK116" s="25">
        <x:v>0</x:v>
      </x:c>
      <x:c r="CL116" s="26" t="s">
        <x:v>78</x:v>
      </x:c>
      <x:c r="CM116" s="26">
        <x:v>42</x:v>
      </x:c>
      <x:c r="CN116" s="27" t="s">
        <x:v>78</x:v>
      </x:c>
      <x:c r="CO116" s="27">
        <x:v>0</x:v>
      </x:c>
      <x:c r="CP116" s="27">
        <x:v>0</x:v>
      </x:c>
      <x:c r="CQ116" s="26">
        <x:f t="shared" si="74"/>
        <x:v>0.73405999999999993</x:v>
      </x:c>
      <x:c r="CR116" s="26">
        <x:f t="shared" si="75"/>
        <x:v>1.57529276</x:v>
      </x:c>
      <x:c r="CS116" s="26">
        <x:f t="shared" si="78"/>
        <x:v>0.220218</x:v>
      </x:c>
      <x:c r="CT116" s="26">
        <x:f t="shared" si="110"/>
        <x:v>0.18351499999999998</x:v>
      </x:c>
      <x:c r="CU116" s="26">
        <x:f t="shared" si="111"/>
        <x:v>0.18351499999999998</x:v>
      </x:c>
      <x:c r="CV116" s="26">
        <x:f t="shared" si="112"/>
        <x:v>3.6702999999999996E-3</x:v>
      </x:c>
      <x:c r="CW116" s="26">
        <x:f t="shared" si="113"/>
        <x:v>1.4681199999999998E-2</x:v>
      </x:c>
      <x:c r="CX116" s="26">
        <x:f t="shared" si="79"/>
        <x:v>4.7713899999999997E-2</x:v>
      </x:c>
      <x:c r="CY116" s="26">
        <x:f t="shared" si="80"/>
        <x:v>0</x:v>
      </x:c>
    </x:row>
    <x:row r="117">
      <x:c r="A117" s="18">
        <x:v>2022</x:v>
      </x:c>
      <x:c r="B117" t="s">
        <x:v>302</x:v>
      </x:c>
      <x:c r="C117" t="s">
        <x:v>303</x:v>
      </x:c>
      <x:c r="D117" t="s">
        <x:v>304</x:v>
      </x:c>
      <x:c r="E117" s="18">
        <x:v>440406</x:v>
      </x:c>
      <x:c r="F117" t="s">
        <x:v>305</x:v>
      </x:c>
      <x:c r="G117" t="s">
        <x:v>296</x:v>
      </x:c>
      <x:c r="H117" s="18">
        <x:v>4411</x:v>
      </x:c>
      <x:c r="I117" t="s">
        <x:v>102</x:v>
      </x:c>
      <x:c r="J117" t="s">
        <x:v>78</x:v>
      </x:c>
      <x:c r="K117" t="s">
        <x:v>306</x:v>
      </x:c>
      <x:c r="L117" s="18">
        <x:v>0.16</x:v>
      </x:c>
      <x:c r="M117" t="s">
        <x:v>136</x:v>
      </x:c>
      <x:c r="N117" s="18">
        <x:v>2</x:v>
      </x:c>
      <x:c r="O117" t="s">
        <x:v>88</x:v>
      </x:c>
      <x:c r="P117" s="18">
        <x:v>21</x:v>
      </x:c>
      <x:c r="Q117" s="19" t="s">
        <x:v>176</x:v>
      </x:c>
      <x:c r="R117" s="18">
        <x:v>367.03</x:v>
      </x:c>
      <x:c r="S117" t="s">
        <x:v>112</x:v>
      </x:c>
      <x:c r="T117" s="19" t="n">
        <x:f t="shared" ref="T117:T123" si="117">R117</x:f>
        <x:v>367.03</x:v>
      </x:c>
      <x:c r="U117" s="20">
        <x:v>0.1</x:v>
      </x:c>
      <x:c r="V117" t="s">
        <x:v>113</x:v>
      </x:c>
      <x:c r="W117" s="19" t="s">
        <x:v>78</x:v>
      </x:c>
      <x:c r="X117" s="21" t="n">
        <x:f>2*U117/100*T117</x:f>
        <x:v>0.7340599999999999</x:v>
      </x:c>
      <x:c r="Y117" s="21" t="n">
        <x:f>7.4*T117/1000</x:f>
        <x:v>2.7160219999999997</x:v>
      </x:c>
      <x:c r="Z117" s="21" t="n">
        <x:f>0.6*T117/1000</x:f>
        <x:v>0.220218</x:v>
      </x:c>
      <x:c r="AA117" s="21" t="n">
        <x:f>0.5*T117/1000</x:f>
        <x:v>0.18351499999999998</x:v>
      </x:c>
      <x:c r="AB117" s="21" t="n">
        <x:f>0.5*T117/1000</x:f>
        <x:v>0.18351499999999998</x:v>
      </x:c>
      <x:c r="AC117" s="21" t="n">
        <x:f>0.01*T117/1000</x:f>
        <x:v>0.0036702999999999996</x:v>
      </x:c>
      <x:c r="AD117" s="21" t="n">
        <x:f>0.04*T117/1000</x:f>
        <x:v>0.014681199999999998</x:v>
      </x:c>
      <x:c r="AE117" s="21" t="n">
        <x:f>0.13*T117/1000</x:f>
        <x:v>0.0477139</x:v>
      </x:c>
      <x:c r="AF117" s="21"/>
      <x:c r="AG117" s="19" t="s">
        <x:v>78</x:v>
      </x:c>
      <x:c r="AH117" t="s">
        <x:v>78</x:v>
      </x:c>
      <x:c r="AI117" t="s">
        <x:v>78</x:v>
      </x:c>
      <x:c r="AJ117" s="19"/>
      <x:c r="AK117" s="19" t="s">
        <x:v>78</x:v>
      </x:c>
      <x:c r="AL117" t="s">
        <x:v>78</x:v>
      </x:c>
      <x:c r="AM117" s="19" t="s">
        <x:v>78</x:v>
      </x:c>
      <x:c r="AN117" s="21"/>
      <x:c r="AO117" s="21"/>
      <x:c r="AP117" s="21"/>
      <x:c r="AQ117" s="21"/>
      <x:c r="AR117" s="21"/>
      <x:c r="AS117" s="21"/>
      <x:c r="AT117" s="21"/>
      <x:c r="AU117" s="21"/>
      <x:c r="AV117" s="21"/>
      <x:c r="AW117" t="s">
        <x:v>78</x:v>
      </x:c>
      <x:c r="AX117" s="19"/>
      <x:c r="AY117" s="21"/>
      <x:c r="AZ117" s="21"/>
      <x:c r="BA117" s="21"/>
      <x:c r="BB117" s="21"/>
      <x:c r="BC117" s="21"/>
      <x:c r="BD117" s="21"/>
      <x:c r="BE117" s="21"/>
      <x:c r="BF117" s="21"/>
      <x:c r="BG117" s="21"/>
      <x:c r="BH117" t="s">
        <x:v>83</x:v>
      </x:c>
      <x:c r="BI117" s="18">
        <x:v>114</x:v>
      </x:c>
      <x:c r="BJ117" s="18">
        <x:v>2</x:v>
      </x:c>
      <x:c r="BK117" s="18">
        <x:v>13</x:v>
      </x:c>
      <x:c r="BL117" s="18">
        <x:v>22</x:v>
      </x:c>
      <x:c r="BM117" s="18">
        <x:v>5</x:v>
      </x:c>
      <x:c r="BN117" s="18">
        <x:v>49</x:v>
      </x:c>
      <x:c r="BO117" s="22">
        <x:v>114.036944444444</x:v>
      </x:c>
      <x:c r="BP117" s="22">
        <x:v>22.0969444444444</x:v>
      </x:c>
      <x:c r="BQ117" s="18">
        <x:v>15</x:v>
      </x:c>
      <x:c r="BR117" s="18">
        <x:v>6108</x:v>
      </x:c>
      <x:c r="BS117" s="18">
        <x:v>1.5449999999999999</x:v>
      </x:c>
      <x:c r="BT117" s="18">
        <x:v>1.5449999999999999</x:v>
      </x:c>
      <x:c r="BU117" s="18">
        <x:v>1.252</x:v>
      </x:c>
      <x:c r="BV117" s="18">
        <x:v>1.252</x:v>
      </x:c>
      <x:c r="BW117" s="18">
        <x:v>9.1999999999999998E-2</x:v>
      </x:c>
      <x:c r="BX117" s="18">
        <x:v>9.1999999999999998E-2</x:v>
      </x:c>
      <x:c r="BY117" s="18">
        <x:v>40.006</x:v>
      </x:c>
      <x:c r="BZ117" s="18">
        <x:v>40.006</x:v>
      </x:c>
      <x:c r="CA117" s="23">
        <x:f t="shared" si="65"/>
        <x:v>0.73405999999999993</x:v>
      </x:c>
      <x:c r="CB117" s="23">
        <x:f t="shared" si="66"/>
        <x:v>2.7160219999999997</x:v>
      </x:c>
      <x:c r="CC117" s="23">
        <x:f t="shared" si="67"/>
        <x:v>0.220218</x:v>
      </x:c>
      <x:c r="CD117" s="23">
        <x:f t="shared" si="68"/>
        <x:v>0.18351499999999998</x:v>
      </x:c>
      <x:c r="CE117" s="23">
        <x:f t="shared" si="69"/>
        <x:v>0.18351499999999998</x:v>
      </x:c>
      <x:c r="CF117" s="23">
        <x:f t="shared" si="70"/>
        <x:v>3.6702999999999996E-3</x:v>
      </x:c>
      <x:c r="CG117" s="23">
        <x:f t="shared" si="71"/>
        <x:v>1.4681199999999998E-2</x:v>
      </x:c>
      <x:c r="CH117" s="23">
        <x:f t="shared" si="72"/>
        <x:v>4.7713899999999997E-2</x:v>
      </x:c>
      <x:c r="CI117" s="23">
        <x:f t="shared" si="73"/>
        <x:v>0</x:v>
      </x:c>
      <x:c r="CJ117" s="24" t="s">
        <x:v>78</x:v>
      </x:c>
      <x:c r="CK117" s="25">
        <x:v>0</x:v>
      </x:c>
      <x:c r="CL117" s="26" t="s">
        <x:v>78</x:v>
      </x:c>
      <x:c r="CM117" s="26">
        <x:v>42</x:v>
      </x:c>
      <x:c r="CN117" s="27" t="s">
        <x:v>78</x:v>
      </x:c>
      <x:c r="CO117" s="27">
        <x:v>0</x:v>
      </x:c>
      <x:c r="CP117" s="27">
        <x:v>0</x:v>
      </x:c>
      <x:c r="CQ117" s="26">
        <x:f t="shared" si="74"/>
        <x:v>0.73405999999999993</x:v>
      </x:c>
      <x:c r="CR117" s="26">
        <x:f t="shared" si="75"/>
        <x:v>1.57529276</x:v>
      </x:c>
      <x:c r="CS117" s="26">
        <x:f t="shared" si="78"/>
        <x:v>0.220218</x:v>
      </x:c>
      <x:c r="CT117" s="26">
        <x:f t="shared" si="110"/>
        <x:v>0.18351499999999998</x:v>
      </x:c>
      <x:c r="CU117" s="26">
        <x:f t="shared" si="111"/>
        <x:v>0.18351499999999998</x:v>
      </x:c>
      <x:c r="CV117" s="26">
        <x:f t="shared" si="112"/>
        <x:v>3.6702999999999996E-3</x:v>
      </x:c>
      <x:c r="CW117" s="26">
        <x:f t="shared" si="113"/>
        <x:v>1.4681199999999998E-2</x:v>
      </x:c>
      <x:c r="CX117" s="26">
        <x:f t="shared" si="79"/>
        <x:v>4.7713899999999997E-2</x:v>
      </x:c>
      <x:c r="CY117" s="26">
        <x:f t="shared" si="80"/>
        <x:v>0</x:v>
      </x:c>
    </x:row>
    <x:row r="118">
      <x:c r="A118" s="18">
        <x:v>2022</x:v>
      </x:c>
      <x:c r="B118" t="s">
        <x:v>302</x:v>
      </x:c>
      <x:c r="C118" t="s">
        <x:v>303</x:v>
      </x:c>
      <x:c r="D118" t="s">
        <x:v>304</x:v>
      </x:c>
      <x:c r="E118" s="18">
        <x:v>440406</x:v>
      </x:c>
      <x:c r="F118" t="s">
        <x:v>305</x:v>
      </x:c>
      <x:c r="G118" t="s">
        <x:v>296</x:v>
      </x:c>
      <x:c r="H118" s="18">
        <x:v>4411</x:v>
      </x:c>
      <x:c r="I118" t="s">
        <x:v>102</x:v>
      </x:c>
      <x:c r="J118" t="s">
        <x:v>78</x:v>
      </x:c>
      <x:c r="K118" t="s">
        <x:v>306</x:v>
      </x:c>
      <x:c r="L118" s="18">
        <x:v>6.5000000000000002E-2</x:v>
      </x:c>
      <x:c r="M118" t="s">
        <x:v>136</x:v>
      </x:c>
      <x:c r="N118" s="18">
        <x:v>1</x:v>
      </x:c>
      <x:c r="O118" t="s">
        <x:v>88</x:v>
      </x:c>
      <x:c r="P118" s="18">
        <x:v>21</x:v>
      </x:c>
      <x:c r="Q118" s="19" t="s">
        <x:v>176</x:v>
      </x:c>
      <x:c r="R118" s="18">
        <x:v>367.03</x:v>
      </x:c>
      <x:c r="S118" t="s">
        <x:v>112</x:v>
      </x:c>
      <x:c r="T118" s="19">
        <x:f t="shared" si="117"/>
        <x:v>367.03</x:v>
      </x:c>
      <x:c r="U118" s="20">
        <x:v>0.1</x:v>
      </x:c>
      <x:c r="V118" t="s">
        <x:v>113</x:v>
      </x:c>
      <x:c r="W118" s="19" t="s">
        <x:v>78</x:v>
      </x:c>
      <x:c r="X118" s="21" t="n">
        <x:f>2*U118/100*T118</x:f>
        <x:v>0.7340599999999999</x:v>
      </x:c>
      <x:c r="Y118" s="21" t="n">
        <x:f>7.4*T118/1000</x:f>
        <x:v>2.7160219999999997</x:v>
      </x:c>
      <x:c r="Z118" s="21" t="n">
        <x:f>0.6*T118/1000</x:f>
        <x:v>0.220218</x:v>
      </x:c>
      <x:c r="AA118" s="21" t="n">
        <x:f>0.5*T118/1000</x:f>
        <x:v>0.18351499999999998</x:v>
      </x:c>
      <x:c r="AB118" s="21" t="n">
        <x:f>0.5*T118/1000</x:f>
        <x:v>0.18351499999999998</x:v>
      </x:c>
      <x:c r="AC118" s="21" t="n">
        <x:f>0.01*T118/1000</x:f>
        <x:v>0.0036702999999999996</x:v>
      </x:c>
      <x:c r="AD118" s="21" t="n">
        <x:f>0.04*T118/1000</x:f>
        <x:v>0.014681199999999998</x:v>
      </x:c>
      <x:c r="AE118" s="21" t="n">
        <x:f>0.13*T118/1000</x:f>
        <x:v>0.0477139</x:v>
      </x:c>
      <x:c r="AF118" s="21"/>
      <x:c r="AG118" s="19" t="s">
        <x:v>78</x:v>
      </x:c>
      <x:c r="AH118" t="s">
        <x:v>78</x:v>
      </x:c>
      <x:c r="AI118" t="s">
        <x:v>78</x:v>
      </x:c>
      <x:c r="AJ118" s="19"/>
      <x:c r="AK118" s="19" t="s">
        <x:v>78</x:v>
      </x:c>
      <x:c r="AL118" t="s">
        <x:v>78</x:v>
      </x:c>
      <x:c r="AM118" s="19" t="s">
        <x:v>78</x:v>
      </x:c>
      <x:c r="AN118" s="21"/>
      <x:c r="AO118" s="21"/>
      <x:c r="AP118" s="21"/>
      <x:c r="AQ118" s="21"/>
      <x:c r="AR118" s="21"/>
      <x:c r="AS118" s="21"/>
      <x:c r="AT118" s="21"/>
      <x:c r="AU118" s="21"/>
      <x:c r="AV118" s="21"/>
      <x:c r="AW118" t="s">
        <x:v>78</x:v>
      </x:c>
      <x:c r="AX118" s="19"/>
      <x:c r="AY118" s="21"/>
      <x:c r="AZ118" s="21"/>
      <x:c r="BA118" s="21"/>
      <x:c r="BB118" s="21"/>
      <x:c r="BC118" s="21"/>
      <x:c r="BD118" s="21"/>
      <x:c r="BE118" s="21"/>
      <x:c r="BF118" s="21"/>
      <x:c r="BG118" s="21"/>
      <x:c r="BH118" t="s">
        <x:v>89</x:v>
      </x:c>
      <x:c r="BI118" s="18">
        <x:v>114</x:v>
      </x:c>
      <x:c r="BJ118" s="18">
        <x:v>2</x:v>
      </x:c>
      <x:c r="BK118" s="18">
        <x:v>13</x:v>
      </x:c>
      <x:c r="BL118" s="18">
        <x:v>22</x:v>
      </x:c>
      <x:c r="BM118" s="18">
        <x:v>5</x:v>
      </x:c>
      <x:c r="BN118" s="18">
        <x:v>49</x:v>
      </x:c>
      <x:c r="BO118" s="22">
        <x:v>114.036944444444</x:v>
      </x:c>
      <x:c r="BP118" s="22">
        <x:v>22.0969444444444</x:v>
      </x:c>
      <x:c r="BQ118" s="18">
        <x:v>15</x:v>
      </x:c>
      <x:c r="BR118" s="18">
        <x:v>1547</x:v>
      </x:c>
      <x:c r="BS118" s="18">
        <x:v>1.5449999999999999</x:v>
      </x:c>
      <x:c r="BT118" s="18">
        <x:v>1.5449999999999999</x:v>
      </x:c>
      <x:c r="BU118" s="18">
        <x:v>1.252</x:v>
      </x:c>
      <x:c r="BV118" s="18">
        <x:v>1.252</x:v>
      </x:c>
      <x:c r="BW118" s="18">
        <x:v>9.1999999999999998E-2</x:v>
      </x:c>
      <x:c r="BX118" s="18">
        <x:v>9.1999999999999998E-2</x:v>
      </x:c>
      <x:c r="BY118" s="18">
        <x:v>40.006</x:v>
      </x:c>
      <x:c r="BZ118" s="18">
        <x:v>40.006</x:v>
      </x:c>
      <x:c r="CA118" s="23">
        <x:f t="shared" si="65"/>
        <x:v>0.73405999999999993</x:v>
      </x:c>
      <x:c r="CB118" s="23">
        <x:f t="shared" si="66"/>
        <x:v>2.7160219999999997</x:v>
      </x:c>
      <x:c r="CC118" s="23">
        <x:f t="shared" si="67"/>
        <x:v>0.220218</x:v>
      </x:c>
      <x:c r="CD118" s="23">
        <x:f t="shared" si="68"/>
        <x:v>0.18351499999999998</x:v>
      </x:c>
      <x:c r="CE118" s="23">
        <x:f t="shared" si="69"/>
        <x:v>0.18351499999999998</x:v>
      </x:c>
      <x:c r="CF118" s="23">
        <x:f t="shared" si="70"/>
        <x:v>3.6702999999999996E-3</x:v>
      </x:c>
      <x:c r="CG118" s="23">
        <x:f t="shared" si="71"/>
        <x:v>1.4681199999999998E-2</x:v>
      </x:c>
      <x:c r="CH118" s="23">
        <x:f t="shared" si="72"/>
        <x:v>4.7713899999999997E-2</x:v>
      </x:c>
      <x:c r="CI118" s="23">
        <x:f t="shared" si="73"/>
        <x:v>0</x:v>
      </x:c>
      <x:c r="CJ118" s="24" t="s">
        <x:v>78</x:v>
      </x:c>
      <x:c r="CK118" s="25">
        <x:v>0</x:v>
      </x:c>
      <x:c r="CL118" s="26" t="s">
        <x:v>78</x:v>
      </x:c>
      <x:c r="CM118" s="26">
        <x:v>42</x:v>
      </x:c>
      <x:c r="CN118" s="27" t="s">
        <x:v>78</x:v>
      </x:c>
      <x:c r="CO118" s="27">
        <x:v>0</x:v>
      </x:c>
      <x:c r="CP118" s="27">
        <x:v>0</x:v>
      </x:c>
      <x:c r="CQ118" s="26">
        <x:f t="shared" si="74"/>
        <x:v>0.73405999999999993</x:v>
      </x:c>
      <x:c r="CR118" s="26">
        <x:f t="shared" si="75"/>
        <x:v>1.57529276</x:v>
      </x:c>
      <x:c r="CS118" s="26">
        <x:f t="shared" si="78"/>
        <x:v>0.220218</x:v>
      </x:c>
      <x:c r="CT118" s="26">
        <x:f t="shared" si="110"/>
        <x:v>0.18351499999999998</x:v>
      </x:c>
      <x:c r="CU118" s="26">
        <x:f t="shared" si="111"/>
        <x:v>0.18351499999999998</x:v>
      </x:c>
      <x:c r="CV118" s="26">
        <x:f t="shared" si="112"/>
        <x:v>3.6702999999999996E-3</x:v>
      </x:c>
      <x:c r="CW118" s="26">
        <x:f t="shared" si="113"/>
        <x:v>1.4681199999999998E-2</x:v>
      </x:c>
      <x:c r="CX118" s="26">
        <x:f t="shared" si="79"/>
        <x:v>4.7713899999999997E-2</x:v>
      </x:c>
      <x:c r="CY118" s="26">
        <x:f t="shared" si="80"/>
        <x:v>0</x:v>
      </x:c>
    </x:row>
    <x:row r="119">
      <x:c r="A119" s="18">
        <x:v>2022</x:v>
      </x:c>
      <x:c r="B119" t="s">
        <x:v>302</x:v>
      </x:c>
      <x:c r="C119" t="s">
        <x:v>303</x:v>
      </x:c>
      <x:c r="D119" t="s">
        <x:v>304</x:v>
      </x:c>
      <x:c r="E119" s="18">
        <x:v>440406</x:v>
      </x:c>
      <x:c r="F119" t="s">
        <x:v>305</x:v>
      </x:c>
      <x:c r="G119" t="s">
        <x:v>296</x:v>
      </x:c>
      <x:c r="H119" s="18">
        <x:v>4411</x:v>
      </x:c>
      <x:c r="I119" t="s">
        <x:v>102</x:v>
      </x:c>
      <x:c r="J119" t="s">
        <x:v>78</x:v>
      </x:c>
      <x:c r="K119" t="s">
        <x:v>306</x:v>
      </x:c>
      <x:c r="L119" s="18">
        <x:v>6.5000000000000002E-2</x:v>
      </x:c>
      <x:c r="M119" t="s">
        <x:v>136</x:v>
      </x:c>
      <x:c r="N119" s="18">
        <x:v>2</x:v>
      </x:c>
      <x:c r="O119" t="s">
        <x:v>88</x:v>
      </x:c>
      <x:c r="P119" s="18">
        <x:v>21</x:v>
      </x:c>
      <x:c r="Q119" s="19" t="s">
        <x:v>176</x:v>
      </x:c>
      <x:c r="R119" s="18">
        <x:v>367.03</x:v>
      </x:c>
      <x:c r="S119" t="s">
        <x:v>112</x:v>
      </x:c>
      <x:c r="T119" s="19">
        <x:f t="shared" si="117"/>
        <x:v>367.03</x:v>
      </x:c>
      <x:c r="U119" s="20">
        <x:v>0.1</x:v>
      </x:c>
      <x:c r="V119" t="s">
        <x:v>113</x:v>
      </x:c>
      <x:c r="W119" s="19" t="s">
        <x:v>78</x:v>
      </x:c>
      <x:c r="X119" s="21" t="n">
        <x:f>2*U119/100*T119</x:f>
        <x:v>0.7340599999999999</x:v>
      </x:c>
      <x:c r="Y119" s="21" t="n">
        <x:f>7.4*T119/1000</x:f>
        <x:v>2.7160219999999997</x:v>
      </x:c>
      <x:c r="Z119" s="21" t="n">
        <x:f>0.6*T119/1000</x:f>
        <x:v>0.220218</x:v>
      </x:c>
      <x:c r="AA119" s="21" t="n">
        <x:f>0.5*T119/1000</x:f>
        <x:v>0.18351499999999998</x:v>
      </x:c>
      <x:c r="AB119" s="21" t="n">
        <x:f>0.5*T119/1000</x:f>
        <x:v>0.18351499999999998</x:v>
      </x:c>
      <x:c r="AC119" s="21" t="n">
        <x:f>0.01*T119/1000</x:f>
        <x:v>0.0036702999999999996</x:v>
      </x:c>
      <x:c r="AD119" s="21" t="n">
        <x:f>0.04*T119/1000</x:f>
        <x:v>0.014681199999999998</x:v>
      </x:c>
      <x:c r="AE119" s="21" t="n">
        <x:f>0.13*T119/1000</x:f>
        <x:v>0.0477139</x:v>
      </x:c>
      <x:c r="AF119" s="21"/>
      <x:c r="AG119" s="19" t="s">
        <x:v>78</x:v>
      </x:c>
      <x:c r="AH119" t="s">
        <x:v>78</x:v>
      </x:c>
      <x:c r="AI119" t="s">
        <x:v>78</x:v>
      </x:c>
      <x:c r="AJ119" s="19"/>
      <x:c r="AK119" s="19" t="s">
        <x:v>78</x:v>
      </x:c>
      <x:c r="AL119" t="s">
        <x:v>78</x:v>
      </x:c>
      <x:c r="AM119" s="19" t="s">
        <x:v>78</x:v>
      </x:c>
      <x:c r="AN119" s="21"/>
      <x:c r="AO119" s="21"/>
      <x:c r="AP119" s="21"/>
      <x:c r="AQ119" s="21"/>
      <x:c r="AR119" s="21"/>
      <x:c r="AS119" s="21"/>
      <x:c r="AT119" s="21"/>
      <x:c r="AU119" s="21"/>
      <x:c r="AV119" s="21"/>
      <x:c r="AW119" t="s">
        <x:v>78</x:v>
      </x:c>
      <x:c r="AX119" s="19"/>
      <x:c r="AY119" s="21"/>
      <x:c r="AZ119" s="21"/>
      <x:c r="BA119" s="21"/>
      <x:c r="BB119" s="21"/>
      <x:c r="BC119" s="21"/>
      <x:c r="BD119" s="21"/>
      <x:c r="BE119" s="21"/>
      <x:c r="BF119" s="21"/>
      <x:c r="BG119" s="21"/>
      <x:c r="BH119" t="s">
        <x:v>90</x:v>
      </x:c>
      <x:c r="BI119" s="18">
        <x:v>114</x:v>
      </x:c>
      <x:c r="BJ119" s="18">
        <x:v>2</x:v>
      </x:c>
      <x:c r="BK119" s="18">
        <x:v>12</x:v>
      </x:c>
      <x:c r="BL119" s="18">
        <x:v>22</x:v>
      </x:c>
      <x:c r="BM119" s="18">
        <x:v>5</x:v>
      </x:c>
      <x:c r="BN119" s="18">
        <x:v>49</x:v>
      </x:c>
      <x:c r="BO119" s="22">
        <x:v>114.036666666667</x:v>
      </x:c>
      <x:c r="BP119" s="22">
        <x:v>22.0969444444444</x:v>
      </x:c>
      <x:c r="BQ119" s="18">
        <x:v>15</x:v>
      </x:c>
      <x:c r="BR119" s="18">
        <x:v>1592</x:v>
      </x:c>
      <x:c r="BS119" s="18">
        <x:v>1.5449999999999999</x:v>
      </x:c>
      <x:c r="BT119" s="18">
        <x:v>1.5449999999999999</x:v>
      </x:c>
      <x:c r="BU119" s="18">
        <x:v>1.252</x:v>
      </x:c>
      <x:c r="BV119" s="18">
        <x:v>1.252</x:v>
      </x:c>
      <x:c r="BW119" s="18">
        <x:v>9.1999999999999998E-2</x:v>
      </x:c>
      <x:c r="BX119" s="18">
        <x:v>9.1999999999999998E-2</x:v>
      </x:c>
      <x:c r="BY119" s="18">
        <x:v>40.006</x:v>
      </x:c>
      <x:c r="BZ119" s="18">
        <x:v>40.006</x:v>
      </x:c>
      <x:c r="CA119" s="23">
        <x:f t="shared" si="65"/>
        <x:v>0.73405999999999993</x:v>
      </x:c>
      <x:c r="CB119" s="23">
        <x:f t="shared" si="66"/>
        <x:v>2.7160219999999997</x:v>
      </x:c>
      <x:c r="CC119" s="23">
        <x:f t="shared" si="67"/>
        <x:v>0.220218</x:v>
      </x:c>
      <x:c r="CD119" s="23">
        <x:f t="shared" si="68"/>
        <x:v>0.18351499999999998</x:v>
      </x:c>
      <x:c r="CE119" s="23">
        <x:f t="shared" si="69"/>
        <x:v>0.18351499999999998</x:v>
      </x:c>
      <x:c r="CF119" s="23">
        <x:f t="shared" si="70"/>
        <x:v>3.6702999999999996E-3</x:v>
      </x:c>
      <x:c r="CG119" s="23">
        <x:f t="shared" si="71"/>
        <x:v>1.4681199999999998E-2</x:v>
      </x:c>
      <x:c r="CH119" s="23">
        <x:f t="shared" si="72"/>
        <x:v>4.7713899999999997E-2</x:v>
      </x:c>
      <x:c r="CI119" s="23">
        <x:f t="shared" si="73"/>
        <x:v>0</x:v>
      </x:c>
      <x:c r="CJ119" s="24" t="s">
        <x:v>78</x:v>
      </x:c>
      <x:c r="CK119" s="25">
        <x:v>0</x:v>
      </x:c>
      <x:c r="CL119" s="26" t="s">
        <x:v>78</x:v>
      </x:c>
      <x:c r="CM119" s="26">
        <x:v>42</x:v>
      </x:c>
      <x:c r="CN119" s="27" t="s">
        <x:v>78</x:v>
      </x:c>
      <x:c r="CO119" s="27">
        <x:v>0</x:v>
      </x:c>
      <x:c r="CP119" s="27">
        <x:v>0</x:v>
      </x:c>
      <x:c r="CQ119" s="26">
        <x:f t="shared" si="74"/>
        <x:v>0.73405999999999993</x:v>
      </x:c>
      <x:c r="CR119" s="26">
        <x:f t="shared" si="75"/>
        <x:v>1.57529276</x:v>
      </x:c>
      <x:c r="CS119" s="26">
        <x:f t="shared" si="78"/>
        <x:v>0.220218</x:v>
      </x:c>
      <x:c r="CT119" s="26">
        <x:f t="shared" si="110"/>
        <x:v>0.18351499999999998</x:v>
      </x:c>
      <x:c r="CU119" s="26">
        <x:f t="shared" si="111"/>
        <x:v>0.18351499999999998</x:v>
      </x:c>
      <x:c r="CV119" s="26">
        <x:f t="shared" si="112"/>
        <x:v>3.6702999999999996E-3</x:v>
      </x:c>
      <x:c r="CW119" s="26">
        <x:f t="shared" si="113"/>
        <x:v>1.4681199999999998E-2</x:v>
      </x:c>
      <x:c r="CX119" s="26">
        <x:f t="shared" si="79"/>
        <x:v>4.7713899999999997E-2</x:v>
      </x:c>
      <x:c r="CY119" s="26">
        <x:f t="shared" si="80"/>
        <x:v>0</x:v>
      </x:c>
    </x:row>
    <x:row r="120">
      <x:c r="A120" s="18">
        <x:v>2022</x:v>
      </x:c>
      <x:c r="B120" t="s">
        <x:v>307</x:v>
      </x:c>
      <x:c r="C120" t="s">
        <x:v>308</x:v>
      </x:c>
      <x:c r="D120" t="s">
        <x:v>309</x:v>
      </x:c>
      <x:c r="E120" s="18">
        <x:v>440407</x:v>
      </x:c>
      <x:c r="F120" t="s">
        <x:v>310</x:v>
      </x:c>
      <x:c r="G120" t="s">
        <x:v>296</x:v>
      </x:c>
      <x:c r="H120" s="18">
        <x:v>4411</x:v>
      </x:c>
      <x:c r="I120" t="s">
        <x:v>102</x:v>
      </x:c>
      <x:c r="J120" t="s">
        <x:v>78</x:v>
      </x:c>
      <x:c r="K120" t="s">
        <x:v>80</x:v>
      </x:c>
      <x:c r="L120" s="18">
        <x:v>18</x:v>
      </x:c>
      <x:c r="M120" t="s">
        <x:v>78</x:v>
      </x:c>
      <x:c r="N120" s="18">
        <x:v>210</x:v>
      </x:c>
      <x:c r="O120" t="s">
        <x:v>88</x:v>
      </x:c>
      <x:c r="P120" s="18">
        <x:v>15</x:v>
      </x:c>
      <x:c r="Q120" s="19" t="s">
        <x:v>96</x:v>
      </x:c>
      <x:c r="R120" s="18">
        <x:v>2343.511</x:v>
      </x:c>
      <x:c r="S120" t="s">
        <x:v>76</x:v>
      </x:c>
      <x:c r="T120" s="19">
        <x:f t="shared" si="117"/>
        <x:v>2343.511</x:v>
      </x:c>
      <x:c r="U120" s="20">
        <x:v>20.52</x:v>
      </x:c>
      <x:c r="V120" t="s">
        <x:v>77</x:v>
      </x:c>
      <x:c r="W120" s="20">
        <x:v>0</x:v>
      </x:c>
      <x:c r="X120" s="21" t="n">
        <x:f>2*U120*T120*10000/1000000000</x:f>
        <x:v>0.9617769144</x:v>
      </x:c>
      <x:c r="Y120" s="21" t="n">
        <x:f>4.1*T120*10000/1000000</x:f>
        <x:v>96.083951</x:v>
      </x:c>
      <x:c r="Z120" s="21" t="n">
        <x:f>1.3*T120*10000/1000000</x:f>
        <x:v>30.465643</x:v>
      </x:c>
      <x:c r="AA120" s="21" t="n">
        <x:f>0.03*T120*10000/1000000</x:f>
        <x:v>0.7030532999999999</x:v>
      </x:c>
      <x:c r="AB120" s="21" t="n">
        <x:f>0.03*T120*10000/1000000</x:f>
        <x:v>0.7030532999999999</x:v>
      </x:c>
      <x:c r="AC120" s="21"/>
      <x:c r="AD120" s="21"/>
      <x:c r="AE120" s="21" t="n">
        <x:f>0.02*T120*10000/1000000</x:f>
        <x:v>0.4687022</x:v>
      </x:c>
      <x:c r="AF120" s="21"/>
      <x:c r="AG120" s="19" t="s">
        <x:v>78</x:v>
      </x:c>
      <x:c r="AH120" t="s">
        <x:v>78</x:v>
      </x:c>
      <x:c r="AI120" t="s">
        <x:v>78</x:v>
      </x:c>
      <x:c r="AJ120" s="19"/>
      <x:c r="AK120" s="19" t="s">
        <x:v>78</x:v>
      </x:c>
      <x:c r="AL120" t="s">
        <x:v>78</x:v>
      </x:c>
      <x:c r="AM120" s="19" t="s">
        <x:v>78</x:v>
      </x:c>
      <x:c r="AN120" s="21"/>
      <x:c r="AO120" s="21"/>
      <x:c r="AP120" s="21"/>
      <x:c r="AQ120" s="21"/>
      <x:c r="AR120" s="21"/>
      <x:c r="AS120" s="21"/>
      <x:c r="AT120" s="21"/>
      <x:c r="AU120" s="21"/>
      <x:c r="AV120" s="21"/>
      <x:c r="AW120" t="s">
        <x:v>78</x:v>
      </x:c>
      <x:c r="AX120" s="19"/>
      <x:c r="AY120" s="21"/>
      <x:c r="AZ120" s="21"/>
      <x:c r="BA120" s="21"/>
      <x:c r="BB120" s="21"/>
      <x:c r="BC120" s="21"/>
      <x:c r="BD120" s="21"/>
      <x:c r="BE120" s="21"/>
      <x:c r="BF120" s="21"/>
      <x:c r="BG120" s="21"/>
      <x:c r="BH120" t="s">
        <x:v>81</x:v>
      </x:c>
      <x:c r="BI120" s="18">
        <x:v>113</x:v>
      </x:c>
      <x:c r="BJ120" s="18">
        <x:v>28</x:v>
      </x:c>
      <x:c r="BK120" s="18">
        <x:v>25.28</x:v>
      </x:c>
      <x:c r="BL120" s="18">
        <x:v>22</x:v>
      </x:c>
      <x:c r="BM120" s="18">
        <x:v>10</x:v>
      </x:c>
      <x:c r="BN120" s="18">
        <x:v>28.99</x:v>
      </x:c>
      <x:c r="BO120" s="22">
        <x:v>113.473688888889</x:v>
      </x:c>
      <x:c r="BP120" s="22">
        <x:v>22.174719444444399</x:v>
      </x:c>
      <x:c r="BQ120" s="18">
        <x:v>60</x:v>
      </x:c>
      <x:c r="BR120" s="18">
        <x:v>70338.847999999998</x:v>
      </x:c>
      <x:c r="BS120" s="18">
        <x:v>0.30199999999999999</x:v>
      </x:c>
      <x:c r="BT120" s="18">
        <x:v>0.30199999999999999</x:v>
      </x:c>
      <x:c r="BU120" s="18">
        <x:v>12.475</x:v>
      </x:c>
      <x:c r="BV120" s="18">
        <x:v>12.475</x:v>
      </x:c>
      <x:c r="BW120" s="18">
        <x:v>0.17599999999999999</x:v>
      </x:c>
      <x:c r="BX120" s="18">
        <x:v>0.17599999999999999</x:v>
      </x:c>
      <x:c r="BY120" t="s">
        <x:v>78</x:v>
      </x:c>
      <x:c r="BZ120" t="s">
        <x:v>78</x:v>
      </x:c>
      <x:c r="CA120" s="23">
        <x:f t="shared" si="65"/>
        <x:v>0.96177691440000002</x:v>
      </x:c>
      <x:c r="CB120" s="23">
        <x:f t="shared" si="66"/>
        <x:v>96.083950999999999</x:v>
      </x:c>
      <x:c r="CC120" s="23">
        <x:f t="shared" si="67"/>
        <x:v>30.465643</x:v>
      </x:c>
      <x:c r="CD120" s="23">
        <x:f t="shared" si="68"/>
        <x:v>0.70305329999999988</x:v>
      </x:c>
      <x:c r="CE120" s="23">
        <x:f t="shared" si="69"/>
        <x:v>0.70305329999999988</x:v>
      </x:c>
      <x:c r="CF120" s="23">
        <x:f t="shared" si="70"/>
        <x:v>0</x:v>
      </x:c>
      <x:c r="CG120" s="23">
        <x:f t="shared" si="71"/>
        <x:v>0</x:v>
      </x:c>
      <x:c r="CH120" s="23">
        <x:f t="shared" si="72"/>
        <x:v>0.46870220000000001</x:v>
      </x:c>
      <x:c r="CI120" s="23">
        <x:f t="shared" si="73"/>
        <x:v>0</x:v>
      </x:c>
      <x:c r="CJ120" s="24" t="s">
        <x:v>78</x:v>
      </x:c>
      <x:c r="CK120" s="25">
        <x:v>0</x:v>
      </x:c>
      <x:c r="CL120" s="26" t="s">
        <x:v>78</x:v>
      </x:c>
      <x:c r="CM120" s="26">
        <x:v>42</x:v>
      </x:c>
      <x:c r="CN120" s="27" t="s">
        <x:v>78</x:v>
      </x:c>
      <x:c r="CO120" s="27">
        <x:v>0</x:v>
      </x:c>
      <x:c r="CP120" s="27">
        <x:v>0</x:v>
      </x:c>
      <x:c r="CQ120" s="26">
        <x:f t="shared" si="74"/>
        <x:v>0.96177691440000002</x:v>
      </x:c>
      <x:c r="CR120" s="26">
        <x:f t="shared" si="75"/>
        <x:v>55.728691580000003</x:v>
      </x:c>
      <x:c r="CS120" s="26">
        <x:f t="shared" si="78"/>
        <x:v>30.465643</x:v>
      </x:c>
      <x:c r="CT120" s="26">
        <x:f t="shared" si="110"/>
        <x:v>0.70305329999999988</x:v>
      </x:c>
      <x:c r="CU120" s="26">
        <x:f t="shared" si="111"/>
        <x:v>0.70305329999999988</x:v>
      </x:c>
      <x:c r="CV120" s="26">
        <x:f t="shared" si="112"/>
        <x:v>0</x:v>
      </x:c>
      <x:c r="CW120" s="26">
        <x:f t="shared" si="113"/>
        <x:v>0</x:v>
      </x:c>
      <x:c r="CX120" s="26">
        <x:f t="shared" si="79"/>
        <x:v>0.46870220000000001</x:v>
      </x:c>
      <x:c r="CY120" s="26">
        <x:f t="shared" si="80"/>
        <x:v>0</x:v>
      </x:c>
    </x:row>
    <x:row r="121">
      <x:c r="A121" s="18">
        <x:v>2022</x:v>
      </x:c>
      <x:c r="B121" t="s">
        <x:v>307</x:v>
      </x:c>
      <x:c r="C121" t="s">
        <x:v>308</x:v>
      </x:c>
      <x:c r="D121" t="s">
        <x:v>309</x:v>
      </x:c>
      <x:c r="E121" s="18">
        <x:v>440407</x:v>
      </x:c>
      <x:c r="F121" t="s">
        <x:v>310</x:v>
      </x:c>
      <x:c r="G121" t="s">
        <x:v>296</x:v>
      </x:c>
      <x:c r="H121" s="18">
        <x:v>4411</x:v>
      </x:c>
      <x:c r="I121" t="s">
        <x:v>102</x:v>
      </x:c>
      <x:c r="J121" t="s">
        <x:v>78</x:v>
      </x:c>
      <x:c r="K121" t="s">
        <x:v>80</x:v>
      </x:c>
      <x:c r="L121" s="18">
        <x:v>18</x:v>
      </x:c>
      <x:c r="M121" t="s">
        <x:v>78</x:v>
      </x:c>
      <x:c r="N121" s="18">
        <x:v>210</x:v>
      </x:c>
      <x:c r="O121" t="s">
        <x:v>88</x:v>
      </x:c>
      <x:c r="P121" s="18">
        <x:v>15</x:v>
      </x:c>
      <x:c r="Q121" s="19" t="s">
        <x:v>96</x:v>
      </x:c>
      <x:c r="R121" s="18">
        <x:v>3197.3989999999999</x:v>
      </x:c>
      <x:c r="S121" t="s">
        <x:v>76</x:v>
      </x:c>
      <x:c r="T121" s="19">
        <x:f t="shared" si="117"/>
        <x:v>3197.3989999999999</x:v>
      </x:c>
      <x:c r="U121" s="20">
        <x:v>20.52</x:v>
      </x:c>
      <x:c r="V121" t="s">
        <x:v>77</x:v>
      </x:c>
      <x:c r="W121" s="20">
        <x:v>0</x:v>
      </x:c>
      <x:c r="X121" s="21" t="n">
        <x:f>2*U121*T121*10000/1000000000</x:f>
        <x:v>1.3122125496</x:v>
      </x:c>
      <x:c r="Y121" s="21" t="n">
        <x:f>4.1*T121*10000/1000000</x:f>
        <x:v>131.093359</x:v>
      </x:c>
      <x:c r="Z121" s="21" t="n">
        <x:f>1.3*T121*10000/1000000</x:f>
        <x:v>41.566187</x:v>
      </x:c>
      <x:c r="AA121" s="21" t="n">
        <x:f>0.03*T121*10000/1000000</x:f>
        <x:v>0.9592196999999998</x:v>
      </x:c>
      <x:c r="AB121" s="21" t="n">
        <x:f>0.03*T121*10000/1000000</x:f>
        <x:v>0.9592196999999998</x:v>
      </x:c>
      <x:c r="AC121" s="21"/>
      <x:c r="AD121" s="21"/>
      <x:c r="AE121" s="21" t="n">
        <x:f>0.02*T121*10000/1000000</x:f>
        <x:v>0.6394798</x:v>
      </x:c>
      <x:c r="AF121" s="21"/>
      <x:c r="AG121" s="19" t="s">
        <x:v>78</x:v>
      </x:c>
      <x:c r="AH121" t="s">
        <x:v>78</x:v>
      </x:c>
      <x:c r="AI121" t="s">
        <x:v>78</x:v>
      </x:c>
      <x:c r="AJ121" s="19"/>
      <x:c r="AK121" s="19" t="s">
        <x:v>78</x:v>
      </x:c>
      <x:c r="AL121" t="s">
        <x:v>78</x:v>
      </x:c>
      <x:c r="AM121" s="19" t="s">
        <x:v>78</x:v>
      </x:c>
      <x:c r="AN121" s="21"/>
      <x:c r="AO121" s="21"/>
      <x:c r="AP121" s="21"/>
      <x:c r="AQ121" s="21"/>
      <x:c r="AR121" s="21"/>
      <x:c r="AS121" s="21"/>
      <x:c r="AT121" s="21"/>
      <x:c r="AU121" s="21"/>
      <x:c r="AV121" s="21"/>
      <x:c r="AW121" t="s">
        <x:v>78</x:v>
      </x:c>
      <x:c r="AX121" s="19"/>
      <x:c r="AY121" s="21"/>
      <x:c r="AZ121" s="21"/>
      <x:c r="BA121" s="21"/>
      <x:c r="BB121" s="21"/>
      <x:c r="BC121" s="21"/>
      <x:c r="BD121" s="21"/>
      <x:c r="BE121" s="21"/>
      <x:c r="BF121" s="21"/>
      <x:c r="BG121" s="21"/>
      <x:c r="BH121" t="s">
        <x:v>79</x:v>
      </x:c>
      <x:c r="BI121" s="18">
        <x:v>113</x:v>
      </x:c>
      <x:c r="BJ121" s="18">
        <x:v>28</x:v>
      </x:c>
      <x:c r="BK121" s="18">
        <x:v>23.48</x:v>
      </x:c>
      <x:c r="BL121" s="18">
        <x:v>22</x:v>
      </x:c>
      <x:c r="BM121" s="18">
        <x:v>10</x:v>
      </x:c>
      <x:c r="BN121" s="18">
        <x:v>28.45</x:v>
      </x:c>
      <x:c r="BO121" s="22">
        <x:v>113.473188888889</x:v>
      </x:c>
      <x:c r="BP121" s="22">
        <x:v>22.174569444444401</x:v>
      </x:c>
      <x:c r="BQ121" s="18">
        <x:v>60</x:v>
      </x:c>
      <x:c r="BR121" s="18">
        <x:v>84564.892000000007</x:v>
      </x:c>
      <x:c r="BS121" s="18">
        <x:v>0.23799999999999999</x:v>
      </x:c>
      <x:c r="BT121" s="18">
        <x:v>0.23799999999999999</x:v>
      </x:c>
      <x:c r="BU121" s="18">
        <x:v>13.724</x:v>
      </x:c>
      <x:c r="BV121" s="18">
        <x:v>13.724</x:v>
      </x:c>
      <x:c r="BW121" s="18">
        <x:v>6.0999999999999999E-2</x:v>
      </x:c>
      <x:c r="BX121" s="18">
        <x:v>6.0999999999999999E-2</x:v>
      </x:c>
      <x:c r="BY121" t="s">
        <x:v>78</x:v>
      </x:c>
      <x:c r="BZ121" t="s">
        <x:v>78</x:v>
      </x:c>
      <x:c r="CA121" s="23">
        <x:f t="shared" si="65"/>
        <x:v>1.3122125495999999</x:v>
      </x:c>
      <x:c r="CB121" s="23">
        <x:f t="shared" si="66"/>
        <x:v>131.09335899999999</x:v>
      </x:c>
      <x:c r="CC121" s="23">
        <x:f t="shared" si="67"/>
        <x:v>41.566186999999999</x:v>
      </x:c>
      <x:c r="CD121" s="23">
        <x:f t="shared" si="68"/>
        <x:v>0.95921969999999979</x:v>
      </x:c>
      <x:c r="CE121" s="23">
        <x:f t="shared" si="69"/>
        <x:v>0.95921969999999979</x:v>
      </x:c>
      <x:c r="CF121" s="23">
        <x:f t="shared" si="70"/>
        <x:v>0</x:v>
      </x:c>
      <x:c r="CG121" s="23">
        <x:f t="shared" si="71"/>
        <x:v>0</x:v>
      </x:c>
      <x:c r="CH121" s="23">
        <x:f t="shared" si="72"/>
        <x:v>0.63947980000000004</x:v>
      </x:c>
      <x:c r="CI121" s="23">
        <x:f t="shared" si="73"/>
        <x:v>0</x:v>
      </x:c>
      <x:c r="CJ121" s="24" t="s">
        <x:v>78</x:v>
      </x:c>
      <x:c r="CK121" s="25">
        <x:v>0</x:v>
      </x:c>
      <x:c r="CL121" s="26" t="s">
        <x:v>78</x:v>
      </x:c>
      <x:c r="CM121" s="26">
        <x:v>42</x:v>
      </x:c>
      <x:c r="CN121" s="27" t="s">
        <x:v>78</x:v>
      </x:c>
      <x:c r="CO121" s="27">
        <x:v>0</x:v>
      </x:c>
      <x:c r="CP121" s="27">
        <x:v>0</x:v>
      </x:c>
      <x:c r="CQ121" s="26">
        <x:f t="shared" si="74"/>
        <x:v>1.3122125495999999</x:v>
      </x:c>
      <x:c r="CR121" s="26">
        <x:f t="shared" si="75"/>
        <x:v>76.034148220000006</x:v>
      </x:c>
      <x:c r="CS121" s="26">
        <x:f t="shared" si="78"/>
        <x:v>41.566186999999999</x:v>
      </x:c>
      <x:c r="CT121" s="26">
        <x:f t="shared" si="110"/>
        <x:v>0.95921969999999979</x:v>
      </x:c>
      <x:c r="CU121" s="26">
        <x:f t="shared" si="111"/>
        <x:v>0.95921969999999979</x:v>
      </x:c>
      <x:c r="CV121" s="26">
        <x:f t="shared" si="112"/>
        <x:v>0</x:v>
      </x:c>
      <x:c r="CW121" s="26">
        <x:f t="shared" si="113"/>
        <x:v>0</x:v>
      </x:c>
      <x:c r="CX121" s="26">
        <x:f t="shared" si="79"/>
        <x:v>0.63947980000000004</x:v>
      </x:c>
      <x:c r="CY121" s="26">
        <x:f t="shared" si="80"/>
        <x:v>0</x:v>
      </x:c>
    </x:row>
    <x:row r="122">
      <x:c r="A122" s="18">
        <x:v>2022</x:v>
      </x:c>
      <x:c r="B122" t="s">
        <x:v>311</x:v>
      </x:c>
      <x:c r="C122" t="s">
        <x:v>312</x:v>
      </x:c>
      <x:c r="D122" t="s">
        <x:v>313</x:v>
      </x:c>
      <x:c r="E122" s="18">
        <x:v>440409</x:v>
      </x:c>
      <x:c r="F122" t="s">
        <x:v>314</x:v>
      </x:c>
      <x:c r="G122" t="s">
        <x:v>296</x:v>
      </x:c>
      <x:c r="H122" s="18">
        <x:v>4411</x:v>
      </x:c>
      <x:c r="I122" t="s">
        <x:v>102</x:v>
      </x:c>
      <x:c r="J122" t="s">
        <x:v>78</x:v>
      </x:c>
      <x:c r="K122" t="s">
        <x:v>72</x:v>
      </x:c>
      <x:c r="L122" s="18">
        <x:v>46</x:v>
      </x:c>
      <x:c r="M122" t="s">
        <x:v>73</x:v>
      </x:c>
      <x:c r="N122" s="18">
        <x:v>101</x:v>
      </x:c>
      <x:c r="O122" t="s">
        <x:v>88</x:v>
      </x:c>
      <x:c r="P122" s="18">
        <x:v>15</x:v>
      </x:c>
      <x:c r="Q122" s="19" t="s">
        <x:v>96</x:v>
      </x:c>
      <x:c r="R122" s="18">
        <x:v>33991.15</x:v>
      </x:c>
      <x:c r="S122" t="s">
        <x:v>76</x:v>
      </x:c>
      <x:c r="T122" s="19">
        <x:f t="shared" si="117"/>
        <x:v>33991.15</x:v>
      </x:c>
      <x:c r="U122" s="20">
        <x:v>0.32900000000000001</x:v>
      </x:c>
      <x:c r="V122" t="s">
        <x:v>77</x:v>
      </x:c>
      <x:c r="W122" s="20">
        <x:v>0</x:v>
      </x:c>
      <x:c r="X122" s="21" t="n">
        <x:f>2*U122*T122*10000/1000000000</x:f>
        <x:v>0.22366176700000004</x:v>
      </x:c>
      <x:c r="Y122" s="21" t="n">
        <x:f>4.1*T122*10000/1000000</x:f>
        <x:v>1393.63715</x:v>
      </x:c>
      <x:c r="Z122" s="21" t="n">
        <x:f>1.3*T122*10000/1000000</x:f>
        <x:v>441.88495</x:v>
      </x:c>
      <x:c r="AA122" s="21" t="n">
        <x:f>0.03*T122*10000/1000000</x:f>
        <x:v>10.197345</x:v>
      </x:c>
      <x:c r="AB122" s="21" t="n">
        <x:f>0.03*T122*10000/1000000</x:f>
        <x:v>10.197345</x:v>
      </x:c>
      <x:c r="AC122" s="21"/>
      <x:c r="AD122" s="21"/>
      <x:c r="AE122" s="21" t="n">
        <x:f>0.02*T122*10000/1000000</x:f>
        <x:v>6.798230000000001</x:v>
      </x:c>
      <x:c r="AF122" s="21"/>
      <x:c r="AG122" s="19" t="s">
        <x:v>78</x:v>
      </x:c>
      <x:c r="AH122" t="s">
        <x:v>78</x:v>
      </x:c>
      <x:c r="AI122" t="s">
        <x:v>78</x:v>
      </x:c>
      <x:c r="AJ122" s="19"/>
      <x:c r="AK122" s="19" t="s">
        <x:v>78</x:v>
      </x:c>
      <x:c r="AL122" t="s">
        <x:v>78</x:v>
      </x:c>
      <x:c r="AM122" s="19" t="s">
        <x:v>78</x:v>
      </x:c>
      <x:c r="AN122" s="21"/>
      <x:c r="AO122" s="21"/>
      <x:c r="AP122" s="21"/>
      <x:c r="AQ122" s="21"/>
      <x:c r="AR122" s="21"/>
      <x:c r="AS122" s="21"/>
      <x:c r="AT122" s="21"/>
      <x:c r="AU122" s="21"/>
      <x:c r="AV122" s="21"/>
      <x:c r="AW122" t="s">
        <x:v>78</x:v>
      </x:c>
      <x:c r="AX122" s="19"/>
      <x:c r="AY122" s="21"/>
      <x:c r="AZ122" s="21"/>
      <x:c r="BA122" s="21"/>
      <x:c r="BB122" s="21"/>
      <x:c r="BC122" s="21"/>
      <x:c r="BD122" s="21"/>
      <x:c r="BE122" s="21"/>
      <x:c r="BF122" s="21"/>
      <x:c r="BG122" s="21"/>
      <x:c r="BH122" t="s">
        <x:v>82</x:v>
      </x:c>
      <x:c r="BI122" s="18">
        <x:v>113</x:v>
      </x:c>
      <x:c r="BJ122" s="18">
        <x:v>10</x:v>
      </x:c>
      <x:c r="BK122" s="18">
        <x:v>48.18</x:v>
      </x:c>
      <x:c r="BL122" s="18">
        <x:v>21</x:v>
      </x:c>
      <x:c r="BM122" s="18">
        <x:v>59</x:v>
      </x:c>
      <x:c r="BN122" s="18">
        <x:v>51.36</x:v>
      </x:c>
      <x:c r="BO122" s="22">
        <x:v>113.18004999999999</x:v>
      </x:c>
      <x:c r="BP122" s="22">
        <x:v>21.997599999999998</x:v>
      </x:c>
      <x:c r="BQ122" s="18">
        <x:v>60</x:v>
      </x:c>
      <x:c r="BR122" s="18">
        <x:v>737391.55</x:v>
      </x:c>
      <x:c r="BS122" s="18">
        <x:v>0.218</x:v>
      </x:c>
      <x:c r="BT122" s="18">
        <x:v>0.218</x:v>
      </x:c>
      <x:c r="BU122" s="18">
        <x:v>264.52300000000002</x:v>
      </x:c>
      <x:c r="BV122" s="18">
        <x:v>264.52300000000002</x:v>
      </x:c>
      <x:c r="BW122" s="18">
        <x:v>14.167999999999999</x:v>
      </x:c>
      <x:c r="BX122" s="18">
        <x:v>14.167999999999999</x:v>
      </x:c>
      <x:c r="BY122" t="s">
        <x:v>78</x:v>
      </x:c>
      <x:c r="BZ122" t="s">
        <x:v>78</x:v>
      </x:c>
      <x:c r="CA122" s="23">
        <x:f t="shared" si="65"/>
        <x:v>0.22366176700000004</x:v>
      </x:c>
      <x:c r="CB122" s="23">
        <x:f t="shared" si="66"/>
        <x:v>1393.63715</x:v>
      </x:c>
      <x:c r="CC122" s="23">
        <x:f t="shared" si="67"/>
        <x:v>441.88495</x:v>
      </x:c>
      <x:c r="CD122" s="23">
        <x:f t="shared" si="68"/>
        <x:v>10.197345</x:v>
      </x:c>
      <x:c r="CE122" s="23">
        <x:f t="shared" si="69"/>
        <x:v>10.197345</x:v>
      </x:c>
      <x:c r="CF122" s="23">
        <x:f t="shared" si="70"/>
        <x:v>0</x:v>
      </x:c>
      <x:c r="CG122" s="23">
        <x:f t="shared" si="71"/>
        <x:v>0</x:v>
      </x:c>
      <x:c r="CH122" s="23">
        <x:f t="shared" si="72"/>
        <x:v>6.7982300000000011</x:v>
      </x:c>
      <x:c r="CI122" s="23">
        <x:f t="shared" si="73"/>
        <x:v>0</x:v>
      </x:c>
      <x:c r="CJ122" s="24" t="s">
        <x:v>78</x:v>
      </x:c>
      <x:c r="CK122" s="25">
        <x:v>0</x:v>
      </x:c>
      <x:c r="CL122" s="26" t="s">
        <x:v>78</x:v>
      </x:c>
      <x:c r="CM122" s="26">
        <x:v>42</x:v>
      </x:c>
      <x:c r="CN122" s="27" t="s">
        <x:v>78</x:v>
      </x:c>
      <x:c r="CO122" s="27">
        <x:v>0</x:v>
      </x:c>
      <x:c r="CP122" s="27">
        <x:v>0</x:v>
      </x:c>
      <x:c r="CQ122" s="26">
        <x:f t="shared" si="74"/>
        <x:v>0.22366176700000004</x:v>
      </x:c>
      <x:c r="CR122" s="26">
        <x:f t="shared" si="75"/>
        <x:v>808.30954700000007</x:v>
      </x:c>
      <x:c r="CS122" s="26">
        <x:f t="shared" si="78"/>
        <x:v>441.88495</x:v>
      </x:c>
      <x:c r="CT122" s="26">
        <x:f t="shared" si="110"/>
        <x:v>10.197345</x:v>
      </x:c>
      <x:c r="CU122" s="26">
        <x:f t="shared" si="111"/>
        <x:v>10.197345</x:v>
      </x:c>
      <x:c r="CV122" s="26">
        <x:f t="shared" si="112"/>
        <x:v>0</x:v>
      </x:c>
      <x:c r="CW122" s="26">
        <x:f t="shared" si="113"/>
        <x:v>0</x:v>
      </x:c>
      <x:c r="CX122" s="26">
        <x:f t="shared" si="79"/>
        <x:v>6.7982300000000011</x:v>
      </x:c>
      <x:c r="CY122" s="26">
        <x:f t="shared" si="80"/>
        <x:v>0</x:v>
      </x:c>
    </x:row>
    <x:row r="123">
      <x:c r="A123" s="18">
        <x:v>2022</x:v>
      </x:c>
      <x:c r="B123" t="s">
        <x:v>311</x:v>
      </x:c>
      <x:c r="C123" t="s">
        <x:v>312</x:v>
      </x:c>
      <x:c r="D123" t="s">
        <x:v>313</x:v>
      </x:c>
      <x:c r="E123" s="18">
        <x:v>440409</x:v>
      </x:c>
      <x:c r="F123" t="s">
        <x:v>314</x:v>
      </x:c>
      <x:c r="G123" t="s">
        <x:v>296</x:v>
      </x:c>
      <x:c r="H123" s="18">
        <x:v>4411</x:v>
      </x:c>
      <x:c r="I123" t="s">
        <x:v>102</x:v>
      </x:c>
      <x:c r="J123" t="s">
        <x:v>78</x:v>
      </x:c>
      <x:c r="K123" t="s">
        <x:v>72</x:v>
      </x:c>
      <x:c r="L123" s="18">
        <x:v>46</x:v>
      </x:c>
      <x:c r="M123" t="s">
        <x:v>73</x:v>
      </x:c>
      <x:c r="N123" s="18">
        <x:v>101</x:v>
      </x:c>
      <x:c r="O123" t="s">
        <x:v>88</x:v>
      </x:c>
      <x:c r="P123" s="18">
        <x:v>15</x:v>
      </x:c>
      <x:c r="Q123" s="19" t="s">
        <x:v>96</x:v>
      </x:c>
      <x:c r="R123" s="18">
        <x:v>35421.64</x:v>
      </x:c>
      <x:c r="S123" t="s">
        <x:v>76</x:v>
      </x:c>
      <x:c r="T123" s="19">
        <x:f t="shared" si="117"/>
        <x:v>35421.64</x:v>
      </x:c>
      <x:c r="U123" s="20">
        <x:v>0.32900000000000001</x:v>
      </x:c>
      <x:c r="V123" t="s">
        <x:v>77</x:v>
      </x:c>
      <x:c r="W123" s="20">
        <x:v>0</x:v>
      </x:c>
      <x:c r="X123" s="21" t="n">
        <x:f>2*U123*T123*10000/1000000000</x:f>
        <x:v>0.23307439119999998</x:v>
      </x:c>
      <x:c r="Y123" s="21" t="n">
        <x:f>4.1*T123*10000/1000000</x:f>
        <x:v>1452.2872399999997</x:v>
      </x:c>
      <x:c r="Z123" s="21" t="n">
        <x:f>1.3*T123*10000/1000000</x:f>
        <x:v>460.48132</x:v>
      </x:c>
      <x:c r="AA123" s="21" t="n">
        <x:f>0.03*T123*10000/1000000</x:f>
        <x:v>10.626491999999999</x:v>
      </x:c>
      <x:c r="AB123" s="21" t="n">
        <x:f>0.03*T123*10000/1000000</x:f>
        <x:v>10.626491999999999</x:v>
      </x:c>
      <x:c r="AC123" s="21"/>
      <x:c r="AD123" s="21"/>
      <x:c r="AE123" s="21" t="n">
        <x:f>0.02*T123*10000/1000000</x:f>
        <x:v>7.084328</x:v>
      </x:c>
      <x:c r="AF123" s="21"/>
      <x:c r="AG123" s="19" t="s">
        <x:v>78</x:v>
      </x:c>
      <x:c r="AH123" t="s">
        <x:v>78</x:v>
      </x:c>
      <x:c r="AI123" t="s">
        <x:v>78</x:v>
      </x:c>
      <x:c r="AJ123" s="19"/>
      <x:c r="AK123" s="19" t="s">
        <x:v>78</x:v>
      </x:c>
      <x:c r="AL123" t="s">
        <x:v>78</x:v>
      </x:c>
      <x:c r="AM123" s="19" t="s">
        <x:v>78</x:v>
      </x:c>
      <x:c r="AN123" s="21"/>
      <x:c r="AO123" s="21"/>
      <x:c r="AP123" s="21"/>
      <x:c r="AQ123" s="21"/>
      <x:c r="AR123" s="21"/>
      <x:c r="AS123" s="21"/>
      <x:c r="AT123" s="21"/>
      <x:c r="AU123" s="21"/>
      <x:c r="AV123" s="21"/>
      <x:c r="AW123" t="s">
        <x:v>78</x:v>
      </x:c>
      <x:c r="AX123" s="19"/>
      <x:c r="AY123" s="21"/>
      <x:c r="AZ123" s="21"/>
      <x:c r="BA123" s="21"/>
      <x:c r="BB123" s="21"/>
      <x:c r="BC123" s="21"/>
      <x:c r="BD123" s="21"/>
      <x:c r="BE123" s="21"/>
      <x:c r="BF123" s="21"/>
      <x:c r="BG123" s="21"/>
      <x:c r="BH123" t="s">
        <x:v>83</x:v>
      </x:c>
      <x:c r="BI123" s="18">
        <x:v>113</x:v>
      </x:c>
      <x:c r="BJ123" s="18">
        <x:v>10</x:v>
      </x:c>
      <x:c r="BK123" s="18">
        <x:v>50.12</x:v>
      </x:c>
      <x:c r="BL123" s="18">
        <x:v>21</x:v>
      </x:c>
      <x:c r="BM123" s="18">
        <x:v>59</x:v>
      </x:c>
      <x:c r="BN123" s="18">
        <x:v>49.13</x:v>
      </x:c>
      <x:c r="BO123" s="22">
        <x:v>113.18058888888901</x:v>
      </x:c>
      <x:c r="BP123" s="22">
        <x:v>21.996980555555599</x:v>
      </x:c>
      <x:c r="BQ123" s="18">
        <x:v>60</x:v>
      </x:c>
      <x:c r="BR123" s="18">
        <x:v>754372.73</x:v>
      </x:c>
      <x:c r="BS123" s="18">
        <x:v>0.22700000000000001</x:v>
      </x:c>
      <x:c r="BT123" s="18">
        <x:v>0.22700000000000001</x:v>
      </x:c>
      <x:c r="BU123" s="18">
        <x:v>255.36500000000001</x:v>
      </x:c>
      <x:c r="BV123" s="18">
        <x:v>255.36500000000001</x:v>
      </x:c>
      <x:c r="BW123" s="18">
        <x:v>11.961</x:v>
      </x:c>
      <x:c r="BX123" s="18">
        <x:v>11.961</x:v>
      </x:c>
      <x:c r="BY123" t="s">
        <x:v>78</x:v>
      </x:c>
      <x:c r="BZ123" t="s">
        <x:v>78</x:v>
      </x:c>
      <x:c r="CA123" s="23">
        <x:f t="shared" si="65"/>
        <x:v>0.23307439119999998</x:v>
      </x:c>
      <x:c r="CB123" s="23">
        <x:f t="shared" si="66"/>
        <x:v>1452.2872399999997</x:v>
      </x:c>
      <x:c r="CC123" s="23">
        <x:f t="shared" si="67"/>
        <x:v>460.48131999999998</x:v>
      </x:c>
      <x:c r="CD123" s="23">
        <x:f t="shared" si="68"/>
        <x:v>10.626491999999999</x:v>
      </x:c>
      <x:c r="CE123" s="23">
        <x:f t="shared" si="69"/>
        <x:v>10.626491999999999</x:v>
      </x:c>
      <x:c r="CF123" s="23">
        <x:f t="shared" si="70"/>
        <x:v>0</x:v>
      </x:c>
      <x:c r="CG123" s="23">
        <x:f t="shared" si="71"/>
        <x:v>0</x:v>
      </x:c>
      <x:c r="CH123" s="23">
        <x:f t="shared" si="72"/>
        <x:v>7.0843280000000002</x:v>
      </x:c>
      <x:c r="CI123" s="23">
        <x:f t="shared" si="73"/>
        <x:v>0</x:v>
      </x:c>
      <x:c r="CJ123" s="24" t="s">
        <x:v>78</x:v>
      </x:c>
      <x:c r="CK123" s="25">
        <x:v>0</x:v>
      </x:c>
      <x:c r="CL123" s="26" t="s">
        <x:v>78</x:v>
      </x:c>
      <x:c r="CM123" s="26">
        <x:v>42</x:v>
      </x:c>
      <x:c r="CN123" s="27" t="s">
        <x:v>78</x:v>
      </x:c>
      <x:c r="CO123" s="27">
        <x:v>0</x:v>
      </x:c>
      <x:c r="CP123" s="27">
        <x:v>0</x:v>
      </x:c>
      <x:c r="CQ123" s="26">
        <x:f t="shared" si="74"/>
        <x:v>0.23307439119999998</x:v>
      </x:c>
      <x:c r="CR123" s="26">
        <x:f t="shared" si="75"/>
        <x:v>842.32659919999992</x:v>
      </x:c>
      <x:c r="CS123" s="26">
        <x:f t="shared" si="78"/>
        <x:v>460.48131999999998</x:v>
      </x:c>
      <x:c r="CT123" s="26">
        <x:f t="shared" si="110"/>
        <x:v>10.626491999999999</x:v>
      </x:c>
      <x:c r="CU123" s="26">
        <x:f t="shared" si="111"/>
        <x:v>10.626491999999999</x:v>
      </x:c>
      <x:c r="CV123" s="26">
        <x:f t="shared" si="112"/>
        <x:v>0</x:v>
      </x:c>
      <x:c r="CW123" s="26">
        <x:f t="shared" si="113"/>
        <x:v>0</x:v>
      </x:c>
      <x:c r="CX123" s="26">
        <x:f t="shared" si="79"/>
        <x:v>7.0843280000000002</x:v>
      </x:c>
      <x:c r="CY123" s="26">
        <x:f t="shared" si="80"/>
        <x:v>0</x:v>
      </x:c>
    </x:row>
    <x:row r="124">
      <x:c r="A124" s="18">
        <x:v>2022</x:v>
      </x:c>
      <x:c r="B124" t="s">
        <x:v>315</x:v>
      </x:c>
      <x:c r="C124" t="s">
        <x:v>316</x:v>
      </x:c>
      <x:c r="D124" t="s">
        <x:v>317</x:v>
      </x:c>
      <x:c r="E124" s="18">
        <x:v>440409</x:v>
      </x:c>
      <x:c r="F124" t="s">
        <x:v>314</x:v>
      </x:c>
      <x:c r="G124" t="s">
        <x:v>296</x:v>
      </x:c>
      <x:c r="H124" s="18">
        <x:v>2221</x:v>
      </x:c>
      <x:c r="I124" t="s">
        <x:v>158</x:v>
      </x:c>
      <x:c r="J124" t="s">
        <x:v>318</x:v>
      </x:c>
      <x:c r="K124" t="s">
        <x:v>109</x:v>
      </x:c>
      <x:c r="L124" s="20">
        <x:v>1.2</x:v>
      </x:c>
      <x:c r="M124" t="s">
        <x:v>125</x:v>
      </x:c>
      <x:c r="N124" s="18">
        <x:v>75</x:v>
      </x:c>
      <x:c r="O124" t="s">
        <x:v>88</x:v>
      </x:c>
      <x:c r="P124" s="18">
        <x:v>4</x:v>
      </x:c>
      <x:c r="Q124" s="19" t="s">
        <x:v>111</x:v>
      </x:c>
      <x:c r="R124" s="18">
        <x:v>62946.875999999997</x:v>
      </x:c>
      <x:c r="S124" t="s">
        <x:v>112</x:v>
      </x:c>
      <x:c r="T124" s="19" t="n">
        <x:f t="shared" ref="T124:T133" si="118">R124</x:f>
        <x:v>62946.876</x:v>
      </x:c>
      <x:c r="U124" s="20">
        <x:v>0.44</x:v>
      </x:c>
      <x:c r="V124" t="s">
        <x:v>113</x:v>
      </x:c>
      <x:c r="W124" s="20">
        <x:v>14.92</x:v>
      </x:c>
      <x:c r="X124" s="21" t="n">
        <x:f t="shared" ref="X124:X129" si="119">2*U124/100*(1-0.15)*T124</x:f>
        <x:v>470.84263248</x:v>
      </x:c>
      <x:c r="Y124" s="21" t="n">
        <x:f>8.96*T124/1000</x:f>
        <x:v>564.00400896</x:v>
      </x:c>
      <x:c r="Z124" s="21" t="n">
        <x:f t="shared" ref="Z124:Z129" si="120">2*T124/1000</x:f>
        <x:v>125.89375199999999</x:v>
      </x:c>
      <x:c r="AA124" s="21" t="n">
        <x:f>W124/100*(1-0.44)*0.29*T124</x:f>
        <x:v>1525.2078412300798</x:v>
      </x:c>
      <x:c r="AB124" s="21" t="n">
        <x:f>W124/100*(1-0.44)*0.07*T124</x:f>
        <x:v>368.15361684864</x:v>
      </x:c>
      <x:c r="AC124" s="21" t="n">
        <x:f t="shared" ref="AC124:AC125" si="121">0.002*AB124</x:f>
        <x:v>0.73630723369728</x:v>
      </x:c>
      <x:c r="AD124" s="21"/>
      <x:c r="AE124" s="21" t="n">
        <x:f t="shared" ref="AE124:AE129" si="122">0.04*T124/1000</x:f>
        <x:v>2.51787504</x:v>
      </x:c>
      <x:c r="AF124" s="21"/>
      <x:c r="AG124" s="19" t="s">
        <x:v>238</x:v>
      </x:c>
      <x:c r="AH124" s="18">
        <x:v>587.9</x:v>
      </x:c>
      <x:c r="AI124" t="s">
        <x:v>112</x:v>
      </x:c>
      <x:c r="AJ124" s="19" t="n">
        <x:f>AH124</x:f>
        <x:v>587.9</x:v>
      </x:c>
      <x:c r="AK124" s="20">
        <x:v>0.52</x:v>
      </x:c>
      <x:c r="AL124" t="s">
        <x:v>113</x:v>
      </x:c>
      <x:c r="AM124" s="20">
        <x:v>5.86</x:v>
      </x:c>
      <x:c r="AN124" s="21" t="n">
        <x:f>2*AK124/100*(1-0.15)*AJ124</x:f>
        <x:v>5.197035999999999</x:v>
      </x:c>
      <x:c r="AO124" s="21" t="n">
        <x:f>8.96*AJ124/1000</x:f>
        <x:v>5.267584000000001</x:v>
      </x:c>
      <x:c r="AP124" s="21" t="n">
        <x:f>2*AJ124/1000</x:f>
        <x:v>1.1758</x:v>
      </x:c>
      <x:c r="AQ124" s="21" t="n">
        <x:f>AM124/100*(1-0.44)*0.29*AJ124</x:f>
        <x:v>5.594832656</x:v>
      </x:c>
      <x:c r="AR124" s="21" t="n">
        <x:f>AM124/100*(1-0.44)*0.07*AJ124</x:f>
        <x:v>1.3504768480000002</x:v>
      </x:c>
      <x:c r="AS124" s="21" t="n">
        <x:f t="shared" ref="AS124:AS125" si="123">0.002*AR124</x:f>
        <x:v>0.0027009536960000005</x:v>
      </x:c>
      <x:c r="AT124" s="21"/>
      <x:c r="AU124" s="21" t="n">
        <x:f>0.04*AJ124/1000</x:f>
        <x:v>0.023516</x:v>
      </x:c>
      <x:c r="AV124" s="21"/>
      <x:c r="AW124" s="18">
        <x:v>681.11900000000003</x:v>
      </x:c>
      <x:c r="AX124" s="19" t="n">
        <x:f>AW124/0.506</x:f>
        <x:v>1346.0849802371542</x:v>
      </x:c>
      <x:c r="AY124" s="21" t="n">
        <x:f>AX124*0.7/1000</x:f>
        <x:v>0.942259486166008</x:v>
      </x:c>
      <x:c r="AZ124" s="21" t="n">
        <x:f>AX124*2.79/1000</x:f>
        <x:v>3.7555770948616605</x:v>
      </x:c>
      <x:c r="BA124" s="21" t="n">
        <x:f>AX124*6.22/1000</x:f>
        <x:v>8.372648577075099</x:v>
      </x:c>
      <x:c r="BB124" s="21" t="n">
        <x:f>AX124*1.12/1000</x:f>
        <x:v>1.5076151778656128</x:v>
      </x:c>
      <x:c r="BC124" s="21" t="n">
        <x:f>AX124*0.95/1000</x:f>
        <x:v>1.2787807312252963</x:v>
      </x:c>
      <x:c r="BD124" s="21" t="n">
        <x:f>AX124*0.13/1000</x:f>
        <x:v>0.17499104743083008</x:v>
      </x:c>
      <x:c r="BE124" s="21" t="n">
        <x:f>AX124*0.54/1000</x:f>
        <x:v>0.7268858893280633</x:v>
      </x:c>
      <x:c r="BF124" s="21" t="n">
        <x:f>AX124*1.13/1000</x:f>
        <x:v>1.5210760276679842</x:v>
      </x:c>
      <x:c r="BG124" s="21" t="n">
        <x:f>AX124*0.24/1000</x:f>
        <x:v>0.323060395256917</x:v>
      </x:c>
      <x:c r="BH124" t="s">
        <x:v>90</x:v>
      </x:c>
      <x:c r="BI124" s="18">
        <x:v>113</x:v>
      </x:c>
      <x:c r="BJ124" s="18">
        <x:v>12</x:v>
      </x:c>
      <x:c r="BK124" s="18">
        <x:v>2</x:v>
      </x:c>
      <x:c r="BL124" s="18">
        <x:v>21</x:v>
      </x:c>
      <x:c r="BM124" s="18">
        <x:v>59</x:v>
      </x:c>
      <x:c r="BN124" s="18">
        <x:v>10.1</x:v>
      </x:c>
      <x:c r="BO124" s="22">
        <x:v>113.20055555555599</x:v>
      </x:c>
      <x:c r="BP124" s="22">
        <x:v>21.986138888888899</x:v>
      </x:c>
      <x:c r="BQ124" s="18">
        <x:v>120</x:v>
      </x:c>
      <x:c r="BR124" s="18">
        <x:v>76179.642000000007</x:v>
      </x:c>
      <x:c r="BS124" s="18">
        <x:v>161.30199999999999</x:v>
      </x:c>
      <x:c r="BT124" s="18">
        <x:v>3.4329999999999998</x:v>
      </x:c>
      <x:c r="BU124" s="18">
        <x:v>76.242000000000004</x:v>
      </x:c>
      <x:c r="BV124" s="18">
        <x:v>17.134</x:v>
      </x:c>
      <x:c r="BW124" s="18">
        <x:v>8229.4429999999993</x:v>
      </x:c>
      <x:c r="BX124" s="18">
        <x:v>2.177</x:v>
      </x:c>
      <x:c r="BY124" s="18">
        <x:v>1805.037</x:v>
      </x:c>
      <x:c r="BZ124" s="18">
        <x:v>1805.037</x:v>
      </x:c>
      <x:c r="CA124" s="23">
        <x:f t="shared" si="65"/>
        <x:v>476.98192796616604</x:v>
      </x:c>
      <x:c r="CB124" s="23">
        <x:f t="shared" si="66"/>
        <x:v>573.0271700548617</x:v>
      </x:c>
      <x:c r="CC124" s="23">
        <x:f t="shared" si="67"/>
        <x:v>135.44220057707508</x:v>
      </x:c>
      <x:c r="CD124" s="23">
        <x:f t="shared" si="68"/>
        <x:v>1532.3102890639454</x:v>
      </x:c>
      <x:c r="CE124" s="23">
        <x:f t="shared" si="69"/>
        <x:v>370.78287442786535</x:v>
      </x:c>
      <x:c r="CF124" s="23">
        <x:f t="shared" si="70"/>
        <x:v>0.91399923482411005</x:v>
      </x:c>
      <x:c r="CG124" s="23">
        <x:f t="shared" si="71"/>
        <x:v>0.72688588932806331</x:v>
      </x:c>
      <x:c r="CH124" s="23">
        <x:f t="shared" si="72"/>
        <x:v>4.0624670676679839</x:v>
      </x:c>
      <x:c r="CI124" s="23">
        <x:f t="shared" si="73"/>
        <x:v>0.32306039525691699</x:v>
      </x:c>
      <x:c r="CJ124" s="24" t="s">
        <x:v>114</x:v>
      </x:c>
      <x:c r="CK124" s="29">
        <x:v>95</x:v>
      </x:c>
      <x:c r="CL124" s="26" t="s">
        <x:v>97</x:v>
      </x:c>
      <x:c r="CM124" s="28">
        <x:v>70</x:v>
      </x:c>
      <x:c r="CN124" s="30" t="s">
        <x:v>319</x:v>
      </x:c>
      <x:c r="CO124" s="27">
        <x:v>99.8</x:v>
      </x:c>
      <x:c r="CP124" s="27">
        <x:v>99.6</x:v>
      </x:c>
      <x:c r="CQ124" s="26">
        <x:f t="shared" si="74"/>
        <x:v>23.849096398308323</x:v>
      </x:c>
      <x:c r="CR124" s="26">
        <x:f t="shared" si="75"/>
        <x:v>171.90815101645853</x:v>
      </x:c>
      <x:c r="CS124" s="26">
        <x:f t="shared" si="78"/>
        <x:v>135.44220057707508</x:v>
      </x:c>
      <x:c r="CT124" s="26">
        <x:f t="shared" si="110"/>
        <x:v>3.0646205781278937</x:v>
      </x:c>
      <x:c r="CU124" s="26">
        <x:f t="shared" si="111"/>
        <x:v>1.4831314977114627</x:v>
      </x:c>
      <x:c r="CV124" s="26">
        <x:f t="shared" si="112"/>
        <x:v>3.6559969392964435E-3</x:v>
      </x:c>
      <x:c r="CW124" s="26">
        <x:f t="shared" si="113"/>
        <x:v>2.9075435573122557E-3</x:v>
      </x:c>
      <x:c r="CX124" s="26">
        <x:f t="shared" si="79"/>
        <x:v>4.0624670676679839</x:v>
      </x:c>
      <x:c r="CY124" s="26">
        <x:f t="shared" si="80"/>
        <x:v>0.32306039525691699</x:v>
      </x:c>
    </x:row>
    <x:row r="125">
      <x:c r="A125" s="18">
        <x:v>2022</x:v>
      </x:c>
      <x:c r="B125" t="s">
        <x:v>315</x:v>
      </x:c>
      <x:c r="C125" t="s">
        <x:v>316</x:v>
      </x:c>
      <x:c r="D125" t="s">
        <x:v>317</x:v>
      </x:c>
      <x:c r="E125" s="18">
        <x:v>440409</x:v>
      </x:c>
      <x:c r="F125" t="s">
        <x:v>314</x:v>
      </x:c>
      <x:c r="G125" t="s">
        <x:v>296</x:v>
      </x:c>
      <x:c r="H125" s="18">
        <x:v>2221</x:v>
      </x:c>
      <x:c r="I125" t="s">
        <x:v>158</x:v>
      </x:c>
      <x:c r="J125" t="s">
        <x:v>318</x:v>
      </x:c>
      <x:c r="K125" t="s">
        <x:v>109</x:v>
      </x:c>
      <x:c r="L125" s="20">
        <x:v>1.2</x:v>
      </x:c>
      <x:c r="M125" t="s">
        <x:v>125</x:v>
      </x:c>
      <x:c r="N125" s="18">
        <x:v>75</x:v>
      </x:c>
      <x:c r="O125" t="s">
        <x:v>88</x:v>
      </x:c>
      <x:c r="P125" s="18">
        <x:v>4</x:v>
      </x:c>
      <x:c r="Q125" s="19" t="s">
        <x:v>111</x:v>
      </x:c>
      <x:c r="R125" s="18">
        <x:v>62946.875999999997</x:v>
      </x:c>
      <x:c r="S125" t="s">
        <x:v>112</x:v>
      </x:c>
      <x:c r="T125" s="19">
        <x:f t="shared" si="118"/>
        <x:v>62946.875999999997</x:v>
      </x:c>
      <x:c r="U125" s="20">
        <x:v>0.44</x:v>
      </x:c>
      <x:c r="V125" t="s">
        <x:v>113</x:v>
      </x:c>
      <x:c r="W125" s="20">
        <x:v>14.92</x:v>
      </x:c>
      <x:c r="X125" s="21">
        <x:f t="shared" si="119"/>
        <x:v>470.84263248000002</x:v>
      </x:c>
      <x:c r="Y125" s="21" t="n">
        <x:f>8.96*T125/1000</x:f>
        <x:v>564.00400896</x:v>
      </x:c>
      <x:c r="Z125" s="21">
        <x:f t="shared" si="120"/>
        <x:v>125.89375199999999</x:v>
      </x:c>
      <x:c r="AA125" s="21" t="n">
        <x:f>W125/100*(1-0.44)*0.29*T125</x:f>
        <x:v>1525.2078412300798</x:v>
      </x:c>
      <x:c r="AB125" s="21" t="n">
        <x:f>W125/100*(1-0.44)*0.07*T125</x:f>
        <x:v>368.15361684864</x:v>
      </x:c>
      <x:c r="AC125" s="21">
        <x:f t="shared" si="121"/>
        <x:v>0.73630723369728002</x:v>
      </x:c>
      <x:c r="AD125" s="21"/>
      <x:c r="AE125" s="21">
        <x:f t="shared" si="122"/>
        <x:v>2.5178750399999998</x:v>
      </x:c>
      <x:c r="AF125" s="21"/>
      <x:c r="AG125" s="19" t="s">
        <x:v>238</x:v>
      </x:c>
      <x:c r="AH125" s="18">
        <x:v>587.9</x:v>
      </x:c>
      <x:c r="AI125" t="s">
        <x:v>112</x:v>
      </x:c>
      <x:c r="AJ125" s="19" t="n">
        <x:f>AH125</x:f>
        <x:v>587.9</x:v>
      </x:c>
      <x:c r="AK125" s="20">
        <x:v>0.52</x:v>
      </x:c>
      <x:c r="AL125" t="s">
        <x:v>113</x:v>
      </x:c>
      <x:c r="AM125" s="20">
        <x:v>5.86</x:v>
      </x:c>
      <x:c r="AN125" s="21" t="n">
        <x:f>2*AK125/100*(1-0.15)*AJ125</x:f>
        <x:v>5.197035999999999</x:v>
      </x:c>
      <x:c r="AO125" s="21" t="n">
        <x:f>8.96*AJ125/1000</x:f>
        <x:v>5.267584000000001</x:v>
      </x:c>
      <x:c r="AP125" s="21" t="n">
        <x:f>2*AJ125/1000</x:f>
        <x:v>1.1758</x:v>
      </x:c>
      <x:c r="AQ125" s="21" t="n">
        <x:f>AM125/100*(1-0.44)*0.29*AJ125</x:f>
        <x:v>5.594832656</x:v>
      </x:c>
      <x:c r="AR125" s="21" t="n">
        <x:f>AM125/100*(1-0.44)*0.07*AJ125</x:f>
        <x:v>1.3504768480000002</x:v>
      </x:c>
      <x:c r="AS125" s="21">
        <x:f t="shared" si="123"/>
        <x:v>2.7009536960000005E-3</x:v>
      </x:c>
      <x:c r="AT125" s="21"/>
      <x:c r="AU125" s="21" t="n">
        <x:f>0.04*AJ125/1000</x:f>
        <x:v>0.023516</x:v>
      </x:c>
      <x:c r="AV125" s="21"/>
      <x:c r="AW125" s="18">
        <x:v>681.11900000000003</x:v>
      </x:c>
      <x:c r="AX125" s="19" t="n">
        <x:f>AW125/0.506</x:f>
        <x:v>1346.0849802371542</x:v>
      </x:c>
      <x:c r="AY125" s="21" t="n">
        <x:f>AX125*0.7/1000</x:f>
        <x:v>0.942259486166008</x:v>
      </x:c>
      <x:c r="AZ125" s="21" t="n">
        <x:f>AX125*2.79/1000</x:f>
        <x:v>3.7555770948616605</x:v>
      </x:c>
      <x:c r="BA125" s="21" t="n">
        <x:f>AX125*6.22/1000</x:f>
        <x:v>8.372648577075099</x:v>
      </x:c>
      <x:c r="BB125" s="21" t="n">
        <x:f>AX125*1.12/1000</x:f>
        <x:v>1.5076151778656128</x:v>
      </x:c>
      <x:c r="BC125" s="21" t="n">
        <x:f>AX125*0.95/1000</x:f>
        <x:v>1.2787807312252963</x:v>
      </x:c>
      <x:c r="BD125" s="21" t="n">
        <x:f>AX125*0.13/1000</x:f>
        <x:v>0.17499104743083008</x:v>
      </x:c>
      <x:c r="BE125" s="21" t="n">
        <x:f>AX125*0.54/1000</x:f>
        <x:v>0.7268858893280633</x:v>
      </x:c>
      <x:c r="BF125" s="21" t="n">
        <x:f>AX125*1.13/1000</x:f>
        <x:v>1.5210760276679842</x:v>
      </x:c>
      <x:c r="BG125" s="21" t="n">
        <x:f>AX125*0.24/1000</x:f>
        <x:v>0.323060395256917</x:v>
      </x:c>
      <x:c r="BH125" t="s">
        <x:v>90</x:v>
      </x:c>
      <x:c r="BI125" s="18">
        <x:v>113</x:v>
      </x:c>
      <x:c r="BJ125" s="18">
        <x:v>12</x:v>
      </x:c>
      <x:c r="BK125" s="18">
        <x:v>2</x:v>
      </x:c>
      <x:c r="BL125" s="18">
        <x:v>21</x:v>
      </x:c>
      <x:c r="BM125" s="18">
        <x:v>59</x:v>
      </x:c>
      <x:c r="BN125" s="18">
        <x:v>10.1</x:v>
      </x:c>
      <x:c r="BO125" s="22">
        <x:v>113.20055555555599</x:v>
      </x:c>
      <x:c r="BP125" s="22">
        <x:v>21.986138888888899</x:v>
      </x:c>
      <x:c r="BQ125" s="18">
        <x:v>120</x:v>
      </x:c>
      <x:c r="BR125" s="18">
        <x:v>76179.642000000007</x:v>
      </x:c>
      <x:c r="BS125" s="18">
        <x:v>161.30199999999999</x:v>
      </x:c>
      <x:c r="BT125" s="18">
        <x:v>3.4329999999999998</x:v>
      </x:c>
      <x:c r="BU125" s="18">
        <x:v>76.242000000000004</x:v>
      </x:c>
      <x:c r="BV125" s="18">
        <x:v>17.134</x:v>
      </x:c>
      <x:c r="BW125" s="18">
        <x:v>8229.4429999999993</x:v>
      </x:c>
      <x:c r="BX125" s="18">
        <x:v>2.177</x:v>
      </x:c>
      <x:c r="BY125" s="18">
        <x:v>1805.037</x:v>
      </x:c>
      <x:c r="BZ125" s="18">
        <x:v>1805.037</x:v>
      </x:c>
      <x:c r="CA125" s="23">
        <x:f t="shared" si="65"/>
        <x:v>476.98192796616604</x:v>
      </x:c>
      <x:c r="CB125" s="23">
        <x:f t="shared" si="66"/>
        <x:v>573.0271700548617</x:v>
      </x:c>
      <x:c r="CC125" s="23">
        <x:f t="shared" si="67"/>
        <x:v>135.44220057707508</x:v>
      </x:c>
      <x:c r="CD125" s="23">
        <x:f t="shared" si="68"/>
        <x:v>1532.3102890639454</x:v>
      </x:c>
      <x:c r="CE125" s="23">
        <x:f t="shared" si="69"/>
        <x:v>370.78287442786535</x:v>
      </x:c>
      <x:c r="CF125" s="23">
        <x:f t="shared" si="70"/>
        <x:v>0.91399923482411005</x:v>
      </x:c>
      <x:c r="CG125" s="23">
        <x:f t="shared" si="71"/>
        <x:v>0.72688588932806331</x:v>
      </x:c>
      <x:c r="CH125" s="23">
        <x:f t="shared" si="72"/>
        <x:v>4.0624670676679839</x:v>
      </x:c>
      <x:c r="CI125" s="23">
        <x:f t="shared" si="73"/>
        <x:v>0.32306039525691699</x:v>
      </x:c>
      <x:c r="CJ125" s="24" t="s">
        <x:v>114</x:v>
      </x:c>
      <x:c r="CK125" s="29">
        <x:v>95</x:v>
      </x:c>
      <x:c r="CL125" s="26" t="s">
        <x:v>97</x:v>
      </x:c>
      <x:c r="CM125" s="28">
        <x:v>70</x:v>
      </x:c>
      <x:c r="CN125" s="30" t="s">
        <x:v>319</x:v>
      </x:c>
      <x:c r="CO125" s="27">
        <x:v>99.8</x:v>
      </x:c>
      <x:c r="CP125" s="27">
        <x:v>99.6</x:v>
      </x:c>
      <x:c r="CQ125" s="26">
        <x:f t="shared" si="74"/>
        <x:v>23.849096398308323</x:v>
      </x:c>
      <x:c r="CR125" s="26">
        <x:f t="shared" si="75"/>
        <x:v>171.90815101645853</x:v>
      </x:c>
      <x:c r="CS125" s="26">
        <x:f t="shared" si="78"/>
        <x:v>135.44220057707508</x:v>
      </x:c>
      <x:c r="CT125" s="26">
        <x:f t="shared" si="110"/>
        <x:v>3.0646205781278937</x:v>
      </x:c>
      <x:c r="CU125" s="26">
        <x:f t="shared" si="111"/>
        <x:v>1.4831314977114627</x:v>
      </x:c>
      <x:c r="CV125" s="26">
        <x:f t="shared" si="112"/>
        <x:v>3.6559969392964435E-3</x:v>
      </x:c>
      <x:c r="CW125" s="26">
        <x:f t="shared" si="113"/>
        <x:v>2.9075435573122557E-3</x:v>
      </x:c>
      <x:c r="CX125" s="26">
        <x:f t="shared" si="79"/>
        <x:v>4.0624670676679839</x:v>
      </x:c>
      <x:c r="CY125" s="26">
        <x:f t="shared" si="80"/>
        <x:v>0.32306039525691699</x:v>
      </x:c>
    </x:row>
    <x:row r="126">
      <x:c r="A126" s="18">
        <x:v>2022</x:v>
      </x:c>
      <x:c r="B126" t="s">
        <x:v>320</x:v>
      </x:c>
      <x:c r="C126" t="s">
        <x:v>321</x:v>
      </x:c>
      <x:c r="D126" t="s">
        <x:v>322</x:v>
      </x:c>
      <x:c r="E126" s="18">
        <x:v>440409</x:v>
      </x:c>
      <x:c r="F126" t="s">
        <x:v>314</x:v>
      </x:c>
      <x:c r="G126" t="s">
        <x:v>296</x:v>
      </x:c>
      <x:c r="H126" s="18">
        <x:v>4411</x:v>
      </x:c>
      <x:c r="I126" t="s">
        <x:v>102</x:v>
      </x:c>
      <x:c r="J126" t="s">
        <x:v>323</x:v>
      </x:c>
      <x:c r="K126" t="s">
        <x:v>109</x:v>
      </x:c>
      <x:c r="L126" s="20">
        <x:v>70</x:v>
      </x:c>
      <x:c r="M126" t="s">
        <x:v>110</x:v>
      </x:c>
      <x:c r="N126" s="18">
        <x:v>2290</x:v>
      </x:c>
      <x:c r="O126" t="s">
        <x:v>88</x:v>
      </x:c>
      <x:c r="P126" s="18">
        <x:v>4</x:v>
      </x:c>
      <x:c r="Q126" s="19" t="s">
        <x:v>111</x:v>
      </x:c>
      <x:c r="R126" s="18">
        <x:v>1105863</x:v>
      </x:c>
      <x:c r="S126" t="s">
        <x:v>112</x:v>
      </x:c>
      <x:c r="T126" s="19">
        <x:f t="shared" si="118"/>
        <x:v>1105863</x:v>
      </x:c>
      <x:c r="U126" s="20">
        <x:v>0.61</x:v>
      </x:c>
      <x:c r="V126" t="s">
        <x:v>113</x:v>
      </x:c>
      <x:c r="W126" s="20">
        <x:v>9.4600000000000009</x:v>
      </x:c>
      <x:c r="X126" s="21">
        <x:f t="shared" si="119"/>
        <x:v>11467.799309999999</x:v>
      </x:c>
      <x:c r="Y126" s="21" t="n">
        <x:f>7.21*T126/1000</x:f>
        <x:v>7973.27223</x:v>
      </x:c>
      <x:c r="Z126" s="21">
        <x:f t="shared" si="120"/>
        <x:v>2211.7260000000001</x:v>
      </x:c>
      <x:c r="AA126" s="21" t="n">
        <x:f>W126/100*(1-0.25)*0.23*T126</x:f>
        <x:v>18046.025365499998</x:v>
      </x:c>
      <x:c r="AB126" s="21" t="n">
        <x:f>W126/100*(1-0.25)*0.06*T126</x:f>
        <x:v>4707.658791</x:v>
      </x:c>
      <x:c r="AC126" s="21" t="n">
        <x:f t="shared" ref="AC126:AC129" si="124">0.002*AB126</x:f>
        <x:v>9.415317582</x:v>
      </x:c>
      <x:c r="AD126" s="21"/>
      <x:c r="AE126" s="21">
        <x:f t="shared" si="122"/>
        <x:v>44.234520000000003</x:v>
      </x:c>
      <x:c r="AF126" s="21"/>
      <x:c r="AG126" s="19" t="s">
        <x:v>176</x:v>
      </x:c>
      <x:c r="AH126" s="18">
        <x:v>537.63699999999994</x:v>
      </x:c>
      <x:c r="AI126" t="s">
        <x:v>112</x:v>
      </x:c>
      <x:c r="AJ126" s="19" t="n">
        <x:f t="shared" ref="AJ126:AJ129" si="125">AH126</x:f>
        <x:v>537.637</x:v>
      </x:c>
      <x:c r="AK126" s="20">
        <x:v>1E-3</x:v>
      </x:c>
      <x:c r="AL126" t="s">
        <x:v>113</x:v>
      </x:c>
      <x:c r="AM126" s="20">
        <x:v>0</x:v>
      </x:c>
      <x:c r="AN126" s="21" t="n">
        <x:f>2*AK126/100*AJ126</x:f>
        <x:v>0.01075274</x:v>
      </x:c>
      <x:c r="AO126" s="21" t="n">
        <x:f>7.4*AJ126/1000</x:f>
        <x:v>3.9785137999999995</x:v>
      </x:c>
      <x:c r="AP126" s="21" t="n">
        <x:f>0.6*AJ126/1000</x:f>
        <x:v>0.32258219999999993</x:v>
      </x:c>
      <x:c r="AQ126" s="21" t="n">
        <x:f>0.5*AJ126/1000</x:f>
        <x:v>0.26881849999999996</x:v>
      </x:c>
      <x:c r="AR126" s="21" t="n">
        <x:f>0.5*AJ126/1000</x:f>
        <x:v>0.26881849999999996</x:v>
      </x:c>
      <x:c r="AS126" s="21" t="n">
        <x:f>0.01*AJ126/1000</x:f>
        <x:v>0.005376369999999999</x:v>
      </x:c>
      <x:c r="AT126" s="21" t="n">
        <x:f>0.04*AJ126/1000</x:f>
        <x:v>0.021505479999999997</x:v>
      </x:c>
      <x:c r="AU126" s="21" t="n">
        <x:f>0.13*AJ126/1000</x:f>
        <x:v>0.06989281</x:v>
      </x:c>
      <x:c r="AV126" s="21"/>
      <x:c r="AW126" s="18">
        <x:v>0</x:v>
      </x:c>
      <x:c r="AX126" s="19"/>
      <x:c r="AY126" s="21"/>
      <x:c r="AZ126" s="21"/>
      <x:c r="BA126" s="21"/>
      <x:c r="BB126" s="21"/>
      <x:c r="BC126" s="21"/>
      <x:c r="BD126" s="21"/>
      <x:c r="BE126" s="21"/>
      <x:c r="BF126" s="21"/>
      <x:c r="BG126" s="21"/>
      <x:c r="BH126" t="s">
        <x:v>81</x:v>
      </x:c>
      <x:c r="BI126" s="18">
        <x:v>113</x:v>
      </x:c>
      <x:c r="BJ126" s="18">
        <x:v>10</x:v>
      </x:c>
      <x:c r="BK126" s="18">
        <x:v>48</x:v>
      </x:c>
      <x:c r="BL126" s="18">
        <x:v>21</x:v>
      </x:c>
      <x:c r="BM126" s="18">
        <x:v>58</x:v>
      </x:c>
      <x:c r="BN126" s="18">
        <x:v>0</x:v>
      </x:c>
      <x:c r="BO126" s="22">
        <x:v>113.18</x:v>
      </x:c>
      <x:c r="BP126" s="22">
        <x:v>21.966666666666701</x:v>
      </x:c>
      <x:c r="BQ126" s="18">
        <x:v>240</x:v>
      </x:c>
      <x:c r="BR126" s="18">
        <x:v>1137451.317</x:v>
      </x:c>
      <x:c r="BS126" s="18">
        <x:v>15398.319</x:v>
      </x:c>
      <x:c r="BT126" s="18">
        <x:v>239.90600000000001</x:v>
      </x:c>
      <x:c r="BU126" s="18">
        <x:v>1798.3789999999999</x:v>
      </x:c>
      <x:c r="BV126" s="18">
        <x:v>429.62400000000002</x:v>
      </x:c>
      <x:c r="BW126" s="18">
        <x:v>112057.232</x:v>
      </x:c>
      <x:c r="BX126" s="18">
        <x:v>22.318000000000001</x:v>
      </x:c>
      <x:c r="BY126" s="18">
        <x:v>13049.183000000001</x:v>
      </x:c>
      <x:c r="BZ126" s="18">
        <x:v>13049.183000000001</x:v>
      </x:c>
      <x:c r="CA126" s="23">
        <x:f t="shared" si="65"/>
        <x:v>11467.810062739998</x:v>
      </x:c>
      <x:c r="CB126" s="23">
        <x:f t="shared" si="66"/>
        <x:v>7977.2507437999993</x:v>
      </x:c>
      <x:c r="CC126" s="23">
        <x:f t="shared" si="67"/>
        <x:v>2212.0485822000001</x:v>
      </x:c>
      <x:c r="CD126" s="23">
        <x:f t="shared" si="68"/>
        <x:v>18046.294183999998</x:v>
      </x:c>
      <x:c r="CE126" s="23">
        <x:f t="shared" si="69"/>
        <x:v>4707.9276094999996</x:v>
      </x:c>
      <x:c r="CF126" s="23">
        <x:f t="shared" si="70"/>
        <x:v>9.4206939520000006</x:v>
      </x:c>
      <x:c r="CG126" s="23">
        <x:f t="shared" si="71"/>
        <x:v>2.1505479999999997E-2</x:v>
      </x:c>
      <x:c r="CH126" s="23">
        <x:f t="shared" si="72"/>
        <x:v>44.304412810000002</x:v>
      </x:c>
      <x:c r="CI126" s="23">
        <x:f t="shared" si="73"/>
        <x:v>0</x:v>
      </x:c>
      <x:c r="CJ126" s="24" t="s">
        <x:v>153</x:v>
      </x:c>
      <x:c r="CK126" s="29">
        <x:v>98</x:v>
      </x:c>
      <x:c r="CL126" s="26" t="s">
        <x:v>97</x:v>
      </x:c>
      <x:c r="CM126" s="28">
        <x:v>75</x:v>
      </x:c>
      <x:c r="CN126" s="30" t="s">
        <x:v>168</x:v>
      </x:c>
      <x:c r="CO126" s="27">
        <x:v>99.4</x:v>
      </x:c>
      <x:c r="CP126" s="27">
        <x:v>98.3</x:v>
      </x:c>
      <x:c r="CQ126" s="26">
        <x:f t="shared" si="74"/>
        <x:v>229.35620125480017</x:v>
      </x:c>
      <x:c r="CR126" s="26">
        <x:f t="shared" si="75"/>
        <x:v>1994.3126859499998</x:v>
      </x:c>
      <x:c r="CS126" s="26">
        <x:f t="shared" si="78"/>
        <x:v>2212.0485822000001</x:v>
      </x:c>
      <x:c r="CT126" s="26">
        <x:f t="shared" si="110"/>
        <x:v>108.27776510399808</x:v>
      </x:c>
      <x:c r="CU126" s="26">
        <x:f t="shared" si="111"/>
        <x:v>80.034769361500068</x:v>
      </x:c>
      <x:c r="CV126" s="26">
        <x:f t="shared" si="112"/>
        <x:v>0.16015179718400016</x:v>
      </x:c>
      <x:c r="CW126" s="26">
        <x:f t="shared" si="113"/>
        <x:v>3.6559316000000028E-4</x:v>
      </x:c>
      <x:c r="CX126" s="26">
        <x:f t="shared" si="79"/>
        <x:v>44.304412810000002</x:v>
      </x:c>
      <x:c r="CY126" s="26">
        <x:f t="shared" si="80"/>
        <x:v>0</x:v>
      </x:c>
    </x:row>
    <x:row r="127">
      <x:c r="A127" s="18">
        <x:v>2022</x:v>
      </x:c>
      <x:c r="B127" t="s">
        <x:v>320</x:v>
      </x:c>
      <x:c r="C127" t="s">
        <x:v>321</x:v>
      </x:c>
      <x:c r="D127" t="s">
        <x:v>322</x:v>
      </x:c>
      <x:c r="E127" s="18">
        <x:v>440409</x:v>
      </x:c>
      <x:c r="F127" t="s">
        <x:v>314</x:v>
      </x:c>
      <x:c r="G127" t="s">
        <x:v>296</x:v>
      </x:c>
      <x:c r="H127" s="18">
        <x:v>4411</x:v>
      </x:c>
      <x:c r="I127" t="s">
        <x:v>102</x:v>
      </x:c>
      <x:c r="J127" t="s">
        <x:v>323</x:v>
      </x:c>
      <x:c r="K127" t="s">
        <x:v>109</x:v>
      </x:c>
      <x:c r="L127" s="20">
        <x:v>70</x:v>
      </x:c>
      <x:c r="M127" t="s">
        <x:v>110</x:v>
      </x:c>
      <x:c r="N127" s="18">
        <x:v>2290</x:v>
      </x:c>
      <x:c r="O127" t="s">
        <x:v>88</x:v>
      </x:c>
      <x:c r="P127" s="18">
        <x:v>4</x:v>
      </x:c>
      <x:c r="Q127" s="19" t="s">
        <x:v>111</x:v>
      </x:c>
      <x:c r="R127" s="18">
        <x:v>1403150</x:v>
      </x:c>
      <x:c r="S127" t="s">
        <x:v>112</x:v>
      </x:c>
      <x:c r="T127" s="19">
        <x:f t="shared" si="118"/>
        <x:v>1403150</x:v>
      </x:c>
      <x:c r="U127" s="20">
        <x:v>0.62</x:v>
      </x:c>
      <x:c r="V127" t="s">
        <x:v>113</x:v>
      </x:c>
      <x:c r="W127" s="20">
        <x:v>9.6999999999999993</x:v>
      </x:c>
      <x:c r="X127" s="21">
        <x:f t="shared" si="119"/>
        <x:v>14789.200999999999</x:v>
      </x:c>
      <x:c r="Y127" s="21" t="n">
        <x:f>7.21*T127/1000</x:f>
        <x:v>10116.7115</x:v>
      </x:c>
      <x:c r="Z127" s="21">
        <x:f t="shared" si="120"/>
        <x:v>2806.3</x:v>
      </x:c>
      <x:c r="AA127" s="21" t="n">
        <x:f>W127/100*(1-0.25)*0.23*T127</x:f>
        <x:v>23478.207375</x:v>
      </x:c>
      <x:c r="AB127" s="21" t="n">
        <x:f>W127/100*(1-0.25)*0.06*T127</x:f>
        <x:v>6124.74975</x:v>
      </x:c>
      <x:c r="AC127" s="21">
        <x:f t="shared" si="124"/>
        <x:v>12.249499500000001</x:v>
      </x:c>
      <x:c r="AD127" s="21"/>
      <x:c r="AE127" s="21">
        <x:f t="shared" si="122"/>
        <x:v>56.125999999999998</x:v>
      </x:c>
      <x:c r="AF127" s="21"/>
      <x:c r="AG127" s="19" t="s">
        <x:v>176</x:v>
      </x:c>
      <x:c r="AH127" s="18">
        <x:v>548.375</x:v>
      </x:c>
      <x:c r="AI127" t="s">
        <x:v>112</x:v>
      </x:c>
      <x:c r="AJ127" s="19">
        <x:f t="shared" si="125"/>
        <x:v>548.375</x:v>
      </x:c>
      <x:c r="AK127" s="20">
        <x:v>1E-3</x:v>
      </x:c>
      <x:c r="AL127" t="s">
        <x:v>113</x:v>
      </x:c>
      <x:c r="AM127" s="20">
        <x:v>0</x:v>
      </x:c>
      <x:c r="AN127" s="21" t="n">
        <x:f>2*AK127/100*AJ127</x:f>
        <x:v>0.010967500000000002</x:v>
      </x:c>
      <x:c r="AO127" s="21" t="n">
        <x:f>7.4*AJ127/1000</x:f>
        <x:v>4.057975000000001</x:v>
      </x:c>
      <x:c r="AP127" s="21" t="n">
        <x:f>0.6*AJ127/1000</x:f>
        <x:v>0.32902499999999996</x:v>
      </x:c>
      <x:c r="AQ127" s="21" t="n">
        <x:f>0.5*AJ127/1000</x:f>
        <x:v>0.2741875</x:v>
      </x:c>
      <x:c r="AR127" s="21" t="n">
        <x:f>0.5*AJ127/1000</x:f>
        <x:v>0.2741875</x:v>
      </x:c>
      <x:c r="AS127" s="21" t="n">
        <x:f>0.01*AJ127/1000</x:f>
        <x:v>0.00548375</x:v>
      </x:c>
      <x:c r="AT127" s="21" t="n">
        <x:f>0.04*AJ127/1000</x:f>
        <x:v>0.021935</x:v>
      </x:c>
      <x:c r="AU127" s="21" t="n">
        <x:f>0.13*AJ127/1000</x:f>
        <x:v>0.07128875000000001</x:v>
      </x:c>
      <x:c r="AV127" s="21"/>
      <x:c r="AW127" s="18">
        <x:v>0</x:v>
      </x:c>
      <x:c r="AX127" s="19"/>
      <x:c r="AY127" s="21"/>
      <x:c r="AZ127" s="21"/>
      <x:c r="BA127" s="21"/>
      <x:c r="BB127" s="21"/>
      <x:c r="BC127" s="21"/>
      <x:c r="BD127" s="21"/>
      <x:c r="BE127" s="21"/>
      <x:c r="BF127" s="21"/>
      <x:c r="BG127" s="21"/>
      <x:c r="BH127" t="s">
        <x:v>79</x:v>
      </x:c>
      <x:c r="BI127" s="18">
        <x:v>113</x:v>
      </x:c>
      <x:c r="BJ127" s="18">
        <x:v>10</x:v>
      </x:c>
      <x:c r="BK127" s="18">
        <x:v>48</x:v>
      </x:c>
      <x:c r="BL127" s="18">
        <x:v>21</x:v>
      </x:c>
      <x:c r="BM127" s="18">
        <x:v>58</x:v>
      </x:c>
      <x:c r="BN127" s="18">
        <x:v>0</x:v>
      </x:c>
      <x:c r="BO127" s="22">
        <x:v>113.18</x:v>
      </x:c>
      <x:c r="BP127" s="22">
        <x:v>21.966666666666701</x:v>
      </x:c>
      <x:c r="BQ127" s="18">
        <x:v>240</x:v>
      </x:c>
      <x:c r="BR127" s="18">
        <x:v>1333913.0160000001</x:v>
      </x:c>
      <x:c r="BS127" s="18">
        <x:v>21165.722000000002</x:v>
      </x:c>
      <x:c r="BT127" s="18">
        <x:v>259.58999999999997</x:v>
      </x:c>
      <x:c r="BU127" s="18">
        <x:v>2641.9569999999999</x:v>
      </x:c>
      <x:c r="BV127" s="18">
        <x:v>435.92700000000002</x:v>
      </x:c>
      <x:c r="BW127" s="18">
        <x:v>142181.32699999999</x:v>
      </x:c>
      <x:c r="BX127" s="18">
        <x:v>24.033999999999999</x:v>
      </x:c>
      <x:c r="BY127" s="18">
        <x:v>16557.169999999998</x:v>
      </x:c>
      <x:c r="BZ127" s="18">
        <x:v>16557.169999999998</x:v>
      </x:c>
      <x:c r="CA127" s="23">
        <x:f t="shared" si="65"/>
        <x:v>14789.211967499999</x:v>
      </x:c>
      <x:c r="CB127" s="23">
        <x:f t="shared" si="66"/>
        <x:v>10120.769474999999</x:v>
      </x:c>
      <x:c r="CC127" s="23">
        <x:f t="shared" si="67"/>
        <x:v>2806.6290250000002</x:v>
      </x:c>
      <x:c r="CD127" s="23">
        <x:f t="shared" si="68"/>
        <x:v>23478.481562500001</x:v>
      </x:c>
      <x:c r="CE127" s="23">
        <x:f t="shared" si="69"/>
        <x:v>6125.0239375000001</x:v>
      </x:c>
      <x:c r="CF127" s="23">
        <x:f t="shared" si="70"/>
        <x:v>12.25498325</x:v>
      </x:c>
      <x:c r="CG127" s="23">
        <x:f t="shared" si="71"/>
        <x:v>2.1935E-2</x:v>
      </x:c>
      <x:c r="CH127" s="23">
        <x:f t="shared" si="72"/>
        <x:v>56.197288749999998</x:v>
      </x:c>
      <x:c r="CI127" s="23">
        <x:f t="shared" si="73"/>
        <x:v>0</x:v>
      </x:c>
      <x:c r="CJ127" s="24" t="s">
        <x:v>153</x:v>
      </x:c>
      <x:c r="CK127" s="29">
        <x:v>98</x:v>
      </x:c>
      <x:c r="CL127" s="26" t="s">
        <x:v>97</x:v>
      </x:c>
      <x:c r="CM127" s="28">
        <x:v>75</x:v>
      </x:c>
      <x:c r="CN127" s="30" t="s">
        <x:v>168</x:v>
      </x:c>
      <x:c r="CO127" s="27">
        <x:v>99.4</x:v>
      </x:c>
      <x:c r="CP127" s="27">
        <x:v>98.3</x:v>
      </x:c>
      <x:c r="CQ127" s="26">
        <x:f t="shared" si="74"/>
        <x:v>295.78423935000023</x:v>
      </x:c>
      <x:c r="CR127" s="26">
        <x:f t="shared" si="75"/>
        <x:v>2530.1923687499998</x:v>
      </x:c>
      <x:c r="CS127" s="26">
        <x:f t="shared" si="78"/>
        <x:v>2806.6290250000002</x:v>
      </x:c>
      <x:c r="CT127" s="26">
        <x:f t="shared" si="110"/>
        <x:v>140.87088937499752</x:v>
      </x:c>
      <x:c r="CU127" s="26">
        <x:f t="shared" si="111"/>
        <x:v>104.12540693750009</x:v>
      </x:c>
      <x:c r="CV127" s="26">
        <x:f t="shared" si="112"/>
        <x:v>0.20833471525000019</x:v>
      </x:c>
      <x:c r="CW127" s="26">
        <x:f t="shared" si="113"/>
        <x:v>3.7289500000000031E-4</x:v>
      </x:c>
      <x:c r="CX127" s="26">
        <x:f t="shared" si="79"/>
        <x:v>56.197288749999998</x:v>
      </x:c>
      <x:c r="CY127" s="26">
        <x:f t="shared" si="80"/>
        <x:v>0</x:v>
      </x:c>
    </x:row>
    <x:row r="128">
      <x:c r="A128" s="18">
        <x:v>2022</x:v>
      </x:c>
      <x:c r="B128" t="s">
        <x:v>324</x:v>
      </x:c>
      <x:c r="C128" t="s">
        <x:v>325</x:v>
      </x:c>
      <x:c r="D128" t="s">
        <x:v>326</x:v>
      </x:c>
      <x:c r="E128" s="18">
        <x:v>440409</x:v>
      </x:c>
      <x:c r="F128" t="s">
        <x:v>314</x:v>
      </x:c>
      <x:c r="G128" t="s">
        <x:v>296</x:v>
      </x:c>
      <x:c r="H128" s="18">
        <x:v>4411</x:v>
      </x:c>
      <x:c r="I128" t="s">
        <x:v>102</x:v>
      </x:c>
      <x:c r="J128" t="s">
        <x:v>78</x:v>
      </x:c>
      <x:c r="K128" t="s">
        <x:v>109</x:v>
      </x:c>
      <x:c r="L128" s="20">
        <x:v>60</x:v>
      </x:c>
      <x:c r="M128" t="s">
        <x:v>110</x:v>
      </x:c>
      <x:c r="N128" s="18">
        <x:v>1913</x:v>
      </x:c>
      <x:c r="O128" t="s">
        <x:v>88</x:v>
      </x:c>
      <x:c r="P128" s="18">
        <x:v>1</x:v>
      </x:c>
      <x:c r="Q128" s="19" t="s">
        <x:v>121</x:v>
      </x:c>
      <x:c r="R128" s="18">
        <x:v>1550882</x:v>
      </x:c>
      <x:c r="S128" t="s">
        <x:v>112</x:v>
      </x:c>
      <x:c r="T128" s="19">
        <x:f t="shared" si="118"/>
        <x:v>1550882</x:v>
      </x:c>
      <x:c r="U128" s="20">
        <x:v>0.61</x:v>
      </x:c>
      <x:c r="V128" t="s">
        <x:v>113</x:v>
      </x:c>
      <x:c r="W128" s="20">
        <x:v>14.98</x:v>
      </x:c>
      <x:c r="X128" s="21">
        <x:f t="shared" si="119"/>
        <x:v>16082.646339999999</x:v>
      </x:c>
      <x:c r="Y128" s="21" t="n">
        <x:f>7.21*T128/1000</x:f>
        <x:v>11181.85922</x:v>
      </x:c>
      <x:c r="Z128" s="21">
        <x:f t="shared" si="120"/>
        <x:v>3101.7640000000001</x:v>
      </x:c>
      <x:c r="AA128" s="21" t="n">
        <x:f>W128/100*(1-0.25)*0.23*T128</x:f>
        <x:v>40075.566321000006</x:v>
      </x:c>
      <x:c r="AB128" s="21" t="n">
        <x:f>W128/100*(1-0.25)*0.06*T128</x:f>
        <x:v>10454.495562</x:v>
      </x:c>
      <x:c r="AC128" s="21">
        <x:f t="shared" si="124"/>
        <x:v>20.908991124</x:v>
      </x:c>
      <x:c r="AD128" s="21"/>
      <x:c r="AE128" s="21">
        <x:f t="shared" si="122"/>
        <x:v>62.03528</x:v>
      </x:c>
      <x:c r="AF128" s="21"/>
      <x:c r="AG128" s="19" t="s">
        <x:v>176</x:v>
      </x:c>
      <x:c r="AH128" s="18">
        <x:v>3.0659999999999998</x:v>
      </x:c>
      <x:c r="AI128" t="s">
        <x:v>112</x:v>
      </x:c>
      <x:c r="AJ128" s="19">
        <x:f t="shared" si="125"/>
        <x:v>3.0659999999999998</x:v>
      </x:c>
      <x:c r="AK128" s="20">
        <x:v>1E-3</x:v>
      </x:c>
      <x:c r="AL128" t="s">
        <x:v>113</x:v>
      </x:c>
      <x:c r="AM128" s="20">
        <x:v>0</x:v>
      </x:c>
      <x:c r="AN128" s="21" t="n">
        <x:f>2*AK128/100*AJ128</x:f>
        <x:v>0.00006132</x:v>
      </x:c>
      <x:c r="AO128" s="21" t="n">
        <x:f>7.4*AJ128/1000</x:f>
        <x:v>0.0226884</x:v>
      </x:c>
      <x:c r="AP128" s="21" t="n">
        <x:f>0.6*AJ128/1000</x:f>
        <x:v>0.0018395999999999998</x:v>
      </x:c>
      <x:c r="AQ128" s="21" t="n">
        <x:f>0.5*AJ128/1000</x:f>
        <x:v>0.0015329999999999999</x:v>
      </x:c>
      <x:c r="AR128" s="21" t="n">
        <x:f>0.5*AJ128/1000</x:f>
        <x:v>0.0015329999999999999</x:v>
      </x:c>
      <x:c r="AS128" s="21" t="n">
        <x:f>0.01*AJ128/1000</x:f>
        <x:v>0.00003066</x:v>
      </x:c>
      <x:c r="AT128" s="21" t="n">
        <x:f>0.04*AJ128/1000</x:f>
        <x:v>0.00012264</x:v>
      </x:c>
      <x:c r="AU128" s="21" t="n">
        <x:f>0.13*AJ128/1000</x:f>
        <x:v>0.00039858</x:v>
      </x:c>
      <x:c r="AV128" s="21"/>
      <x:c r="AW128" t="s">
        <x:v>78</x:v>
      </x:c>
      <x:c r="AX128" s="19"/>
      <x:c r="AY128" s="21"/>
      <x:c r="AZ128" s="21"/>
      <x:c r="BA128" s="21"/>
      <x:c r="BB128" s="21"/>
      <x:c r="BC128" s="21"/>
      <x:c r="BD128" s="21"/>
      <x:c r="BE128" s="21"/>
      <x:c r="BF128" s="21"/>
      <x:c r="BG128" s="21"/>
      <x:c r="BH128" t="s">
        <x:v>81</x:v>
      </x:c>
      <x:c r="BI128" s="18">
        <x:v>113</x:v>
      </x:c>
      <x:c r="BJ128" s="18">
        <x:v>11</x:v>
      </x:c>
      <x:c r="BK128" s="18">
        <x:v>1</x:v>
      </x:c>
      <x:c r="BL128" s="18">
        <x:v>21</x:v>
      </x:c>
      <x:c r="BM128" s="18">
        <x:v>5</x:v>
      </x:c>
      <x:c r="BN128" s="18">
        <x:v>43</x:v>
      </x:c>
      <x:c r="BO128" s="22">
        <x:v>113.194997</x:v>
      </x:c>
      <x:c r="BP128" s="22">
        <x:v>21.977717999999999</x:v>
      </x:c>
      <x:c r="BQ128" s="18">
        <x:v>240</x:v>
      </x:c>
      <x:c r="BR128" s="18">
        <x:v>1142932.72</x:v>
      </x:c>
      <x:c r="BS128" s="18">
        <x:v>17437.405999999999</x:v>
      </x:c>
      <x:c r="BT128" s="18">
        <x:v>298.75200000000001</x:v>
      </x:c>
      <x:c r="BU128" s="18">
        <x:v>2401.6849999999999</x:v>
      </x:c>
      <x:c r="BV128" s="18">
        <x:v>446.94400000000002</x:v>
      </x:c>
      <x:c r="BW128" s="18">
        <x:v>228206.084</x:v>
      </x:c>
      <x:c r="BX128" s="18">
        <x:v>20.13</x:v>
      </x:c>
      <x:c r="BY128" s="18">
        <x:v>10716.594999999999</x:v>
      </x:c>
      <x:c r="BZ128" s="18">
        <x:v>10716.594999999999</x:v>
      </x:c>
      <x:c r="CA128" s="23">
        <x:f t="shared" si="65"/>
        <x:v>16082.64640132</x:v>
      </x:c>
      <x:c r="CB128" s="23">
        <x:f t="shared" si="66"/>
        <x:v>11181.881908400001</x:v>
      </x:c>
      <x:c r="CC128" s="23">
        <x:f t="shared" si="67"/>
        <x:v>3101.7658396000002</x:v>
      </x:c>
      <x:c r="CD128" s="23">
        <x:f t="shared" si="68"/>
        <x:v>40075.567854000008</x:v>
      </x:c>
      <x:c r="CE128" s="23">
        <x:f t="shared" si="69"/>
        <x:v>10454.497095000001</x:v>
      </x:c>
      <x:c r="CF128" s="23">
        <x:f t="shared" si="70"/>
        <x:v>20.909021784</x:v>
      </x:c>
      <x:c r="CG128" s="23">
        <x:f t="shared" si="71"/>
        <x:v>1.2264E-4</x:v>
      </x:c>
      <x:c r="CH128" s="23">
        <x:f t="shared" si="72"/>
        <x:v>62.035678580000003</x:v>
      </x:c>
      <x:c r="CI128" s="23">
        <x:f t="shared" si="73"/>
        <x:v>0</x:v>
      </x:c>
      <x:c r="CJ128" s="24" t="s">
        <x:v>114</x:v>
      </x:c>
      <x:c r="CK128" s="29">
        <x:v>95</x:v>
      </x:c>
      <x:c r="CL128" s="26" t="s">
        <x:v>104</x:v>
      </x:c>
      <x:c r="CM128" s="28">
        <x:v>80</x:v>
      </x:c>
      <x:c r="CN128" s="30" t="s">
        <x:v>291</x:v>
      </x:c>
      <x:c r="CO128" s="27">
        <x:v>98.9</x:v>
      </x:c>
      <x:c r="CP128" s="27">
        <x:v>97</x:v>
      </x:c>
      <x:c r="CQ128" s="26">
        <x:f t="shared" si="74"/>
        <x:v>804.13232006600072</x:v>
      </x:c>
      <x:c r="CR128" s="26">
        <x:f t="shared" si="75"/>
        <x:v>2236.3763816799997</x:v>
      </x:c>
      <x:c r="CS128" s="26">
        <x:f t="shared" si="78"/>
        <x:v>3101.7658396000002</x:v>
      </x:c>
      <x:c r="CT128" s="26">
        <x:f t="shared" si="110"/>
        <x:v>440.83124639399603</x:v>
      </x:c>
      <x:c r="CU128" s="26">
        <x:f t="shared" si="111"/>
        <x:v>313.63491285000032</x:v>
      </x:c>
      <x:c r="CV128" s="26">
        <x:f t="shared" si="112"/>
        <x:v>0.62727065352000055</x:v>
      </x:c>
      <x:c r="CW128" s="26">
        <x:f t="shared" si="113"/>
        <x:v>3.6792000000000032E-6</x:v>
      </x:c>
      <x:c r="CX128" s="26">
        <x:f t="shared" si="79"/>
        <x:v>62.035678580000003</x:v>
      </x:c>
      <x:c r="CY128" s="26">
        <x:f t="shared" si="80"/>
        <x:v>0</x:v>
      </x:c>
    </x:row>
    <x:row r="129">
      <x:c r="A129" s="18">
        <x:v>2022</x:v>
      </x:c>
      <x:c r="B129" t="s">
        <x:v>324</x:v>
      </x:c>
      <x:c r="C129" t="s">
        <x:v>325</x:v>
      </x:c>
      <x:c r="D129" t="s">
        <x:v>326</x:v>
      </x:c>
      <x:c r="E129" s="18">
        <x:v>440409</x:v>
      </x:c>
      <x:c r="F129" t="s">
        <x:v>314</x:v>
      </x:c>
      <x:c r="G129" t="s">
        <x:v>296</x:v>
      </x:c>
      <x:c r="H129" s="18">
        <x:v>4411</x:v>
      </x:c>
      <x:c r="I129" t="s">
        <x:v>102</x:v>
      </x:c>
      <x:c r="J129" t="s">
        <x:v>78</x:v>
      </x:c>
      <x:c r="K129" t="s">
        <x:v>109</x:v>
      </x:c>
      <x:c r="L129" s="20">
        <x:v>60</x:v>
      </x:c>
      <x:c r="M129" t="s">
        <x:v>110</x:v>
      </x:c>
      <x:c r="N129" s="18">
        <x:v>1913</x:v>
      </x:c>
      <x:c r="O129" t="s">
        <x:v>88</x:v>
      </x:c>
      <x:c r="P129" s="18">
        <x:v>1</x:v>
      </x:c>
      <x:c r="Q129" s="19" t="s">
        <x:v>121</x:v>
      </x:c>
      <x:c r="R129" s="18">
        <x:v>1492517</x:v>
      </x:c>
      <x:c r="S129" t="s">
        <x:v>112</x:v>
      </x:c>
      <x:c r="T129" s="19">
        <x:f t="shared" si="118"/>
        <x:v>1492517</x:v>
      </x:c>
      <x:c r="U129" s="20">
        <x:v>0.61</x:v>
      </x:c>
      <x:c r="V129" t="s">
        <x:v>113</x:v>
      </x:c>
      <x:c r="W129" s="20">
        <x:v>14.98</x:v>
      </x:c>
      <x:c r="X129" s="21">
        <x:f t="shared" si="119"/>
        <x:v>15477.401289999998</x:v>
      </x:c>
      <x:c r="Y129" s="21" t="n">
        <x:f>7.21*T129/1000</x:f>
        <x:v>10761.04757</x:v>
      </x:c>
      <x:c r="Z129" s="21">
        <x:f t="shared" si="120"/>
        <x:v>2985.0340000000001</x:v>
      </x:c>
      <x:c r="AA129" s="21" t="n">
        <x:f>W129/100*(1-0.25)*0.23*T129</x:f>
        <x:v>38567.385538500006</x:v>
      </x:c>
      <x:c r="AB129" s="21" t="n">
        <x:f>W129/100*(1-0.25)*0.06*T129</x:f>
        <x:v>10061.057097</x:v>
      </x:c>
      <x:c r="AC129" s="21">
        <x:f t="shared" si="124"/>
        <x:v>20.122114194000002</x:v>
      </x:c>
      <x:c r="AD129" s="21"/>
      <x:c r="AE129" s="21">
        <x:f t="shared" si="122"/>
        <x:v>59.700679999999998</x:v>
      </x:c>
      <x:c r="AF129" s="21"/>
      <x:c r="AG129" s="19" t="s">
        <x:v>176</x:v>
      </x:c>
      <x:c r="AH129" s="18">
        <x:v>5.9130000000000003</x:v>
      </x:c>
      <x:c r="AI129" t="s">
        <x:v>112</x:v>
      </x:c>
      <x:c r="AJ129" s="19">
        <x:f t="shared" si="125"/>
        <x:v>5.9130000000000003</x:v>
      </x:c>
      <x:c r="AK129" s="20">
        <x:v>1E-3</x:v>
      </x:c>
      <x:c r="AL129" t="s">
        <x:v>113</x:v>
      </x:c>
      <x:c r="AM129" s="20">
        <x:v>0</x:v>
      </x:c>
      <x:c r="AN129" s="21" t="n">
        <x:f>2*AK129/100*AJ129</x:f>
        <x:v>0.00011826000000000001</x:v>
      </x:c>
      <x:c r="AO129" s="21" t="n">
        <x:f>7.4*AJ129/1000</x:f>
        <x:v>0.04375620000000001</x:v>
      </x:c>
      <x:c r="AP129" s="21" t="n">
        <x:f>0.6*AJ129/1000</x:f>
        <x:v>0.0035478000000000003</x:v>
      </x:c>
      <x:c r="AQ129" s="21" t="n">
        <x:f>0.5*AJ129/1000</x:f>
        <x:v>0.0029565</x:v>
      </x:c>
      <x:c r="AR129" s="21" t="n">
        <x:f>0.5*AJ129/1000</x:f>
        <x:v>0.0029565</x:v>
      </x:c>
      <x:c r="AS129" s="21" t="n">
        <x:f>0.01*AJ129/1000</x:f>
        <x:v>0.000059130000000000005</x:v>
      </x:c>
      <x:c r="AT129" s="21" t="n">
        <x:f>0.04*AJ129/1000</x:f>
        <x:v>0.00023652000000000002</x:v>
      </x:c>
      <x:c r="AU129" s="21" t="n">
        <x:f>0.13*AJ129/1000</x:f>
        <x:v>0.00076869</x:v>
      </x:c>
      <x:c r="AV129" s="21"/>
      <x:c r="AW129" t="s">
        <x:v>78</x:v>
      </x:c>
      <x:c r="AX129" s="19"/>
      <x:c r="AY129" s="21"/>
      <x:c r="AZ129" s="21"/>
      <x:c r="BA129" s="21"/>
      <x:c r="BB129" s="21"/>
      <x:c r="BC129" s="21"/>
      <x:c r="BD129" s="21"/>
      <x:c r="BE129" s="21"/>
      <x:c r="BF129" s="21"/>
      <x:c r="BG129" s="21"/>
      <x:c r="BH129" t="s">
        <x:v>79</x:v>
      </x:c>
      <x:c r="BI129" s="18">
        <x:v>113</x:v>
      </x:c>
      <x:c r="BJ129" s="18">
        <x:v>11</x:v>
      </x:c>
      <x:c r="BK129" s="18">
        <x:v>1</x:v>
      </x:c>
      <x:c r="BL129" s="18">
        <x:v>21</x:v>
      </x:c>
      <x:c r="BM129" s="18">
        <x:v>5</x:v>
      </x:c>
      <x:c r="BN129" s="18">
        <x:v>43</x:v>
      </x:c>
      <x:c r="BO129" s="22">
        <x:v>113.194997</x:v>
      </x:c>
      <x:c r="BP129" s="22">
        <x:v>21.977717999999999</x:v>
      </x:c>
      <x:c r="BQ129" s="18">
        <x:v>240</x:v>
      </x:c>
      <x:c r="BR129" s="18">
        <x:v>1091757.46</x:v>
      </x:c>
      <x:c r="BS129" s="18">
        <x:v>16321.18</x:v>
      </x:c>
      <x:c r="BT129" s="18">
        <x:v>277.57100000000003</x:v>
      </x:c>
      <x:c r="BU129" s="18">
        <x:v>2058.1999999999998</x:v>
      </x:c>
      <x:c r="BV129" s="18">
        <x:v>349.96</x:v>
      </x:c>
      <x:c r="BW129" s="18">
        <x:v>219617.908</x:v>
      </x:c>
      <x:c r="BX129" s="18">
        <x:v>21.102</x:v>
      </x:c>
      <x:c r="BY129" s="18">
        <x:v>10313.291999999999</x:v>
      </x:c>
      <x:c r="BZ129" s="18">
        <x:v>10313.291999999999</x:v>
      </x:c>
      <x:c r="CA129" s="23">
        <x:f t="shared" si="65"/>
        <x:v>15477.401408259999</x:v>
      </x:c>
      <x:c r="CB129" s="23">
        <x:f t="shared" si="66"/>
        <x:v>10761.091326200001</x:v>
      </x:c>
      <x:c r="CC129" s="23">
        <x:f t="shared" si="67"/>
        <x:v>2985.0375478000001</x:v>
      </x:c>
      <x:c r="CD129" s="23">
        <x:f t="shared" si="68"/>
        <x:v>38567.388495000007</x:v>
      </x:c>
      <x:c r="CE129" s="23">
        <x:f t="shared" si="69"/>
        <x:v>10061.060053500001</x:v>
      </x:c>
      <x:c r="CF129" s="23">
        <x:f t="shared" si="70"/>
        <x:v>20.122173324000002</x:v>
      </x:c>
      <x:c r="CG129" s="23">
        <x:f t="shared" si="71"/>
        <x:v>2.3652000000000002E-4</x:v>
      </x:c>
      <x:c r="CH129" s="23">
        <x:f t="shared" si="72"/>
        <x:v>59.701448689999999</x:v>
      </x:c>
      <x:c r="CI129" s="23">
        <x:f t="shared" si="73"/>
        <x:v>0</x:v>
      </x:c>
      <x:c r="CJ129" s="24" t="s">
        <x:v>114</x:v>
      </x:c>
      <x:c r="CK129" s="29">
        <x:v>95</x:v>
      </x:c>
      <x:c r="CL129" s="26" t="s">
        <x:v>104</x:v>
      </x:c>
      <x:c r="CM129" s="28">
        <x:v>80</x:v>
      </x:c>
      <x:c r="CN129" s="30" t="s">
        <x:v>291</x:v>
      </x:c>
      <x:c r="CO129" s="27">
        <x:v>98.9</x:v>
      </x:c>
      <x:c r="CP129" s="27">
        <x:v>97</x:v>
      </x:c>
      <x:c r="CQ129" s="26">
        <x:f t="shared" si="74"/>
        <x:v>773.87007041300058</x:v>
      </x:c>
      <x:c r="CR129" s="26">
        <x:f t="shared" si="75"/>
        <x:v>2152.2182652399997</x:v>
      </x:c>
      <x:c r="CS129" s="26">
        <x:f t="shared" si="78"/>
        <x:v>2985.0375478000001</x:v>
      </x:c>
      <x:c r="CT129" s="26">
        <x:f t="shared" si="110"/>
        <x:v>424.24127344499618</x:v>
      </x:c>
      <x:c r="CU129" s="26">
        <x:f t="shared" si="111"/>
        <x:v>301.83180160500029</x:v>
      </x:c>
      <x:c r="CV129" s="26">
        <x:f t="shared" si="112"/>
        <x:v>0.60366519972000054</x:v>
      </x:c>
      <x:c r="CW129" s="26">
        <x:f t="shared" si="113"/>
        <x:v>7.0956000000000071E-6</x:v>
      </x:c>
      <x:c r="CX129" s="26">
        <x:f t="shared" si="79"/>
        <x:v>59.701448689999999</x:v>
      </x:c>
      <x:c r="CY129" s="26">
        <x:f t="shared" si="80"/>
        <x:v>0</x:v>
      </x:c>
    </x:row>
    <x:row r="130">
      <x:c r="A130" s="18">
        <x:v>2022</x:v>
      </x:c>
      <x:c r="B130" t="s">
        <x:v>327</x:v>
      </x:c>
      <x:c r="C130" t="s">
        <x:v>328</x:v>
      </x:c>
      <x:c r="D130" t="s">
        <x:v>329</x:v>
      </x:c>
      <x:c r="E130" s="18">
        <x:v>440409</x:v>
      </x:c>
      <x:c r="F130" t="s">
        <x:v>314</x:v>
      </x:c>
      <x:c r="G130" t="s">
        <x:v>296</x:v>
      </x:c>
      <x:c r="H130" s="18">
        <x:v>4412</x:v>
      </x:c>
      <x:c r="I130" t="s">
        <x:v>108</x:v>
      </x:c>
      <x:c r="J130" t="s">
        <x:v>78</x:v>
      </x:c>
      <x:c r="K130" t="s">
        <x:v>80</x:v>
      </x:c>
      <x:c r="L130" s="18">
        <x:v>46.5</x:v>
      </x:c>
      <x:c r="M130" t="s">
        <x:v>78</x:v>
      </x:c>
      <x:c r="N130" s="18">
        <x:v>380</x:v>
      </x:c>
      <x:c r="O130" t="s">
        <x:v>88</x:v>
      </x:c>
      <x:c r="P130" s="18">
        <x:v>15</x:v>
      </x:c>
      <x:c r="Q130" s="19" t="s">
        <x:v>96</x:v>
      </x:c>
      <x:c r="R130" s="18">
        <x:v>26839.52</x:v>
      </x:c>
      <x:c r="S130" t="s">
        <x:v>76</x:v>
      </x:c>
      <x:c r="T130" s="19">
        <x:f t="shared" si="118"/>
        <x:v>26839.52</x:v>
      </x:c>
      <x:c r="U130" s="20">
        <x:v>0.34</x:v>
      </x:c>
      <x:c r="V130" t="s">
        <x:v>77</x:v>
      </x:c>
      <x:c r="W130" s="19" t="s">
        <x:v>78</x:v>
      </x:c>
      <x:c r="X130" s="21" t="n">
        <x:f>2*U130*T130*10000/1000000000</x:f>
        <x:v>0.18250873600000003</x:v>
      </x:c>
      <x:c r="Y130" s="21" t="n">
        <x:f>4.1*T130*10000/1000000</x:f>
        <x:v>1100.42032</x:v>
      </x:c>
      <x:c r="Z130" s="21" t="n">
        <x:f>1.3*T130*10000/1000000</x:f>
        <x:v>348.9137600000001</x:v>
      </x:c>
      <x:c r="AA130" s="21" t="n">
        <x:f>0.03*T130*10000/1000000</x:f>
        <x:v>8.051856</x:v>
      </x:c>
      <x:c r="AB130" s="21" t="n">
        <x:f>0.03*T130*10000/1000000</x:f>
        <x:v>8.051856</x:v>
      </x:c>
      <x:c r="AC130" s="21"/>
      <x:c r="AD130" s="21"/>
      <x:c r="AE130" s="21" t="n">
        <x:f>0.02*T130*10000/1000000</x:f>
        <x:v>5.367904</x:v>
      </x:c>
      <x:c r="AF130" s="21"/>
      <x:c r="AG130" s="19" t="s">
        <x:v>78</x:v>
      </x:c>
      <x:c r="AH130" t="s">
        <x:v>78</x:v>
      </x:c>
      <x:c r="AI130" t="s">
        <x:v>78</x:v>
      </x:c>
      <x:c r="AJ130" s="19"/>
      <x:c r="AK130" s="19" t="s">
        <x:v>78</x:v>
      </x:c>
      <x:c r="AL130" t="s">
        <x:v>78</x:v>
      </x:c>
      <x:c r="AM130" s="19" t="s">
        <x:v>78</x:v>
      </x:c>
      <x:c r="AN130" s="21"/>
      <x:c r="AO130" s="21"/>
      <x:c r="AP130" s="21"/>
      <x:c r="AQ130" s="21"/>
      <x:c r="AR130" s="21"/>
      <x:c r="AS130" s="21"/>
      <x:c r="AT130" s="21"/>
      <x:c r="AU130" s="21"/>
      <x:c r="AV130" s="21"/>
      <x:c r="AW130" t="s">
        <x:v>78</x:v>
      </x:c>
      <x:c r="AX130" s="19"/>
      <x:c r="AY130" s="21"/>
      <x:c r="AZ130" s="21"/>
      <x:c r="BA130" s="21"/>
      <x:c r="BB130" s="21"/>
      <x:c r="BC130" s="21"/>
      <x:c r="BD130" s="21"/>
      <x:c r="BE130" s="21"/>
      <x:c r="BF130" s="21"/>
      <x:c r="BG130" s="21"/>
      <x:c r="BH130" t="s">
        <x:v>82</x:v>
      </x:c>
      <x:c r="BI130" s="18">
        <x:v>113</x:v>
      </x:c>
      <x:c r="BJ130" s="18">
        <x:v>15</x:v>
      </x:c>
      <x:c r="BK130" s="18">
        <x:v>23.22</x:v>
      </x:c>
      <x:c r="BL130" s="18">
        <x:v>22</x:v>
      </x:c>
      <x:c r="BM130" s="18">
        <x:v>4</x:v>
      </x:c>
      <x:c r="BN130" s="18">
        <x:v>32.99</x:v>
      </x:c>
      <x:c r="BO130" s="22">
        <x:v>113.25645</x:v>
      </x:c>
      <x:c r="BP130" s="22">
        <x:v>22.075830555555601</x:v>
      </x:c>
      <x:c r="BQ130" s="18">
        <x:v>60</x:v>
      </x:c>
      <x:c r="BR130" s="18">
        <x:v>455575.71</x:v>
      </x:c>
      <x:c r="BS130" s="18">
        <x:v>8.1000000000000003E-2</x:v>
      </x:c>
      <x:c r="BT130" s="18">
        <x:v>8.1000000000000003E-2</x:v>
      </x:c>
      <x:c r="BU130" s="18">
        <x:v>225.827</x:v>
      </x:c>
      <x:c r="BV130" s="18">
        <x:v>225.827</x:v>
      </x:c>
      <x:c r="BW130" s="18">
        <x:v>1.4750000000000001</x:v>
      </x:c>
      <x:c r="BX130" s="18">
        <x:v>1.4750000000000001</x:v>
      </x:c>
      <x:c r="BY130" t="s">
        <x:v>78</x:v>
      </x:c>
      <x:c r="BZ130" t="s">
        <x:v>78</x:v>
      </x:c>
      <x:c r="CA130" s="23" t="n">
        <x:f t="shared" ref="CA130:CA193" si="126">X130+AN130+AY130</x:f>
        <x:v>0.18250873600000003</x:v>
      </x:c>
      <x:c r="CB130" s="23" t="n">
        <x:f t="shared" ref="CB130:CB193" si="127">Y130+AO130+AZ130</x:f>
        <x:v>1100.42032</x:v>
      </x:c>
      <x:c r="CC130" s="23" t="n">
        <x:f t="shared" ref="CC130:CC193" si="128">Z130+AP130+BA130</x:f>
        <x:v>348.9137600000001</x:v>
      </x:c>
      <x:c r="CD130" s="23" t="n">
        <x:f t="shared" ref="CD130:CD193" si="129">AA130+AQ130+BB130</x:f>
        <x:v>8.051856</x:v>
      </x:c>
      <x:c r="CE130" s="23" t="n">
        <x:f t="shared" ref="CE130:CE193" si="130">AB130+AR130+BC130</x:f>
        <x:v>8.051856</x:v>
      </x:c>
      <x:c r="CF130" s="23" t="n">
        <x:f t="shared" ref="CF130:CF193" si="131">AC130+AS130+BD130</x:f>
        <x:v>0</x:v>
      </x:c>
      <x:c r="CG130" s="23" t="n">
        <x:f t="shared" ref="CG130:CG193" si="132">AD130+AT130+BE130</x:f>
        <x:v>0</x:v>
      </x:c>
      <x:c r="CH130" s="23" t="n">
        <x:f t="shared" ref="CH130:CH193" si="133">AE130+AU130+BF130</x:f>
        <x:v>5.367904</x:v>
      </x:c>
      <x:c r="CI130" s="23" t="n">
        <x:f t="shared" ref="CI130:CI193" si="134">AF130+AV130+BG130</x:f>
        <x:v>0</x:v>
      </x:c>
      <x:c r="CJ130" s="24" t="s">
        <x:v>78</x:v>
      </x:c>
      <x:c r="CK130" s="25">
        <x:v>0</x:v>
      </x:c>
      <x:c r="CL130" s="26" t="s">
        <x:v>104</x:v>
      </x:c>
      <x:c r="CM130" s="28">
        <x:v>80</x:v>
      </x:c>
      <x:c r="CN130" s="27" t="s">
        <x:v>78</x:v>
      </x:c>
      <x:c r="CO130" s="27">
        <x:v>0</x:v>
      </x:c>
      <x:c r="CP130" s="27">
        <x:v>0</x:v>
      </x:c>
      <x:c r="CQ130" s="26" t="n">
        <x:f t="shared" ref="CQ130:CQ193" si="135">CA130*(1-CK130/100)</x:f>
        <x:v>0.18250873600000003</x:v>
      </x:c>
      <x:c r="CR130" s="26" t="n">
        <x:f t="shared" ref="CR130:CR193" si="136">CB130*(1-CM130/100)</x:f>
        <x:v>220.08406399999993</x:v>
      </x:c>
      <x:c r="CS130" s="26">
        <x:f t="shared" si="78"/>
        <x:v>348.91376000000008</x:v>
      </x:c>
      <x:c r="CT130" s="26">
        <x:f t="shared" si="110"/>
        <x:v>8.0518560000000008</x:v>
      </x:c>
      <x:c r="CU130" s="26">
        <x:f t="shared" si="111"/>
        <x:v>8.0518560000000008</x:v>
      </x:c>
      <x:c r="CV130" s="26">
        <x:f t="shared" si="112"/>
        <x:v>0</x:v>
      </x:c>
      <x:c r="CW130" s="26">
        <x:f t="shared" si="113"/>
        <x:v>0</x:v>
      </x:c>
      <x:c r="CX130" s="26">
        <x:f t="shared" si="79"/>
        <x:v>5.3679040000000002</x:v>
      </x:c>
      <x:c r="CY130" s="26">
        <x:f t="shared" si="80"/>
        <x:v>0</x:v>
      </x:c>
    </x:row>
    <x:row r="131">
      <x:c r="A131" s="18">
        <x:v>2022</x:v>
      </x:c>
      <x:c r="B131" t="s">
        <x:v>327</x:v>
      </x:c>
      <x:c r="C131" t="s">
        <x:v>328</x:v>
      </x:c>
      <x:c r="D131" t="s">
        <x:v>329</x:v>
      </x:c>
      <x:c r="E131" s="18">
        <x:v>440409</x:v>
      </x:c>
      <x:c r="F131" t="s">
        <x:v>314</x:v>
      </x:c>
      <x:c r="G131" t="s">
        <x:v>296</x:v>
      </x:c>
      <x:c r="H131" s="18">
        <x:v>4412</x:v>
      </x:c>
      <x:c r="I131" t="s">
        <x:v>108</x:v>
      </x:c>
      <x:c r="J131" t="s">
        <x:v>78</x:v>
      </x:c>
      <x:c r="K131" t="s">
        <x:v>80</x:v>
      </x:c>
      <x:c r="L131" s="18">
        <x:v>46.5</x:v>
      </x:c>
      <x:c r="M131" t="s">
        <x:v>78</x:v>
      </x:c>
      <x:c r="N131" s="18">
        <x:v>380</x:v>
      </x:c>
      <x:c r="O131" t="s">
        <x:v>88</x:v>
      </x:c>
      <x:c r="P131" s="18">
        <x:v>15</x:v>
      </x:c>
      <x:c r="Q131" s="19" t="s">
        <x:v>96</x:v>
      </x:c>
      <x:c r="R131" s="18">
        <x:v>22782.45</x:v>
      </x:c>
      <x:c r="S131" t="s">
        <x:v>76</x:v>
      </x:c>
      <x:c r="T131" s="19">
        <x:f t="shared" si="118"/>
        <x:v>22782.45</x:v>
      </x:c>
      <x:c r="U131" s="20">
        <x:v>0.34</x:v>
      </x:c>
      <x:c r="V131" t="s">
        <x:v>77</x:v>
      </x:c>
      <x:c r="W131" s="19" t="s">
        <x:v>78</x:v>
      </x:c>
      <x:c r="X131" s="21" t="n">
        <x:f>2*U131*T131*10000/1000000000</x:f>
        <x:v>0.15492066</x:v>
      </x:c>
      <x:c r="Y131" s="21" t="n">
        <x:f>4.1*T131*10000/1000000</x:f>
        <x:v>934.08045</x:v>
      </x:c>
      <x:c r="Z131" s="21" t="n">
        <x:f>1.3*T131*10000/1000000</x:f>
        <x:v>296.17185</x:v>
      </x:c>
      <x:c r="AA131" s="21" t="n">
        <x:f>0.03*T131*10000/1000000</x:f>
        <x:v>6.834734999999999</x:v>
      </x:c>
      <x:c r="AB131" s="21" t="n">
        <x:f>0.03*T131*10000/1000000</x:f>
        <x:v>6.834734999999999</x:v>
      </x:c>
      <x:c r="AC131" s="21"/>
      <x:c r="AD131" s="21"/>
      <x:c r="AE131" s="21" t="n">
        <x:f>0.02*T131*10000/1000000</x:f>
        <x:v>4.55649</x:v>
      </x:c>
      <x:c r="AF131" s="21"/>
      <x:c r="AG131" s="19" t="s">
        <x:v>78</x:v>
      </x:c>
      <x:c r="AH131" t="s">
        <x:v>78</x:v>
      </x:c>
      <x:c r="AI131" t="s">
        <x:v>78</x:v>
      </x:c>
      <x:c r="AJ131" s="19"/>
      <x:c r="AK131" s="19" t="s">
        <x:v>78</x:v>
      </x:c>
      <x:c r="AL131" t="s">
        <x:v>78</x:v>
      </x:c>
      <x:c r="AM131" s="19" t="s">
        <x:v>78</x:v>
      </x:c>
      <x:c r="AN131" s="21"/>
      <x:c r="AO131" s="21"/>
      <x:c r="AP131" s="21"/>
      <x:c r="AQ131" s="21"/>
      <x:c r="AR131" s="21"/>
      <x:c r="AS131" s="21"/>
      <x:c r="AT131" s="21"/>
      <x:c r="AU131" s="21"/>
      <x:c r="AV131" s="21"/>
      <x:c r="AW131" t="s">
        <x:v>78</x:v>
      </x:c>
      <x:c r="AX131" s="19"/>
      <x:c r="AY131" s="21"/>
      <x:c r="AZ131" s="21"/>
      <x:c r="BA131" s="21"/>
      <x:c r="BB131" s="21"/>
      <x:c r="BC131" s="21"/>
      <x:c r="BD131" s="21"/>
      <x:c r="BE131" s="21"/>
      <x:c r="BF131" s="21"/>
      <x:c r="BG131" s="21"/>
      <x:c r="BH131" t="s">
        <x:v>81</x:v>
      </x:c>
      <x:c r="BI131" s="18">
        <x:v>113</x:v>
      </x:c>
      <x:c r="BJ131" s="18">
        <x:v>15</x:v>
      </x:c>
      <x:c r="BK131" s="18">
        <x:v>22.03</x:v>
      </x:c>
      <x:c r="BL131" s="18">
        <x:v>22</x:v>
      </x:c>
      <x:c r="BM131" s="18">
        <x:v>4</x:v>
      </x:c>
      <x:c r="BN131" s="18">
        <x:v>32.520000000000003</x:v>
      </x:c>
      <x:c r="BO131" s="22">
        <x:v>113.256119444444</x:v>
      </x:c>
      <x:c r="BP131" s="22">
        <x:v>22.075700000000001</x:v>
      </x:c>
      <x:c r="BQ131" s="18">
        <x:v>60</x:v>
      </x:c>
      <x:c r="BR131" s="18">
        <x:v>312594.11</x:v>
      </x:c>
      <x:c r="BS131" s="18">
        <x:v>6.9000000000000006E-2</x:v>
      </x:c>
      <x:c r="BT131" s="18">
        <x:v>6.9000000000000006E-2</x:v>
      </x:c>
      <x:c r="BU131" s="18">
        <x:v>205.49100000000001</x:v>
      </x:c>
      <x:c r="BV131" s="18">
        <x:v>205.49100000000001</x:v>
      </x:c>
      <x:c r="BW131" s="18">
        <x:v>1.522</x:v>
      </x:c>
      <x:c r="BX131" s="18">
        <x:v>1.522</x:v>
      </x:c>
      <x:c r="BY131" t="s">
        <x:v>78</x:v>
      </x:c>
      <x:c r="BZ131" t="s">
        <x:v>78</x:v>
      </x:c>
      <x:c r="CA131" s="23">
        <x:f t="shared" si="126"/>
        <x:v>0.15492065999999999</x:v>
      </x:c>
      <x:c r="CB131" s="23">
        <x:f t="shared" si="127"/>
        <x:v>934.08045000000004</x:v>
      </x:c>
      <x:c r="CC131" s="23">
        <x:f t="shared" si="128"/>
        <x:v>296.17185000000001</x:v>
      </x:c>
      <x:c r="CD131" s="23">
        <x:f t="shared" si="129"/>
        <x:v>6.8347349999999993</x:v>
      </x:c>
      <x:c r="CE131" s="23">
        <x:f t="shared" si="130"/>
        <x:v>6.8347349999999993</x:v>
      </x:c>
      <x:c r="CF131" s="23">
        <x:f t="shared" si="131"/>
        <x:v>0</x:v>
      </x:c>
      <x:c r="CG131" s="23">
        <x:f t="shared" si="132"/>
        <x:v>0</x:v>
      </x:c>
      <x:c r="CH131" s="23">
        <x:f t="shared" si="133"/>
        <x:v>4.5564900000000002</x:v>
      </x:c>
      <x:c r="CI131" s="23">
        <x:f t="shared" si="134"/>
        <x:v>0</x:v>
      </x:c>
      <x:c r="CJ131" s="24" t="s">
        <x:v>78</x:v>
      </x:c>
      <x:c r="CK131" s="25">
        <x:v>0</x:v>
      </x:c>
      <x:c r="CL131" s="26" t="s">
        <x:v>104</x:v>
      </x:c>
      <x:c r="CM131" s="28">
        <x:v>80</x:v>
      </x:c>
      <x:c r="CN131" s="27" t="s">
        <x:v>78</x:v>
      </x:c>
      <x:c r="CO131" s="27">
        <x:v>0</x:v>
      </x:c>
      <x:c r="CP131" s="27">
        <x:v>0</x:v>
      </x:c>
      <x:c r="CQ131" s="26">
        <x:f t="shared" si="135"/>
        <x:v>0.15492065999999999</x:v>
      </x:c>
      <x:c r="CR131" s="26">
        <x:f t="shared" si="136"/>
        <x:v>186.81608999999997</x:v>
      </x:c>
      <x:c r="CS131" s="26" t="n">
        <x:f t="shared" ref="CS131:CS194" si="137">CC131</x:f>
        <x:v>296.17185</x:v>
      </x:c>
      <x:c r="CT131" s="26">
        <x:f t="shared" si="110"/>
        <x:v>6.8347349999999993</x:v>
      </x:c>
      <x:c r="CU131" s="26">
        <x:f t="shared" si="111"/>
        <x:v>6.8347349999999993</x:v>
      </x:c>
      <x:c r="CV131" s="26">
        <x:f t="shared" si="112"/>
        <x:v>0</x:v>
      </x:c>
      <x:c r="CW131" s="26">
        <x:f t="shared" si="113"/>
        <x:v>0</x:v>
      </x:c>
      <x:c r="CX131" s="26" t="n">
        <x:f t="shared" ref="CX131:CX194" si="138">CH131</x:f>
        <x:v>4.55649</x:v>
      </x:c>
      <x:c r="CY131" s="26" t="n">
        <x:f t="shared" ref="CY131:CY194" si="139">CI131</x:f>
        <x:v>0</x:v>
      </x:c>
    </x:row>
    <x:row r="132">
      <x:c r="A132" s="18">
        <x:v>2022</x:v>
      </x:c>
      <x:c r="B132" t="s">
        <x:v>330</x:v>
      </x:c>
      <x:c r="C132" t="s">
        <x:v>331</x:v>
      </x:c>
      <x:c r="D132" t="s">
        <x:v>332</x:v>
      </x:c>
      <x:c r="E132" s="18">
        <x:v>440410</x:v>
      </x:c>
      <x:c r="F132" t="s">
        <x:v>333</x:v>
      </x:c>
      <x:c r="G132" t="s">
        <x:v>296</x:v>
      </x:c>
      <x:c r="H132" s="18">
        <x:v>4412</x:v>
      </x:c>
      <x:c r="I132" t="s">
        <x:v>108</x:v>
      </x:c>
      <x:c r="J132" t="s">
        <x:v>78</x:v>
      </x:c>
      <x:c r="K132" t="s">
        <x:v>80</x:v>
      </x:c>
      <x:c r="L132" s="18">
        <x:v>5</x:v>
      </x:c>
      <x:c r="M132" t="s">
        <x:v>78</x:v>
      </x:c>
      <x:c r="N132" s="18">
        <x:v>65</x:v>
      </x:c>
      <x:c r="O132" t="s">
        <x:v>88</x:v>
      </x:c>
      <x:c r="P132" s="18">
        <x:v>15</x:v>
      </x:c>
      <x:c r="Q132" s="19" t="s">
        <x:v>96</x:v>
      </x:c>
      <x:c r="R132" s="18">
        <x:v>1286</x:v>
      </x:c>
      <x:c r="S132" t="s">
        <x:v>76</x:v>
      </x:c>
      <x:c r="T132" s="19">
        <x:f t="shared" si="118"/>
        <x:v>1286</x:v>
      </x:c>
      <x:c r="U132" s="20">
        <x:v>95</x:v>
      </x:c>
      <x:c r="V132" t="s">
        <x:v>77</x:v>
      </x:c>
      <x:c r="W132" s="19" t="s">
        <x:v>78</x:v>
      </x:c>
      <x:c r="X132" s="21" t="n">
        <x:f>2*U132*T132*10000/1000000000</x:f>
        <x:v>2.4434</x:v>
      </x:c>
      <x:c r="Y132" s="21" t="n">
        <x:f>4.1*T132*10000/1000000</x:f>
        <x:v>52.72599999999999</x:v>
      </x:c>
      <x:c r="Z132" s="21" t="n">
        <x:f>1.3*T132*10000/1000000</x:f>
        <x:v>16.718</x:v>
      </x:c>
      <x:c r="AA132" s="21" t="n">
        <x:f>0.03*T132*10000/1000000</x:f>
        <x:v>0.3858</x:v>
      </x:c>
      <x:c r="AB132" s="21" t="n">
        <x:f>0.03*T132*10000/1000000</x:f>
        <x:v>0.3858</x:v>
      </x:c>
      <x:c r="AC132" s="21"/>
      <x:c r="AD132" s="21"/>
      <x:c r="AE132" s="21" t="n">
        <x:f>0.02*T132*10000/1000000</x:f>
        <x:v>0.2572</x:v>
      </x:c>
      <x:c r="AF132" s="21"/>
      <x:c r="AG132" s="19" t="s">
        <x:v>78</x:v>
      </x:c>
      <x:c r="AH132" t="s">
        <x:v>78</x:v>
      </x:c>
      <x:c r="AI132" t="s">
        <x:v>78</x:v>
      </x:c>
      <x:c r="AJ132" s="19"/>
      <x:c r="AK132" s="19" t="s">
        <x:v>78</x:v>
      </x:c>
      <x:c r="AL132" t="s">
        <x:v>78</x:v>
      </x:c>
      <x:c r="AM132" s="19" t="s">
        <x:v>78</x:v>
      </x:c>
      <x:c r="AN132" s="21"/>
      <x:c r="AO132" s="21"/>
      <x:c r="AP132" s="21"/>
      <x:c r="AQ132" s="21"/>
      <x:c r="AR132" s="21"/>
      <x:c r="AS132" s="21"/>
      <x:c r="AT132" s="21"/>
      <x:c r="AU132" s="21"/>
      <x:c r="AV132" s="21"/>
      <x:c r="AW132" t="s">
        <x:v>78</x:v>
      </x:c>
      <x:c r="AX132" s="19"/>
      <x:c r="AY132" s="21"/>
      <x:c r="AZ132" s="21"/>
      <x:c r="BA132" s="21"/>
      <x:c r="BB132" s="21"/>
      <x:c r="BC132" s="21"/>
      <x:c r="BD132" s="21"/>
      <x:c r="BE132" s="21"/>
      <x:c r="BF132" s="21"/>
      <x:c r="BG132" s="21"/>
      <x:c r="BH132" t="s">
        <x:v>81</x:v>
      </x:c>
      <x:c r="BI132" s="18">
        <x:v>113</x:v>
      </x:c>
      <x:c r="BJ132" s="18">
        <x:v>8</x:v>
      </x:c>
      <x:c r="BK132" s="18">
        <x:v>49.63</x:v>
      </x:c>
      <x:c r="BL132" s="18">
        <x:v>22</x:v>
      </x:c>
      <x:c r="BM132" s="18">
        <x:v>9</x:v>
      </x:c>
      <x:c r="BN132" s="18">
        <x:v>50.08</x:v>
      </x:c>
      <x:c r="BO132" s="22">
        <x:v>113.147119444444</x:v>
      </x:c>
      <x:c r="BP132" s="22">
        <x:v>22.163911111111101</x:v>
      </x:c>
      <x:c r="BQ132" s="18">
        <x:v>45</x:v>
      </x:c>
      <x:c r="BR132" t="s">
        <x:v>78</x:v>
      </x:c>
      <x:c r="BS132" t="s">
        <x:v>78</x:v>
      </x:c>
      <x:c r="BT132" t="s">
        <x:v>78</x:v>
      </x:c>
      <x:c r="BU132" s="18">
        <x:v>7.2130000000000001</x:v>
      </x:c>
      <x:c r="BV132" s="18">
        <x:v>7.2130000000000001</x:v>
      </x:c>
      <x:c r="BW132" t="s">
        <x:v>78</x:v>
      </x:c>
      <x:c r="BX132" t="s">
        <x:v>78</x:v>
      </x:c>
      <x:c r="BY132" t="s">
        <x:v>78</x:v>
      </x:c>
      <x:c r="BZ132" t="s">
        <x:v>78</x:v>
      </x:c>
      <x:c r="CA132" s="23">
        <x:f t="shared" si="126"/>
        <x:v>2.4434</x:v>
      </x:c>
      <x:c r="CB132" s="23">
        <x:f t="shared" si="127"/>
        <x:v>52.725999999999992</x:v>
      </x:c>
      <x:c r="CC132" s="23">
        <x:f t="shared" si="128"/>
        <x:v>16.718</x:v>
      </x:c>
      <x:c r="CD132" s="23">
        <x:f t="shared" si="129"/>
        <x:v>0.38579999999999998</x:v>
      </x:c>
      <x:c r="CE132" s="23">
        <x:f t="shared" si="130"/>
        <x:v>0.38579999999999998</x:v>
      </x:c>
      <x:c r="CF132" s="23">
        <x:f t="shared" si="131"/>
        <x:v>0</x:v>
      </x:c>
      <x:c r="CG132" s="23">
        <x:f t="shared" si="132"/>
        <x:v>0</x:v>
      </x:c>
      <x:c r="CH132" s="23">
        <x:f t="shared" si="133"/>
        <x:v>0.25719999999999998</x:v>
      </x:c>
      <x:c r="CI132" s="23">
        <x:f t="shared" si="134"/>
        <x:v>0</x:v>
      </x:c>
      <x:c r="CJ132" s="24" t="s">
        <x:v>78</x:v>
      </x:c>
      <x:c r="CK132" s="25">
        <x:v>0</x:v>
      </x:c>
      <x:c r="CL132" s="26" t="s">
        <x:v>78</x:v>
      </x:c>
      <x:c r="CM132" s="26">
        <x:v>42</x:v>
      </x:c>
      <x:c r="CN132" s="27" t="s">
        <x:v>78</x:v>
      </x:c>
      <x:c r="CO132" s="27">
        <x:v>0</x:v>
      </x:c>
      <x:c r="CP132" s="27">
        <x:v>0</x:v>
      </x:c>
      <x:c r="CQ132" s="26">
        <x:f t="shared" si="135"/>
        <x:v>2.4434</x:v>
      </x:c>
      <x:c r="CR132" s="26">
        <x:f t="shared" si="136"/>
        <x:v>30.58108</x:v>
      </x:c>
      <x:c r="CS132" s="26">
        <x:f t="shared" si="137"/>
        <x:v>16.718</x:v>
      </x:c>
      <x:c r="CT132" s="26">
        <x:f t="shared" si="110"/>
        <x:v>0.38579999999999998</x:v>
      </x:c>
      <x:c r="CU132" s="26">
        <x:f t="shared" si="111"/>
        <x:v>0.38579999999999998</x:v>
      </x:c>
      <x:c r="CV132" s="26">
        <x:f t="shared" si="112"/>
        <x:v>0</x:v>
      </x:c>
      <x:c r="CW132" s="26">
        <x:f t="shared" si="113"/>
        <x:v>0</x:v>
      </x:c>
      <x:c r="CX132" s="26">
        <x:f t="shared" si="138"/>
        <x:v>0.25719999999999998</x:v>
      </x:c>
      <x:c r="CY132" s="26">
        <x:f t="shared" si="139"/>
        <x:v>0</x:v>
      </x:c>
    </x:row>
    <x:row r="133">
      <x:c r="A133" s="18">
        <x:v>2022</x:v>
      </x:c>
      <x:c r="B133" t="s">
        <x:v>330</x:v>
      </x:c>
      <x:c r="C133" t="s">
        <x:v>331</x:v>
      </x:c>
      <x:c r="D133" t="s">
        <x:v>332</x:v>
      </x:c>
      <x:c r="E133" s="18">
        <x:v>440410</x:v>
      </x:c>
      <x:c r="F133" t="s">
        <x:v>333</x:v>
      </x:c>
      <x:c r="G133" t="s">
        <x:v>296</x:v>
      </x:c>
      <x:c r="H133" s="18">
        <x:v>4412</x:v>
      </x:c>
      <x:c r="I133" t="s">
        <x:v>108</x:v>
      </x:c>
      <x:c r="J133" t="s">
        <x:v>78</x:v>
      </x:c>
      <x:c r="K133" t="s">
        <x:v>80</x:v>
      </x:c>
      <x:c r="L133" s="18">
        <x:v>5</x:v>
      </x:c>
      <x:c r="M133" t="s">
        <x:v>78</x:v>
      </x:c>
      <x:c r="N133" s="18">
        <x:v>65</x:v>
      </x:c>
      <x:c r="O133" t="s">
        <x:v>88</x:v>
      </x:c>
      <x:c r="P133" s="18">
        <x:v>15</x:v>
      </x:c>
      <x:c r="Q133" s="19" t="s">
        <x:v>96</x:v>
      </x:c>
      <x:c r="R133" s="18">
        <x:v>567.92999999999995</x:v>
      </x:c>
      <x:c r="S133" t="s">
        <x:v>76</x:v>
      </x:c>
      <x:c r="T133" s="19">
        <x:f t="shared" si="118"/>
        <x:v>567.92999999999995</x:v>
      </x:c>
      <x:c r="U133" s="20">
        <x:v>95</x:v>
      </x:c>
      <x:c r="V133" t="s">
        <x:v>77</x:v>
      </x:c>
      <x:c r="W133" s="19" t="s">
        <x:v>78</x:v>
      </x:c>
      <x:c r="X133" s="21" t="n">
        <x:f>2*U133*T133*10000/1000000000</x:f>
        <x:v>1.079067</x:v>
      </x:c>
      <x:c r="Y133" s="21" t="n">
        <x:f>4.1*T133*10000/1000000</x:f>
        <x:v>23.285129999999995</x:v>
      </x:c>
      <x:c r="Z133" s="21" t="n">
        <x:f>1.3*T133*10000/1000000</x:f>
        <x:v>7.38309</x:v>
      </x:c>
      <x:c r="AA133" s="21" t="n">
        <x:f>0.03*T133*10000/1000000</x:f>
        <x:v>0.17037899999999997</x:v>
      </x:c>
      <x:c r="AB133" s="21" t="n">
        <x:f>0.03*T133*10000/1000000</x:f>
        <x:v>0.17037899999999997</x:v>
      </x:c>
      <x:c r="AC133" s="21"/>
      <x:c r="AD133" s="21"/>
      <x:c r="AE133" s="21" t="n">
        <x:f>0.02*T133*10000/1000000</x:f>
        <x:v>0.11358599999999998</x:v>
      </x:c>
      <x:c r="AF133" s="21"/>
      <x:c r="AG133" s="19" t="s">
        <x:v>78</x:v>
      </x:c>
      <x:c r="AH133" t="s">
        <x:v>78</x:v>
      </x:c>
      <x:c r="AI133" t="s">
        <x:v>78</x:v>
      </x:c>
      <x:c r="AJ133" s="19"/>
      <x:c r="AK133" s="19" t="s">
        <x:v>78</x:v>
      </x:c>
      <x:c r="AL133" t="s">
        <x:v>78</x:v>
      </x:c>
      <x:c r="AM133" s="19" t="s">
        <x:v>78</x:v>
      </x:c>
      <x:c r="AN133" s="21"/>
      <x:c r="AO133" s="21"/>
      <x:c r="AP133" s="21"/>
      <x:c r="AQ133" s="21"/>
      <x:c r="AR133" s="21"/>
      <x:c r="AS133" s="21"/>
      <x:c r="AT133" s="21"/>
      <x:c r="AU133" s="21"/>
      <x:c r="AV133" s="21"/>
      <x:c r="AW133" t="s">
        <x:v>78</x:v>
      </x:c>
      <x:c r="AX133" s="19"/>
      <x:c r="AY133" s="21"/>
      <x:c r="AZ133" s="21"/>
      <x:c r="BA133" s="21"/>
      <x:c r="BB133" s="21"/>
      <x:c r="BC133" s="21"/>
      <x:c r="BD133" s="21"/>
      <x:c r="BE133" s="21"/>
      <x:c r="BF133" s="21"/>
      <x:c r="BG133" s="21"/>
      <x:c r="BH133" t="s">
        <x:v>79</x:v>
      </x:c>
      <x:c r="BI133" s="18">
        <x:v>113</x:v>
      </x:c>
      <x:c r="BJ133" s="18">
        <x:v>8</x:v>
      </x:c>
      <x:c r="BK133" s="18">
        <x:v>49.63</x:v>
      </x:c>
      <x:c r="BL133" s="18">
        <x:v>22</x:v>
      </x:c>
      <x:c r="BM133" s="18">
        <x:v>9</x:v>
      </x:c>
      <x:c r="BN133" s="18">
        <x:v>50.08</x:v>
      </x:c>
      <x:c r="BO133" s="22">
        <x:v>113.147119444444</x:v>
      </x:c>
      <x:c r="BP133" s="22">
        <x:v>22.163911111111101</x:v>
      </x:c>
      <x:c r="BQ133" s="18">
        <x:v>45</x:v>
      </x:c>
      <x:c r="BR133" t="s">
        <x:v>78</x:v>
      </x:c>
      <x:c r="BS133" t="s">
        <x:v>78</x:v>
      </x:c>
      <x:c r="BT133" t="s">
        <x:v>78</x:v>
      </x:c>
      <x:c r="BU133" s="18">
        <x:v>16.332000000000001</x:v>
      </x:c>
      <x:c r="BV133" s="18">
        <x:v>16.332000000000001</x:v>
      </x:c>
      <x:c r="BW133" t="s">
        <x:v>78</x:v>
      </x:c>
      <x:c r="BX133" t="s">
        <x:v>78</x:v>
      </x:c>
      <x:c r="BY133" t="s">
        <x:v>78</x:v>
      </x:c>
      <x:c r="BZ133" t="s">
        <x:v>78</x:v>
      </x:c>
      <x:c r="CA133" s="23">
        <x:f t="shared" si="126"/>
        <x:v>1.079067</x:v>
      </x:c>
      <x:c r="CB133" s="23">
        <x:f t="shared" si="127"/>
        <x:v>23.285129999999995</x:v>
      </x:c>
      <x:c r="CC133" s="23">
        <x:f t="shared" si="128"/>
        <x:v>7.3830900000000002</x:v>
      </x:c>
      <x:c r="CD133" s="23">
        <x:f t="shared" si="129"/>
        <x:v>0.17037899999999997</x:v>
      </x:c>
      <x:c r="CE133" s="23">
        <x:f t="shared" si="130"/>
        <x:v>0.17037899999999997</x:v>
      </x:c>
      <x:c r="CF133" s="23">
        <x:f t="shared" si="131"/>
        <x:v>0</x:v>
      </x:c>
      <x:c r="CG133" s="23">
        <x:f t="shared" si="132"/>
        <x:v>0</x:v>
      </x:c>
      <x:c r="CH133" s="23">
        <x:f t="shared" si="133"/>
        <x:v>0.11358599999999998</x:v>
      </x:c>
      <x:c r="CI133" s="23">
        <x:f t="shared" si="134"/>
        <x:v>0</x:v>
      </x:c>
      <x:c r="CJ133" s="24" t="s">
        <x:v>78</x:v>
      </x:c>
      <x:c r="CK133" s="25">
        <x:v>0</x:v>
      </x:c>
      <x:c r="CL133" s="26" t="s">
        <x:v>78</x:v>
      </x:c>
      <x:c r="CM133" s="26">
        <x:v>42</x:v>
      </x:c>
      <x:c r="CN133" s="27" t="s">
        <x:v>78</x:v>
      </x:c>
      <x:c r="CO133" s="27">
        <x:v>0</x:v>
      </x:c>
      <x:c r="CP133" s="27">
        <x:v>0</x:v>
      </x:c>
      <x:c r="CQ133" s="26">
        <x:f t="shared" si="135"/>
        <x:v>1.079067</x:v>
      </x:c>
      <x:c r="CR133" s="26">
        <x:f t="shared" si="136"/>
        <x:v>13.505375399999998</x:v>
      </x:c>
      <x:c r="CS133" s="26">
        <x:f t="shared" si="137"/>
        <x:v>7.3830900000000002</x:v>
      </x:c>
      <x:c r="CT133" s="26">
        <x:f t="shared" si="110"/>
        <x:v>0.17037899999999997</x:v>
      </x:c>
      <x:c r="CU133" s="26">
        <x:f t="shared" si="111"/>
        <x:v>0.17037899999999997</x:v>
      </x:c>
      <x:c r="CV133" s="26">
        <x:f t="shared" si="112"/>
        <x:v>0</x:v>
      </x:c>
      <x:c r="CW133" s="26">
        <x:f t="shared" si="113"/>
        <x:v>0</x:v>
      </x:c>
      <x:c r="CX133" s="26">
        <x:f t="shared" si="138"/>
        <x:v>0.11358599999999998</x:v>
      </x:c>
      <x:c r="CY133" s="26">
        <x:f t="shared" si="139"/>
        <x:v>0</x:v>
      </x:c>
    </x:row>
    <x:row r="134">
      <x:c r="A134" s="18">
        <x:v>2022</x:v>
      </x:c>
      <x:c r="B134" t="s">
        <x:v>334</x:v>
      </x:c>
      <x:c r="C134" t="s">
        <x:v>335</x:v>
      </x:c>
      <x:c r="D134" t="s">
        <x:v>336</x:v>
      </x:c>
      <x:c r="E134" s="18">
        <x:v>440511</x:v>
      </x:c>
      <x:c r="F134" t="s">
        <x:v>337</x:v>
      </x:c>
      <x:c r="G134" t="s">
        <x:v>338</x:v>
      </x:c>
      <x:c r="H134" s="18">
        <x:v>4412</x:v>
      </x:c>
      <x:c r="I134" t="s">
        <x:v>108</x:v>
      </x:c>
      <x:c r="J134" t="s">
        <x:v>78</x:v>
      </x:c>
      <x:c r="K134" t="s">
        <x:v>109</x:v>
      </x:c>
      <x:c r="L134" s="20">
        <x:v>5</x:v>
      </x:c>
      <x:c r="M134" t="s">
        <x:v>136</x:v>
      </x:c>
      <x:c r="N134" s="18">
        <x:v>240</x:v>
      </x:c>
      <x:c r="O134" t="s">
        <x:v>88</x:v>
      </x:c>
      <x:c r="P134" s="18">
        <x:v>8</x:v>
      </x:c>
      <x:c r="Q134" s="19" t="s">
        <x:v>339</x:v>
      </x:c>
      <x:c r="R134" s="18">
        <x:v>72419.577000000005</x:v>
      </x:c>
      <x:c r="S134" t="s">
        <x:v>112</x:v>
      </x:c>
      <x:c r="T134" s="19" t="n">
        <x:f t="shared" ref="T134:T148" si="140">R134</x:f>
        <x:v>72419.577</x:v>
      </x:c>
      <x:c r="U134" s="20">
        <x:v>0.76</x:v>
      </x:c>
      <x:c r="V134" t="s">
        <x:v>113</x:v>
      </x:c>
      <x:c r="W134" s="20">
        <x:v>13.68</x:v>
      </x:c>
      <x:c r="X134" s="21" t="n">
        <x:f t="shared" ref="X134:X146" si="141">2*U134/100*(1-0.15)*T134</x:f>
        <x:v>935.66093484</x:v>
      </x:c>
      <x:c r="Y134" s="21" t="n">
        <x:f>8.96*T134/1000</x:f>
        <x:v>648.8794099200002</x:v>
      </x:c>
      <x:c r="Z134" s="21" t="n">
        <x:f>8*T134/1000</x:f>
        <x:v>579.356616</x:v>
      </x:c>
      <x:c r="AA134" s="21" t="n">
        <x:f>W134/100*(1-0.85)*0.33*T134</x:f>
        <x:v>490.39640761320015</x:v>
      </x:c>
      <x:c r="AB134" s="21" t="n">
        <x:f>W134/100*(1-0.85)*0.1*T134</x:f>
        <x:v>148.60497200400005</x:v>
      </x:c>
      <x:c r="AC134" s="21" t="n">
        <x:f>0.002*AB134</x:f>
        <x:v>0.2972099440080001</x:v>
      </x:c>
      <x:c r="AD134" s="21"/>
      <x:c r="AE134" s="21" t="n">
        <x:f t="shared" ref="AE134:AE146" si="142">0.04*T134/1000</x:f>
        <x:v>2.89678308</x:v>
      </x:c>
      <x:c r="AF134" s="21"/>
      <x:c r="AG134" s="19" t="s">
        <x:v>78</x:v>
      </x:c>
      <x:c r="AH134" t="s">
        <x:v>78</x:v>
      </x:c>
      <x:c r="AI134" t="s">
        <x:v>78</x:v>
      </x:c>
      <x:c r="AJ134" s="19"/>
      <x:c r="AK134" s="19" t="s">
        <x:v>78</x:v>
      </x:c>
      <x:c r="AL134" t="s">
        <x:v>78</x:v>
      </x:c>
      <x:c r="AM134" s="19" t="s">
        <x:v>78</x:v>
      </x:c>
      <x:c r="AN134" s="21"/>
      <x:c r="AO134" s="21"/>
      <x:c r="AP134" s="21"/>
      <x:c r="AQ134" s="21"/>
      <x:c r="AR134" s="21"/>
      <x:c r="AS134" s="21"/>
      <x:c r="AT134" s="21"/>
      <x:c r="AU134" s="21"/>
      <x:c r="AV134" s="21"/>
      <x:c r="AW134" t="s">
        <x:v>78</x:v>
      </x:c>
      <x:c r="AX134" s="19"/>
      <x:c r="AY134" s="21"/>
      <x:c r="AZ134" s="21"/>
      <x:c r="BA134" s="21"/>
      <x:c r="BB134" s="21"/>
      <x:c r="BC134" s="21"/>
      <x:c r="BD134" s="21"/>
      <x:c r="BE134" s="21"/>
      <x:c r="BF134" s="21"/>
      <x:c r="BG134" s="21"/>
      <x:c r="BH134" t="s">
        <x:v>81</x:v>
      </x:c>
      <x:c r="BI134" s="18">
        <x:v>116</x:v>
      </x:c>
      <x:c r="BJ134" s="18">
        <x:v>40</x:v>
      </x:c>
      <x:c r="BK134" s="18">
        <x:v>0</x:v>
      </x:c>
      <x:c r="BL134" s="18">
        <x:v>23</x:v>
      </x:c>
      <x:c r="BM134" s="18">
        <x:v>24</x:v>
      </x:c>
      <x:c r="BN134" s="18">
        <x:v>0</x:v>
      </x:c>
      <x:c r="BO134" s="22">
        <x:v>116.666666666667</x:v>
      </x:c>
      <x:c r="BP134" s="22">
        <x:v>23.4</x:v>
      </x:c>
      <x:c r="BQ134" s="18">
        <x:v>150</x:v>
      </x:c>
      <x:c r="BR134" s="18">
        <x:v>52493.69</x:v>
      </x:c>
      <x:c r="BS134" s="18">
        <x:v>390.91800000000001</x:v>
      </x:c>
      <x:c r="BT134" s="18">
        <x:v>5.66</x:v>
      </x:c>
      <x:c r="BU134" s="18">
        <x:v>29.513999999999999</x:v>
      </x:c>
      <x:c r="BV134" s="18">
        <x:v>15.754</x:v>
      </x:c>
      <x:c r="BW134" s="18">
        <x:v>4601.7550000000001</x:v>
      </x:c>
      <x:c r="BX134" s="18">
        <x:v>1.131</x:v>
      </x:c>
      <x:c r="BY134" s="18">
        <x:v>1810.489</x:v>
      </x:c>
      <x:c r="BZ134" s="18">
        <x:v>1810.489</x:v>
      </x:c>
      <x:c r="CA134" s="23">
        <x:f t="shared" si="126"/>
        <x:v>935.66093483999998</x:v>
      </x:c>
      <x:c r="CB134" s="23">
        <x:f t="shared" si="127"/>
        <x:v>648.87940992000017</x:v>
      </x:c>
      <x:c r="CC134" s="23">
        <x:f t="shared" si="128"/>
        <x:v>579.35661600000003</x:v>
      </x:c>
      <x:c r="CD134" s="23">
        <x:f t="shared" si="129"/>
        <x:v>490.39640761320015</x:v>
      </x:c>
      <x:c r="CE134" s="23">
        <x:f t="shared" si="130"/>
        <x:v>148.60497200400005</x:v>
      </x:c>
      <x:c r="CF134" s="23">
        <x:f t="shared" si="131"/>
        <x:v>0.2972099440080001</x:v>
      </x:c>
      <x:c r="CG134" s="23">
        <x:f t="shared" si="132"/>
        <x:v>0</x:v>
      </x:c>
      <x:c r="CH134" s="23">
        <x:f t="shared" si="133"/>
        <x:v>2.8967830800000001</x:v>
      </x:c>
      <x:c r="CI134" s="23">
        <x:f t="shared" si="134"/>
        <x:v>0</x:v>
      </x:c>
      <x:c r="CJ134" s="24" t="s">
        <x:v>153</x:v>
      </x:c>
      <x:c r="CK134" s="29">
        <x:v>98</x:v>
      </x:c>
      <x:c r="CL134" s="26" t="s">
        <x:v>78</x:v>
      </x:c>
      <x:c r="CM134" s="26" t="n">
        <x:f>(1-BV134/BU134)*100</x:f>
        <x:v>46.621942129159045</x:v>
      </x:c>
      <x:c r="CN134" s="27" t="s">
        <x:v>78</x:v>
      </x:c>
      <x:c r="CO134" s="27">
        <x:v>98.8</x:v>
      </x:c>
      <x:c r="CP134" s="27">
        <x:v>97</x:v>
      </x:c>
      <x:c r="CQ134" s="26">
        <x:f t="shared" si="135"/>
        <x:v>18.713218696800016</x:v>
      </x:c>
      <x:c r="CR134" s="26">
        <x:f t="shared" si="136"/>
        <x:v>346.359226939069</x:v>
      </x:c>
      <x:c r="CS134" s="26">
        <x:f t="shared" si="137"/>
        <x:v>579.35661600000003</x:v>
      </x:c>
      <x:c r="CT134" s="26">
        <x:f t="shared" si="110"/>
        <x:v>5.884756891358407</x:v>
      </x:c>
      <x:c r="CU134" s="26">
        <x:f t="shared" si="111"/>
        <x:v>4.458149160120005</x:v>
      </x:c>
      <x:c r="CV134" s="26">
        <x:f t="shared" si="112"/>
        <x:v>8.9162983202400112E-3</x:v>
      </x:c>
      <x:c r="CW134" s="26">
        <x:f t="shared" si="113"/>
        <x:v>0</x:v>
      </x:c>
      <x:c r="CX134" s="26">
        <x:f t="shared" si="138"/>
        <x:v>2.8967830800000001</x:v>
      </x:c>
      <x:c r="CY134" s="26">
        <x:f t="shared" si="139"/>
        <x:v>0</x:v>
      </x:c>
    </x:row>
    <x:row r="135">
      <x:c r="A135" s="18">
        <x:v>2022</x:v>
      </x:c>
      <x:c r="B135" t="s">
        <x:v>340</x:v>
      </x:c>
      <x:c r="C135" t="s">
        <x:v>341</x:v>
      </x:c>
      <x:c r="D135" t="s">
        <x:v>342</x:v>
      </x:c>
      <x:c r="E135" s="18">
        <x:v>440512</x:v>
      </x:c>
      <x:c r="F135" t="s">
        <x:v>343</x:v>
      </x:c>
      <x:c r="G135" t="s">
        <x:v>338</x:v>
      </x:c>
      <x:c r="H135" s="18">
        <x:v>4411</x:v>
      </x:c>
      <x:c r="I135" t="s">
        <x:v>102</x:v>
      </x:c>
      <x:c r="J135" t="s">
        <x:v>344</x:v>
      </x:c>
      <x:c r="K135" t="s">
        <x:v>109</x:v>
      </x:c>
      <x:c r="L135" s="20">
        <x:v>30</x:v>
      </x:c>
      <x:c r="M135" t="s">
        <x:v>110</x:v>
      </x:c>
      <x:c r="N135" s="18">
        <x:v>1000</x:v>
      </x:c>
      <x:c r="O135" t="s">
        <x:v>88</x:v>
      </x:c>
      <x:c r="P135" s="18">
        <x:v>1</x:v>
      </x:c>
      <x:c r="Q135" s="19" t="s">
        <x:v>121</x:v>
      </x:c>
      <x:c r="R135" s="18">
        <x:v>649715</x:v>
      </x:c>
      <x:c r="S135" t="s">
        <x:v>112</x:v>
      </x:c>
      <x:c r="T135" s="19">
        <x:f t="shared" si="140"/>
        <x:v>649715</x:v>
      </x:c>
      <x:c r="U135" s="20">
        <x:v>0.6</x:v>
      </x:c>
      <x:c r="V135" t="s">
        <x:v>113</x:v>
      </x:c>
      <x:c r="W135" s="20">
        <x:v>15.92</x:v>
      </x:c>
      <x:c r="X135" s="21">
        <x:f t="shared" si="141"/>
        <x:v>6627.0930000000008</x:v>
      </x:c>
      <x:c r="Y135" s="21" t="n">
        <x:f t="shared" ref="Y135:Y141" si="143">7.21*T135/1000</x:f>
        <x:v>4684.4451500000005</x:v>
      </x:c>
      <x:c r="Z135" s="21" t="n">
        <x:f t="shared" ref="Z135:Z146" si="144">2*T135/1000</x:f>
        <x:v>1299.43</x:v>
      </x:c>
      <x:c r="AA135" s="21" t="n">
        <x:f t="shared" ref="AA135:AA141" si="145">W135/100*(1-0.25)*0.23*T135</x:f>
        <x:v>17842.47333</x:v>
      </x:c>
      <x:c r="AB135" s="21" t="n">
        <x:f t="shared" ref="AB135:AB141" si="146">W135/100*(1-0.25)*0.06*T135</x:f>
        <x:v>4654.55826</x:v>
      </x:c>
      <x:c r="AC135" s="21" t="n">
        <x:f t="shared" ref="AC135:AC146" si="147">0.002*AB135</x:f>
        <x:v>9.30911652</x:v>
      </x:c>
      <x:c r="AD135" s="21"/>
      <x:c r="AE135" s="21">
        <x:f t="shared" si="142"/>
        <x:v>25.988600000000002</x:v>
      </x:c>
      <x:c r="AF135" s="21"/>
      <x:c r="AG135" s="19" t="s">
        <x:v>78</x:v>
      </x:c>
      <x:c r="AH135" t="s">
        <x:v>78</x:v>
      </x:c>
      <x:c r="AI135" t="s">
        <x:v>78</x:v>
      </x:c>
      <x:c r="AJ135" s="19"/>
      <x:c r="AK135" s="19" t="s">
        <x:v>78</x:v>
      </x:c>
      <x:c r="AL135" t="s">
        <x:v>78</x:v>
      </x:c>
      <x:c r="AM135" s="19" t="s">
        <x:v>78</x:v>
      </x:c>
      <x:c r="AN135" s="21"/>
      <x:c r="AO135" s="21"/>
      <x:c r="AP135" s="21"/>
      <x:c r="AQ135" s="21"/>
      <x:c r="AR135" s="21"/>
      <x:c r="AS135" s="21"/>
      <x:c r="AT135" s="21"/>
      <x:c r="AU135" s="21"/>
      <x:c r="AV135" s="21"/>
      <x:c r="AW135" t="s">
        <x:v>78</x:v>
      </x:c>
      <x:c r="AX135" s="19"/>
      <x:c r="AY135" s="21"/>
      <x:c r="AZ135" s="21"/>
      <x:c r="BA135" s="21"/>
      <x:c r="BB135" s="21"/>
      <x:c r="BC135" s="21"/>
      <x:c r="BD135" s="21"/>
      <x:c r="BE135" s="21"/>
      <x:c r="BF135" s="21"/>
      <x:c r="BG135" s="21"/>
      <x:c r="BH135" t="s">
        <x:v>79</x:v>
      </x:c>
      <x:c r="BI135" s="18">
        <x:v>116</x:v>
      </x:c>
      <x:c r="BJ135" s="18">
        <x:v>44</x:v>
      </x:c>
      <x:c r="BK135" s="18">
        <x:v>14.21</x:v>
      </x:c>
      <x:c r="BL135" s="18">
        <x:v>23</x:v>
      </x:c>
      <x:c r="BM135" s="18">
        <x:v>19</x:v>
      </x:c>
      <x:c r="BN135" s="18">
        <x:v>43.14</x:v>
      </x:c>
      <x:c r="BO135" s="22">
        <x:v>116.737280555556</x:v>
      </x:c>
      <x:c r="BP135" s="22">
        <x:v>23.32865</x:v>
      </x:c>
      <x:c r="BQ135" s="18">
        <x:v>210</x:v>
      </x:c>
      <x:c r="BR135" s="18">
        <x:v>520319.48300000001</x:v>
      </x:c>
      <x:c r="BS135" s="18">
        <x:v>7981.7089999999998</x:v>
      </x:c>
      <x:c r="BT135" s="18">
        <x:v>105.565</x:v>
      </x:c>
      <x:c r="BU135" s="18">
        <x:v>850.09</x:v>
      </x:c>
      <x:c r="BV135" s="18">
        <x:v>189.227</x:v>
      </x:c>
      <x:c r="BW135" s="18">
        <x:v>123827.28599999999</x:v>
      </x:c>
      <x:c r="BX135" s="18">
        <x:v>12.643000000000001</x:v>
      </x:c>
      <x:c r="BY135" s="18">
        <x:v>4489.5309999999999</x:v>
      </x:c>
      <x:c r="BZ135" s="18">
        <x:v>4489.5309999999999</x:v>
      </x:c>
      <x:c r="CA135" s="23">
        <x:f t="shared" si="126"/>
        <x:v>6627.0930000000008</x:v>
      </x:c>
      <x:c r="CB135" s="23">
        <x:f t="shared" si="127"/>
        <x:v>4684.4451500000005</x:v>
      </x:c>
      <x:c r="CC135" s="23">
        <x:f t="shared" si="128"/>
        <x:v>1299.43</x:v>
      </x:c>
      <x:c r="CD135" s="23">
        <x:f t="shared" si="129"/>
        <x:v>17842.473330000001</x:v>
      </x:c>
      <x:c r="CE135" s="23">
        <x:f t="shared" si="130"/>
        <x:v>4654.5582599999998</x:v>
      </x:c>
      <x:c r="CF135" s="23">
        <x:f t="shared" si="131"/>
        <x:v>9.3091165199999999</x:v>
      </x:c>
      <x:c r="CG135" s="23">
        <x:f t="shared" si="132"/>
        <x:v>0</x:v>
      </x:c>
      <x:c r="CH135" s="23">
        <x:f t="shared" si="133"/>
        <x:v>25.988600000000002</x:v>
      </x:c>
      <x:c r="CI135" s="23">
        <x:f t="shared" si="134"/>
        <x:v>0</x:v>
      </x:c>
      <x:c r="CJ135" s="24" t="s">
        <x:v>153</x:v>
      </x:c>
      <x:c r="CK135" s="29">
        <x:v>98.71</x:v>
      </x:c>
      <x:c r="CL135" s="26" t="s">
        <x:v>97</x:v>
      </x:c>
      <x:c r="CM135" s="28">
        <x:v>80</x:v>
      </x:c>
      <x:c r="CN135" s="30" t="s">
        <x:v>132</x:v>
      </x:c>
      <x:c r="CO135" s="27">
        <x:v>99.4</x:v>
      </x:c>
      <x:c r="CP135" s="27">
        <x:v>98.3</x:v>
      </x:c>
      <x:c r="CQ135" s="26">
        <x:f t="shared" si="135"/>
        <x:v>85.489499700000152</x:v>
      </x:c>
      <x:c r="CR135" s="26">
        <x:f t="shared" si="136"/>
        <x:v>936.88902999999993</x:v>
      </x:c>
      <x:c r="CS135" s="26">
        <x:f t="shared" si="137"/>
        <x:v>1299.43</x:v>
      </x:c>
      <x:c r="CT135" s="26">
        <x:f t="shared" si="110"/>
        <x:v>107.05483997999812</x:v>
      </x:c>
      <x:c r="CU135" s="26">
        <x:f t="shared" si="111"/>
        <x:v>79.127490420000072</x:v>
      </x:c>
      <x:c r="CV135" s="26">
        <x:f t="shared" si="112"/>
        <x:v>0.15825498084000014</x:v>
      </x:c>
      <x:c r="CW135" s="26">
        <x:f t="shared" si="113"/>
        <x:v>0</x:v>
      </x:c>
      <x:c r="CX135" s="26">
        <x:f t="shared" si="138"/>
        <x:v>25.988600000000002</x:v>
      </x:c>
      <x:c r="CY135" s="26">
        <x:f t="shared" si="139"/>
        <x:v>0</x:v>
      </x:c>
    </x:row>
    <x:row r="136">
      <x:c r="A136" s="18">
        <x:v>2022</x:v>
      </x:c>
      <x:c r="B136" t="s">
        <x:v>340</x:v>
      </x:c>
      <x:c r="C136" t="s">
        <x:v>341</x:v>
      </x:c>
      <x:c r="D136" t="s">
        <x:v>342</x:v>
      </x:c>
      <x:c r="E136" s="18">
        <x:v>440512</x:v>
      </x:c>
      <x:c r="F136" t="s">
        <x:v>343</x:v>
      </x:c>
      <x:c r="G136" t="s">
        <x:v>338</x:v>
      </x:c>
      <x:c r="H136" s="18">
        <x:v>4411</x:v>
      </x:c>
      <x:c r="I136" t="s">
        <x:v>102</x:v>
      </x:c>
      <x:c r="J136" t="s">
        <x:v>344</x:v>
      </x:c>
      <x:c r="K136" t="s">
        <x:v>109</x:v>
      </x:c>
      <x:c r="L136" s="20">
        <x:v>30</x:v>
      </x:c>
      <x:c r="M136" t="s">
        <x:v>110</x:v>
      </x:c>
      <x:c r="N136" s="18">
        <x:v>1000</x:v>
      </x:c>
      <x:c r="O136" t="s">
        <x:v>88</x:v>
      </x:c>
      <x:c r="P136" s="18">
        <x:v>1</x:v>
      </x:c>
      <x:c r="Q136" s="19" t="s">
        <x:v>121</x:v>
      </x:c>
      <x:c r="R136" s="18">
        <x:v>745182</x:v>
      </x:c>
      <x:c r="S136" t="s">
        <x:v>112</x:v>
      </x:c>
      <x:c r="T136" s="19">
        <x:f t="shared" si="140"/>
        <x:v>745182</x:v>
      </x:c>
      <x:c r="U136" s="20">
        <x:v>0.61</x:v>
      </x:c>
      <x:c r="V136" t="s">
        <x:v>113</x:v>
      </x:c>
      <x:c r="W136" s="20">
        <x:v>16.13</x:v>
      </x:c>
      <x:c r="X136" s="21">
        <x:f t="shared" si="141"/>
        <x:v>7727.5373399999989</x:v>
      </x:c>
      <x:c r="Y136" s="21">
        <x:f t="shared" si="143"/>
        <x:v>5372.7622199999996</x:v>
      </x:c>
      <x:c r="Z136" s="21">
        <x:f t="shared" si="144"/>
        <x:v>1490.364</x:v>
      </x:c>
      <x:c r="AA136" s="21">
        <x:f t="shared" si="145"/>
        <x:v>20734.130263500003</x:v>
      </x:c>
      <x:c r="AB136" s="21">
        <x:f t="shared" si="146"/>
        <x:v>5408.9035469999999</x:v>
      </x:c>
      <x:c r="AC136" s="21">
        <x:f t="shared" si="147"/>
        <x:v>10.817807094000001</x:v>
      </x:c>
      <x:c r="AD136" s="21"/>
      <x:c r="AE136" s="21">
        <x:f t="shared" si="142"/>
        <x:v>29.807279999999999</x:v>
      </x:c>
      <x:c r="AF136" s="21"/>
      <x:c r="AG136" s="19" t="s">
        <x:v>78</x:v>
      </x:c>
      <x:c r="AH136" t="s">
        <x:v>78</x:v>
      </x:c>
      <x:c r="AI136" t="s">
        <x:v>78</x:v>
      </x:c>
      <x:c r="AJ136" s="19"/>
      <x:c r="AK136" s="19" t="s">
        <x:v>78</x:v>
      </x:c>
      <x:c r="AL136" t="s">
        <x:v>78</x:v>
      </x:c>
      <x:c r="AM136" s="19" t="s">
        <x:v>78</x:v>
      </x:c>
      <x:c r="AN136" s="21"/>
      <x:c r="AO136" s="21"/>
      <x:c r="AP136" s="21"/>
      <x:c r="AQ136" s="21"/>
      <x:c r="AR136" s="21"/>
      <x:c r="AS136" s="21"/>
      <x:c r="AT136" s="21"/>
      <x:c r="AU136" s="21"/>
      <x:c r="AV136" s="21"/>
      <x:c r="AW136" t="s">
        <x:v>78</x:v>
      </x:c>
      <x:c r="AX136" s="19"/>
      <x:c r="AY136" s="21"/>
      <x:c r="AZ136" s="21"/>
      <x:c r="BA136" s="21"/>
      <x:c r="BB136" s="21"/>
      <x:c r="BC136" s="21"/>
      <x:c r="BD136" s="21"/>
      <x:c r="BE136" s="21"/>
      <x:c r="BF136" s="21"/>
      <x:c r="BG136" s="21"/>
      <x:c r="BH136" t="s">
        <x:v>82</x:v>
      </x:c>
      <x:c r="BI136" s="18">
        <x:v>116</x:v>
      </x:c>
      <x:c r="BJ136" s="18">
        <x:v>44</x:v>
      </x:c>
      <x:c r="BK136" s="18">
        <x:v>14.21</x:v>
      </x:c>
      <x:c r="BL136" s="18">
        <x:v>23</x:v>
      </x:c>
      <x:c r="BM136" s="18">
        <x:v>19</x:v>
      </x:c>
      <x:c r="BN136" s="18">
        <x:v>43.14</x:v>
      </x:c>
      <x:c r="BO136" s="22">
        <x:v>116.737280555556</x:v>
      </x:c>
      <x:c r="BP136" s="22">
        <x:v>23.32865</x:v>
      </x:c>
      <x:c r="BQ136" s="18">
        <x:v>210</x:v>
      </x:c>
      <x:c r="BR136" s="18">
        <x:v>533632.52599999995</x:v>
      </x:c>
      <x:c r="BS136" s="18">
        <x:v>8440.1270000000004</x:v>
      </x:c>
      <x:c r="BT136" s="18">
        <x:v>99.149000000000001</x:v>
      </x:c>
      <x:c r="BU136" s="18">
        <x:v>928.63099999999997</x:v>
      </x:c>
      <x:c r="BV136" s="18">
        <x:v>190.24100000000001</x:v>
      </x:c>
      <x:c r="BW136" s="18">
        <x:v>102511.235</x:v>
      </x:c>
      <x:c r="BX136" s="18">
        <x:v>9.8719999999999999</x:v>
      </x:c>
      <x:c r="BY136" s="18">
        <x:v>5149.2079999999996</x:v>
      </x:c>
      <x:c r="BZ136" s="18">
        <x:v>5149.2079999999996</x:v>
      </x:c>
      <x:c r="CA136" s="23">
        <x:f t="shared" si="126"/>
        <x:v>7727.5373399999989</x:v>
      </x:c>
      <x:c r="CB136" s="23">
        <x:f t="shared" si="127"/>
        <x:v>5372.7622199999996</x:v>
      </x:c>
      <x:c r="CC136" s="23">
        <x:f t="shared" si="128"/>
        <x:v>1490.364</x:v>
      </x:c>
      <x:c r="CD136" s="23">
        <x:f t="shared" si="129"/>
        <x:v>20734.130263500003</x:v>
      </x:c>
      <x:c r="CE136" s="23">
        <x:f t="shared" si="130"/>
        <x:v>5408.9035469999999</x:v>
      </x:c>
      <x:c r="CF136" s="23">
        <x:f t="shared" si="131"/>
        <x:v>10.817807094000001</x:v>
      </x:c>
      <x:c r="CG136" s="23">
        <x:f t="shared" si="132"/>
        <x:v>0</x:v>
      </x:c>
      <x:c r="CH136" s="23">
        <x:f t="shared" si="133"/>
        <x:v>29.807279999999999</x:v>
      </x:c>
      <x:c r="CI136" s="23">
        <x:f t="shared" si="134"/>
        <x:v>0</x:v>
      </x:c>
      <x:c r="CJ136" s="24" t="s">
        <x:v>153</x:v>
      </x:c>
      <x:c r="CK136" s="29">
        <x:v>98.71</x:v>
      </x:c>
      <x:c r="CL136" s="26" t="s">
        <x:v>97</x:v>
      </x:c>
      <x:c r="CM136" s="28">
        <x:v>80</x:v>
      </x:c>
      <x:c r="CN136" s="30" t="s">
        <x:v>132</x:v>
      </x:c>
      <x:c r="CO136" s="27">
        <x:v>99.4</x:v>
      </x:c>
      <x:c r="CP136" s="27">
        <x:v>98.3</x:v>
      </x:c>
      <x:c r="CQ136" s="26">
        <x:f t="shared" si="135"/>
        <x:v>99.685231686000165</x:v>
      </x:c>
      <x:c r="CR136" s="26">
        <x:f t="shared" si="136"/>
        <x:v>1074.5524439999997</x:v>
      </x:c>
      <x:c r="CS136" s="26">
        <x:f t="shared" si="137"/>
        <x:v>1490.364</x:v>
      </x:c>
      <x:c r="CT136" s="26">
        <x:f t="shared" si="110"/>
        <x:v>124.40478158099782</x:v>
      </x:c>
      <x:c r="CU136" s="26">
        <x:f t="shared" si="111"/>
        <x:v>91.951360299000086</x:v>
      </x:c>
      <x:c r="CV136" s="26">
        <x:f t="shared" si="112"/>
        <x:v>0.18390272059800017</x:v>
      </x:c>
      <x:c r="CW136" s="26">
        <x:f t="shared" si="113"/>
        <x:v>0</x:v>
      </x:c>
      <x:c r="CX136" s="26">
        <x:f t="shared" si="138"/>
        <x:v>29.807279999999999</x:v>
      </x:c>
      <x:c r="CY136" s="26">
        <x:f t="shared" si="139"/>
        <x:v>0</x:v>
      </x:c>
    </x:row>
    <x:row r="137">
      <x:c r="A137" s="18">
        <x:v>2022</x:v>
      </x:c>
      <x:c r="B137" t="s">
        <x:v>340</x:v>
      </x:c>
      <x:c r="C137" t="s">
        <x:v>341</x:v>
      </x:c>
      <x:c r="D137" t="s">
        <x:v>342</x:v>
      </x:c>
      <x:c r="E137" s="18">
        <x:v>440512</x:v>
      </x:c>
      <x:c r="F137" t="s">
        <x:v>343</x:v>
      </x:c>
      <x:c r="G137" t="s">
        <x:v>338</x:v>
      </x:c>
      <x:c r="H137" s="18">
        <x:v>4411</x:v>
      </x:c>
      <x:c r="I137" t="s">
        <x:v>102</x:v>
      </x:c>
      <x:c r="J137" t="s">
        <x:v>344</x:v>
      </x:c>
      <x:c r="K137" t="s">
        <x:v>109</x:v>
      </x:c>
      <x:c r="L137" s="20">
        <x:v>60</x:v>
      </x:c>
      <x:c r="M137" t="s">
        <x:v>110</x:v>
      </x:c>
      <x:c r="N137" s="18">
        <x:v>1900</x:v>
      </x:c>
      <x:c r="O137" t="s">
        <x:v>88</x:v>
      </x:c>
      <x:c r="P137" s="18">
        <x:v>1</x:v>
      </x:c>
      <x:c r="Q137" s="19" t="s">
        <x:v>121</x:v>
      </x:c>
      <x:c r="R137" s="18">
        <x:v>1182295</x:v>
      </x:c>
      <x:c r="S137" t="s">
        <x:v>112</x:v>
      </x:c>
      <x:c r="T137" s="19">
        <x:f t="shared" si="140"/>
        <x:v>1182295</x:v>
      </x:c>
      <x:c r="U137" s="20">
        <x:v>0.6</x:v>
      </x:c>
      <x:c r="V137" t="s">
        <x:v>113</x:v>
      </x:c>
      <x:c r="W137" s="20">
        <x:v>15.73</x:v>
      </x:c>
      <x:c r="X137" s="21">
        <x:f t="shared" si="141"/>
        <x:v>12059.409000000001</x:v>
      </x:c>
      <x:c r="Y137" s="21">
        <x:f t="shared" si="143"/>
        <x:v>8524.3469499999992</x:v>
      </x:c>
      <x:c r="Z137" s="21">
        <x:f t="shared" si="144"/>
        <x:v>2364.59</x:v>
      </x:c>
      <x:c r="AA137" s="21">
        <x:f t="shared" si="145"/>
        <x:v>32080.688103749999</x:v>
      </x:c>
      <x:c r="AB137" s="21">
        <x:f t="shared" si="146"/>
        <x:v>8368.8751575000006</x:v>
      </x:c>
      <x:c r="AC137" s="21">
        <x:f t="shared" si="147"/>
        <x:v>16.737750315000003</x:v>
      </x:c>
      <x:c r="AD137" s="21"/>
      <x:c r="AE137" s="21">
        <x:f t="shared" si="142"/>
        <x:v>47.291800000000002</x:v>
      </x:c>
      <x:c r="AF137" s="21"/>
      <x:c r="AG137" s="19" t="s">
        <x:v>78</x:v>
      </x:c>
      <x:c r="AH137" t="s">
        <x:v>78</x:v>
      </x:c>
      <x:c r="AI137" t="s">
        <x:v>78</x:v>
      </x:c>
      <x:c r="AJ137" s="19"/>
      <x:c r="AK137" s="19" t="s">
        <x:v>78</x:v>
      </x:c>
      <x:c r="AL137" t="s">
        <x:v>78</x:v>
      </x:c>
      <x:c r="AM137" s="19" t="s">
        <x:v>78</x:v>
      </x:c>
      <x:c r="AN137" s="21"/>
      <x:c r="AO137" s="21"/>
      <x:c r="AP137" s="21"/>
      <x:c r="AQ137" s="21"/>
      <x:c r="AR137" s="21"/>
      <x:c r="AS137" s="21"/>
      <x:c r="AT137" s="21"/>
      <x:c r="AU137" s="21"/>
      <x:c r="AV137" s="21"/>
      <x:c r="AW137" t="s">
        <x:v>78</x:v>
      </x:c>
      <x:c r="AX137" s="19"/>
      <x:c r="AY137" s="21"/>
      <x:c r="AZ137" s="21"/>
      <x:c r="BA137" s="21"/>
      <x:c r="BB137" s="21"/>
      <x:c r="BC137" s="21"/>
      <x:c r="BD137" s="21"/>
      <x:c r="BE137" s="21"/>
      <x:c r="BF137" s="21"/>
      <x:c r="BG137" s="21"/>
      <x:c r="BH137" t="s">
        <x:v>81</x:v>
      </x:c>
      <x:c r="BI137" s="18">
        <x:v>116</x:v>
      </x:c>
      <x:c r="BJ137" s="18">
        <x:v>44</x:v>
      </x:c>
      <x:c r="BK137" s="18">
        <x:v>13.45</x:v>
      </x:c>
      <x:c r="BL137" s="18">
        <x:v>23</x:v>
      </x:c>
      <x:c r="BM137" s="18">
        <x:v>19</x:v>
      </x:c>
      <x:c r="BN137" s="18">
        <x:v>42.28</x:v>
      </x:c>
      <x:c r="BO137" s="22">
        <x:v>116.737069444444</x:v>
      </x:c>
      <x:c r="BP137" s="22">
        <x:v>23.328411111111102</x:v>
      </x:c>
      <x:c r="BQ137" s="18">
        <x:v>210</x:v>
      </x:c>
      <x:c r="BR137" s="18">
        <x:v>1084066.7039999999</x:v>
      </x:c>
      <x:c r="BS137" s="18">
        <x:v>15162.914000000001</x:v>
      </x:c>
      <x:c r="BT137" s="18">
        <x:v>183.20599999999999</x:v>
      </x:c>
      <x:c r="BU137" s="18">
        <x:v>1405.2619999999999</x:v>
      </x:c>
      <x:c r="BV137" s="18">
        <x:v>361.53300000000002</x:v>
      </x:c>
      <x:c r="BW137" s="18">
        <x:v>253669.20800000001</x:v>
      </x:c>
      <x:c r="BX137" s="18">
        <x:v>26.776</x:v>
      </x:c>
      <x:c r="BY137" s="18">
        <x:v>8169.6580000000004</x:v>
      </x:c>
      <x:c r="BZ137" s="18">
        <x:v>8169.6580000000004</x:v>
      </x:c>
      <x:c r="CA137" s="23">
        <x:f t="shared" si="126"/>
        <x:v>12059.409000000001</x:v>
      </x:c>
      <x:c r="CB137" s="23">
        <x:f t="shared" si="127"/>
        <x:v>8524.3469499999992</x:v>
      </x:c>
      <x:c r="CC137" s="23">
        <x:f t="shared" si="128"/>
        <x:v>2364.59</x:v>
      </x:c>
      <x:c r="CD137" s="23">
        <x:f t="shared" si="129"/>
        <x:v>32080.688103749999</x:v>
      </x:c>
      <x:c r="CE137" s="23">
        <x:f t="shared" si="130"/>
        <x:v>8368.8751575000006</x:v>
      </x:c>
      <x:c r="CF137" s="23">
        <x:f t="shared" si="131"/>
        <x:v>16.737750315000003</x:v>
      </x:c>
      <x:c r="CG137" s="23">
        <x:f t="shared" si="132"/>
        <x:v>0</x:v>
      </x:c>
      <x:c r="CH137" s="23">
        <x:f t="shared" si="133"/>
        <x:v>47.291800000000002</x:v>
      </x:c>
      <x:c r="CI137" s="23">
        <x:f t="shared" si="134"/>
        <x:v>0</x:v>
      </x:c>
      <x:c r="CJ137" s="24" t="s">
        <x:v>153</x:v>
      </x:c>
      <x:c r="CK137" s="29">
        <x:v>98.71</x:v>
      </x:c>
      <x:c r="CL137" s="26" t="s">
        <x:v>97</x:v>
      </x:c>
      <x:c r="CM137" s="28">
        <x:v>80</x:v>
      </x:c>
      <x:c r="CN137" s="30" t="s">
        <x:v>132</x:v>
      </x:c>
      <x:c r="CO137" s="27">
        <x:v>99.4</x:v>
      </x:c>
      <x:c r="CP137" s="27">
        <x:v>98.3</x:v>
      </x:c>
      <x:c r="CQ137" s="26">
        <x:f t="shared" si="135"/>
        <x:v>155.5663761000003</x:v>
      </x:c>
      <x:c r="CR137" s="26">
        <x:f t="shared" si="136"/>
        <x:v>1704.8693899999994</x:v>
      </x:c>
      <x:c r="CS137" s="26">
        <x:f t="shared" si="137"/>
        <x:v>2364.59</x:v>
      </x:c>
      <x:c r="CT137" s="26">
        <x:f t="shared" si="110"/>
        <x:v>192.4841286224966</x:v>
      </x:c>
      <x:c r="CU137" s="26">
        <x:f t="shared" si="111"/>
        <x:v>142.27087767750012</x:v>
      </x:c>
      <x:c r="CV137" s="26">
        <x:f t="shared" si="112"/>
        <x:v>0.28454175535500031</x:v>
      </x:c>
      <x:c r="CW137" s="26">
        <x:f t="shared" si="113"/>
        <x:v>0</x:v>
      </x:c>
      <x:c r="CX137" s="26">
        <x:f t="shared" si="138"/>
        <x:v>47.291800000000002</x:v>
      </x:c>
      <x:c r="CY137" s="26">
        <x:f t="shared" si="139"/>
        <x:v>0</x:v>
      </x:c>
    </x:row>
    <x:row r="138">
      <x:c r="A138" s="18">
        <x:v>2022</x:v>
      </x:c>
      <x:c r="B138" t="s">
        <x:v>345</x:v>
      </x:c>
      <x:c r="C138" t="s">
        <x:v>346</x:v>
      </x:c>
      <x:c r="D138" t="s">
        <x:v>347</x:v>
      </x:c>
      <x:c r="E138" s="18">
        <x:v>440513</x:v>
      </x:c>
      <x:c r="F138" t="s">
        <x:v>348</x:v>
      </x:c>
      <x:c r="G138" t="s">
        <x:v>338</x:v>
      </x:c>
      <x:c r="H138" s="18">
        <x:v>4411</x:v>
      </x:c>
      <x:c r="I138" t="s">
        <x:v>102</x:v>
      </x:c>
      <x:c r="J138" t="s">
        <x:v>349</x:v>
      </x:c>
      <x:c r="K138" t="s">
        <x:v>109</x:v>
      </x:c>
      <x:c r="L138" s="20">
        <x:v>100</x:v>
      </x:c>
      <x:c r="M138" t="s">
        <x:v>110</x:v>
      </x:c>
      <x:c r="N138" s="18">
        <x:v>3033</x:v>
      </x:c>
      <x:c r="O138" t="s">
        <x:v>88</x:v>
      </x:c>
      <x:c r="P138" s="18">
        <x:v>4</x:v>
      </x:c>
      <x:c r="Q138" s="19" t="s">
        <x:v>111</x:v>
      </x:c>
      <x:c r="R138" s="18">
        <x:v>2573717.41</x:v>
      </x:c>
      <x:c r="S138" t="s">
        <x:v>112</x:v>
      </x:c>
      <x:c r="T138" s="19">
        <x:f t="shared" si="140"/>
        <x:v>2573717.41</x:v>
      </x:c>
      <x:c r="U138" s="20">
        <x:v>0.4</x:v>
      </x:c>
      <x:c r="V138" t="s">
        <x:v>113</x:v>
      </x:c>
      <x:c r="W138" s="20">
        <x:v>7.26</x:v>
      </x:c>
      <x:c r="X138" s="21">
        <x:f t="shared" si="141"/>
        <x:v>17501.278387999999</x:v>
      </x:c>
      <x:c r="Y138" s="21">
        <x:f t="shared" si="143"/>
        <x:v>18556.502526100001</x:v>
      </x:c>
      <x:c r="Z138" s="21">
        <x:f t="shared" si="144"/>
        <x:v>5147.4348200000004</x:v>
      </x:c>
      <x:c r="AA138" s="21">
        <x:f t="shared" si="145"/>
        <x:v>32231.949984135001</x:v>
      </x:c>
      <x:c r="AB138" s="21">
        <x:f t="shared" si="146"/>
        <x:v>8408.3347784699999</x:v>
      </x:c>
      <x:c r="AC138" s="21">
        <x:f t="shared" si="147"/>
        <x:v>16.816669556939999</x:v>
      </x:c>
      <x:c r="AD138" s="21"/>
      <x:c r="AE138" s="21">
        <x:f t="shared" si="142"/>
        <x:v>102.94869640000002</x:v>
      </x:c>
      <x:c r="AF138" s="21"/>
      <x:c r="AG138" s="19" t="s">
        <x:v>78</x:v>
      </x:c>
      <x:c r="AH138" t="s">
        <x:v>78</x:v>
      </x:c>
      <x:c r="AI138" t="s">
        <x:v>78</x:v>
      </x:c>
      <x:c r="AJ138" s="19"/>
      <x:c r="AK138" s="19" t="s">
        <x:v>78</x:v>
      </x:c>
      <x:c r="AL138" t="s">
        <x:v>78</x:v>
      </x:c>
      <x:c r="AM138" s="19" t="s">
        <x:v>78</x:v>
      </x:c>
      <x:c r="AN138" s="21"/>
      <x:c r="AO138" s="21"/>
      <x:c r="AP138" s="21"/>
      <x:c r="AQ138" s="21"/>
      <x:c r="AR138" s="21"/>
      <x:c r="AS138" s="21"/>
      <x:c r="AT138" s="21"/>
      <x:c r="AU138" s="21"/>
      <x:c r="AV138" s="21"/>
      <x:c r="AW138" t="s">
        <x:v>78</x:v>
      </x:c>
      <x:c r="AX138" s="19"/>
      <x:c r="AY138" s="21"/>
      <x:c r="AZ138" s="21"/>
      <x:c r="BA138" s="21"/>
      <x:c r="BB138" s="21"/>
      <x:c r="BC138" s="21"/>
      <x:c r="BD138" s="21"/>
      <x:c r="BE138" s="21"/>
      <x:c r="BF138" s="21"/>
      <x:c r="BG138" s="21"/>
      <x:c r="BH138" t="s">
        <x:v>81</x:v>
      </x:c>
      <x:c r="BI138" s="18">
        <x:v>116</x:v>
      </x:c>
      <x:c r="BJ138" s="18">
        <x:v>39</x:v>
      </x:c>
      <x:c r="BK138" s="18">
        <x:v>35.57</x:v>
      </x:c>
      <x:c r="BL138" s="18">
        <x:v>23</x:v>
      </x:c>
      <x:c r="BM138" s="18">
        <x:v>11</x:v>
      </x:c>
      <x:c r="BN138" s="18">
        <x:v>13.42</x:v>
      </x:c>
      <x:c r="BO138" s="22">
        <x:v>116.659880555556</x:v>
      </x:c>
      <x:c r="BP138" s="22">
        <x:v>23.187061111111099</x:v>
      </x:c>
      <x:c r="BQ138" s="18">
        <x:v>210</x:v>
      </x:c>
      <x:c r="BR138" s="18">
        <x:v>1746058.0279999999</x:v>
      </x:c>
      <x:c r="BS138" s="18">
        <x:v>24500.527999999998</x:v>
      </x:c>
      <x:c r="BT138" s="18">
        <x:v>275.17099999999999</x:v>
      </x:c>
      <x:c r="BU138" s="18">
        <x:v>2931.8359999999998</x:v>
      </x:c>
      <x:c r="BV138" s="18">
        <x:v>549.40800000000002</x:v>
      </x:c>
      <x:c r="BW138" s="18">
        <x:v>266514.18599999999</x:v>
      </x:c>
      <x:c r="BX138" s="18">
        <x:v>56.085999999999999</x:v>
      </x:c>
      <x:c r="BY138" s="18">
        <x:v>30369.865000000002</x:v>
      </x:c>
      <x:c r="BZ138" s="18">
        <x:v>30369.865000000002</x:v>
      </x:c>
      <x:c r="CA138" s="23">
        <x:f t="shared" si="126"/>
        <x:v>17501.278387999999</x:v>
      </x:c>
      <x:c r="CB138" s="23">
        <x:f t="shared" si="127"/>
        <x:v>18556.502526100001</x:v>
      </x:c>
      <x:c r="CC138" s="23">
        <x:f t="shared" si="128"/>
        <x:v>5147.4348200000004</x:v>
      </x:c>
      <x:c r="CD138" s="23">
        <x:f t="shared" si="129"/>
        <x:v>32231.949984135001</x:v>
      </x:c>
      <x:c r="CE138" s="23">
        <x:f t="shared" si="130"/>
        <x:v>8408.3347784699999</x:v>
      </x:c>
      <x:c r="CF138" s="23">
        <x:f t="shared" si="131"/>
        <x:v>16.816669556939999</x:v>
      </x:c>
      <x:c r="CG138" s="23">
        <x:f t="shared" si="132"/>
        <x:v>0</x:v>
      </x:c>
      <x:c r="CH138" s="23">
        <x:f t="shared" si="133"/>
        <x:v>102.94869640000002</x:v>
      </x:c>
      <x:c r="CI138" s="23">
        <x:f t="shared" si="134"/>
        <x:v>0</x:v>
      </x:c>
      <x:c r="CJ138" s="24" t="s">
        <x:v>350</x:v>
      </x:c>
      <x:c r="CK138" s="29">
        <x:v>98.27</x:v>
      </x:c>
      <x:c r="CL138" s="26" t="s">
        <x:v>97</x:v>
      </x:c>
      <x:c r="CM138" s="28">
        <x:v>70</x:v>
      </x:c>
      <x:c r="CN138" s="30" t="s">
        <x:v>351</x:v>
      </x:c>
      <x:c r="CO138" s="27">
        <x:v>98.9</x:v>
      </x:c>
      <x:c r="CP138" s="27">
        <x:v>97</x:v>
      </x:c>
      <x:c r="CQ138" s="26">
        <x:f t="shared" si="135"/>
        <x:v>302.77211611240159</x:v>
      </x:c>
      <x:c r="CR138" s="26">
        <x:f t="shared" si="136"/>
        <x:v>5566.9507578300008</x:v>
      </x:c>
      <x:c r="CS138" s="26">
        <x:f t="shared" si="137"/>
        <x:v>5147.4348200000004</x:v>
      </x:c>
      <x:c r="CT138" s="26">
        <x:f t="shared" si="110"/>
        <x:v>354.55144982548177</x:v>
      </x:c>
      <x:c r="CU138" s="26">
        <x:f t="shared" si="111"/>
        <x:v>252.25004335410023</x:v>
      </x:c>
      <x:c r="CV138" s="26">
        <x:f t="shared" si="112"/>
        <x:v>0.50450008670820046</x:v>
      </x:c>
      <x:c r="CW138" s="26">
        <x:f t="shared" si="113"/>
        <x:v>0</x:v>
      </x:c>
      <x:c r="CX138" s="26">
        <x:f t="shared" si="138"/>
        <x:v>102.94869640000002</x:v>
      </x:c>
      <x:c r="CY138" s="26">
        <x:f t="shared" si="139"/>
        <x:v>0</x:v>
      </x:c>
    </x:row>
    <x:row r="139">
      <x:c r="A139" s="18">
        <x:v>2022</x:v>
      </x:c>
      <x:c r="B139" t="s">
        <x:v>345</x:v>
      </x:c>
      <x:c r="C139" t="s">
        <x:v>346</x:v>
      </x:c>
      <x:c r="D139" t="s">
        <x:v>347</x:v>
      </x:c>
      <x:c r="E139" s="18">
        <x:v>440513</x:v>
      </x:c>
      <x:c r="F139" t="s">
        <x:v>348</x:v>
      </x:c>
      <x:c r="G139" t="s">
        <x:v>338</x:v>
      </x:c>
      <x:c r="H139" s="18">
        <x:v>4411</x:v>
      </x:c>
      <x:c r="I139" t="s">
        <x:v>102</x:v>
      </x:c>
      <x:c r="J139" t="s">
        <x:v>349</x:v>
      </x:c>
      <x:c r="K139" t="s">
        <x:v>109</x:v>
      </x:c>
      <x:c r="L139" s="20">
        <x:v>100</x:v>
      </x:c>
      <x:c r="M139" t="s">
        <x:v>110</x:v>
      </x:c>
      <x:c r="N139" s="18">
        <x:v>3033</x:v>
      </x:c>
      <x:c r="O139" t="s">
        <x:v>88</x:v>
      </x:c>
      <x:c r="P139" s="18">
        <x:v>4</x:v>
      </x:c>
      <x:c r="Q139" s="19" t="s">
        <x:v>111</x:v>
      </x:c>
      <x:c r="R139" s="18">
        <x:v>2503131.04</x:v>
      </x:c>
      <x:c r="S139" t="s">
        <x:v>112</x:v>
      </x:c>
      <x:c r="T139" s="19">
        <x:f t="shared" si="140"/>
        <x:v>2503131.04</x:v>
      </x:c>
      <x:c r="U139" s="20">
        <x:v>0.4</x:v>
      </x:c>
      <x:c r="V139" t="s">
        <x:v>113</x:v>
      </x:c>
      <x:c r="W139" s="20">
        <x:v>7.52</x:v>
      </x:c>
      <x:c r="X139" s="21">
        <x:f t="shared" si="141"/>
        <x:v>17021.291072</x:v>
      </x:c>
      <x:c r="Y139" s="21">
        <x:f t="shared" si="143"/>
        <x:v>18047.574798400001</x:v>
      </x:c>
      <x:c r="Z139" s="21">
        <x:f t="shared" si="144"/>
        <x:v>5006.2620800000004</x:v>
      </x:c>
      <x:c r="AA139" s="21">
        <x:f t="shared" si="145"/>
        <x:v>32470.61585088</x:v>
      </x:c>
      <x:c r="AB139" s="21">
        <x:f t="shared" si="146"/>
        <x:v>8470.5954393599986</x:v>
      </x:c>
      <x:c r="AC139" s="21">
        <x:f t="shared" si="147"/>
        <x:v>16.941190878719997</x:v>
      </x:c>
      <x:c r="AD139" s="21"/>
      <x:c r="AE139" s="21">
        <x:f t="shared" si="142"/>
        <x:v>100.12524160000001</x:v>
      </x:c>
      <x:c r="AF139" s="21"/>
      <x:c r="AG139" s="19" t="s">
        <x:v>78</x:v>
      </x:c>
      <x:c r="AH139" t="s">
        <x:v>78</x:v>
      </x:c>
      <x:c r="AI139" t="s">
        <x:v>78</x:v>
      </x:c>
      <x:c r="AJ139" s="19"/>
      <x:c r="AK139" s="19" t="s">
        <x:v>78</x:v>
      </x:c>
      <x:c r="AL139" t="s">
        <x:v>78</x:v>
      </x:c>
      <x:c r="AM139" s="19" t="s">
        <x:v>78</x:v>
      </x:c>
      <x:c r="AN139" s="21"/>
      <x:c r="AO139" s="21"/>
      <x:c r="AP139" s="21"/>
      <x:c r="AQ139" s="21"/>
      <x:c r="AR139" s="21"/>
      <x:c r="AS139" s="21"/>
      <x:c r="AT139" s="21"/>
      <x:c r="AU139" s="21"/>
      <x:c r="AV139" s="21"/>
      <x:c r="AW139" t="s">
        <x:v>78</x:v>
      </x:c>
      <x:c r="AX139" s="19"/>
      <x:c r="AY139" s="21"/>
      <x:c r="AZ139" s="21"/>
      <x:c r="BA139" s="21"/>
      <x:c r="BB139" s="21"/>
      <x:c r="BC139" s="21"/>
      <x:c r="BD139" s="21"/>
      <x:c r="BE139" s="21"/>
      <x:c r="BF139" s="21"/>
      <x:c r="BG139" s="21"/>
      <x:c r="BH139" t="s">
        <x:v>79</x:v>
      </x:c>
      <x:c r="BI139" s="18">
        <x:v>116</x:v>
      </x:c>
      <x:c r="BJ139" s="18">
        <x:v>39</x:v>
      </x:c>
      <x:c r="BK139" s="18">
        <x:v>35.57</x:v>
      </x:c>
      <x:c r="BL139" s="18">
        <x:v>23</x:v>
      </x:c>
      <x:c r="BM139" s="18">
        <x:v>11</x:v>
      </x:c>
      <x:c r="BN139" s="18">
        <x:v>13.42</x:v>
      </x:c>
      <x:c r="BO139" s="22">
        <x:v>116.659880555556</x:v>
      </x:c>
      <x:c r="BP139" s="22">
        <x:v>23.187061111111099</x:v>
      </x:c>
      <x:c r="BQ139" s="18">
        <x:v>210</x:v>
      </x:c>
      <x:c r="BR139" s="18">
        <x:v>1680281.1329999999</x:v>
      </x:c>
      <x:c r="BS139" s="18">
        <x:v>16098.607</x:v>
      </x:c>
      <x:c r="BT139" s="18">
        <x:v>429.512</x:v>
      </x:c>
      <x:c r="BU139" s="18">
        <x:v>2905.556</x:v>
      </x:c>
      <x:c r="BV139" s="18">
        <x:v>494.66500000000002</x:v>
      </x:c>
      <x:c r="BW139" s="18">
        <x:v>214701.549</x:v>
      </x:c>
      <x:c r="BX139" s="18">
        <x:v>37.709000000000003</x:v>
      </x:c>
      <x:c r="BY139" s="18">
        <x:v>29536.946</x:v>
      </x:c>
      <x:c r="BZ139" s="18">
        <x:v>29536.946</x:v>
      </x:c>
      <x:c r="CA139" s="23">
        <x:f t="shared" si="126"/>
        <x:v>17021.291072</x:v>
      </x:c>
      <x:c r="CB139" s="23">
        <x:f t="shared" si="127"/>
        <x:v>18047.574798400001</x:v>
      </x:c>
      <x:c r="CC139" s="23">
        <x:f t="shared" si="128"/>
        <x:v>5006.2620800000004</x:v>
      </x:c>
      <x:c r="CD139" s="23">
        <x:f t="shared" si="129"/>
        <x:v>32470.61585088</x:v>
      </x:c>
      <x:c r="CE139" s="23">
        <x:f t="shared" si="130"/>
        <x:v>8470.5954393599986</x:v>
      </x:c>
      <x:c r="CF139" s="23">
        <x:f t="shared" si="131"/>
        <x:v>16.941190878719997</x:v>
      </x:c>
      <x:c r="CG139" s="23">
        <x:f t="shared" si="132"/>
        <x:v>0</x:v>
      </x:c>
      <x:c r="CH139" s="23">
        <x:f t="shared" si="133"/>
        <x:v>100.12524160000001</x:v>
      </x:c>
      <x:c r="CI139" s="23">
        <x:f t="shared" si="134"/>
        <x:v>0</x:v>
      </x:c>
      <x:c r="CJ139" s="24" t="s">
        <x:v>350</x:v>
      </x:c>
      <x:c r="CK139" s="29">
        <x:v>98.27</x:v>
      </x:c>
      <x:c r="CL139" s="26" t="s">
        <x:v>97</x:v>
      </x:c>
      <x:c r="CM139" s="28">
        <x:v>70</x:v>
      </x:c>
      <x:c r="CN139" s="30" t="s">
        <x:v>351</x:v>
      </x:c>
      <x:c r="CO139" s="27">
        <x:v>98.9</x:v>
      </x:c>
      <x:c r="CP139" s="27">
        <x:v>97</x:v>
      </x:c>
      <x:c r="CQ139" s="26">
        <x:f t="shared" si="135"/>
        <x:v>294.46833554560158</x:v>
      </x:c>
      <x:c r="CR139" s="26">
        <x:f t="shared" si="136"/>
        <x:v>5414.2724395200012</x:v>
      </x:c>
      <x:c r="CS139" s="26">
        <x:f t="shared" si="137"/>
        <x:v>5006.2620800000004</x:v>
      </x:c>
      <x:c r="CT139" s="26">
        <x:f t="shared" si="110"/>
        <x:v>357.1767743596767</x:v>
      </x:c>
      <x:c r="CU139" s="26">
        <x:f t="shared" si="111"/>
        <x:v>254.11786318080019</x:v>
      </x:c>
      <x:c r="CV139" s="26">
        <x:f t="shared" si="112"/>
        <x:v>0.50823572636160042</x:v>
      </x:c>
      <x:c r="CW139" s="26">
        <x:f t="shared" si="113"/>
        <x:v>0</x:v>
      </x:c>
      <x:c r="CX139" s="26">
        <x:f t="shared" si="138"/>
        <x:v>100.12524160000001</x:v>
      </x:c>
      <x:c r="CY139" s="26">
        <x:f t="shared" si="139"/>
        <x:v>0</x:v>
      </x:c>
    </x:row>
    <x:row r="140">
      <x:c r="A140" s="18">
        <x:v>2022</x:v>
      </x:c>
      <x:c r="B140" t="s">
        <x:v>345</x:v>
      </x:c>
      <x:c r="C140" t="s">
        <x:v>346</x:v>
      </x:c>
      <x:c r="D140" t="s">
        <x:v>347</x:v>
      </x:c>
      <x:c r="E140" s="18">
        <x:v>440513</x:v>
      </x:c>
      <x:c r="F140" t="s">
        <x:v>348</x:v>
      </x:c>
      <x:c r="G140" t="s">
        <x:v>338</x:v>
      </x:c>
      <x:c r="H140" s="18">
        <x:v>4411</x:v>
      </x:c>
      <x:c r="I140" t="s">
        <x:v>102</x:v>
      </x:c>
      <x:c r="J140" t="s">
        <x:v>349</x:v>
      </x:c>
      <x:c r="K140" t="s">
        <x:v>109</x:v>
      </x:c>
      <x:c r="L140" s="20">
        <x:v>100</x:v>
      </x:c>
      <x:c r="M140" t="s">
        <x:v>110</x:v>
      </x:c>
      <x:c r="N140" s="18">
        <x:v>3033</x:v>
      </x:c>
      <x:c r="O140" t="s">
        <x:v>88</x:v>
      </x:c>
      <x:c r="P140" s="18">
        <x:v>4</x:v>
      </x:c>
      <x:c r="Q140" s="19" t="s">
        <x:v>111</x:v>
      </x:c>
      <x:c r="R140" s="18">
        <x:v>1595887.43</x:v>
      </x:c>
      <x:c r="S140" t="s">
        <x:v>112</x:v>
      </x:c>
      <x:c r="T140" s="19">
        <x:f t="shared" si="140"/>
        <x:v>1595887.43</x:v>
      </x:c>
      <x:c r="U140" s="20">
        <x:v>0.34</x:v>
      </x:c>
      <x:c r="V140" t="s">
        <x:v>113</x:v>
      </x:c>
      <x:c r="W140" s="20">
        <x:v>6.68</x:v>
      </x:c>
      <x:c r="X140" s="21">
        <x:f t="shared" si="141"/>
        <x:v>9224.229345400001</x:v>
      </x:c>
      <x:c r="Y140" s="21">
        <x:f t="shared" si="143"/>
        <x:v>11506.348370299998</x:v>
      </x:c>
      <x:c r="Z140" s="21">
        <x:f t="shared" si="144"/>
        <x:v>3191.77486</x:v>
      </x:c>
      <x:c r="AA140" s="21">
        <x:f t="shared" si="145"/>
        <x:v>18389.410855890001</x:v>
      </x:c>
      <x:c r="AB140" s="21">
        <x:f t="shared" si="146"/>
        <x:v>4797.2376145799999</x:v>
      </x:c>
      <x:c r="AC140" s="21">
        <x:f t="shared" si="147"/>
        <x:v>9.5944752291600004</x:v>
      </x:c>
      <x:c r="AD140" s="21"/>
      <x:c r="AE140" s="21">
        <x:f t="shared" si="142"/>
        <x:v>63.835497199999999</x:v>
      </x:c>
      <x:c r="AF140" s="21"/>
      <x:c r="AG140" s="19" t="s">
        <x:v>78</x:v>
      </x:c>
      <x:c r="AH140" t="s">
        <x:v>78</x:v>
      </x:c>
      <x:c r="AI140" t="s">
        <x:v>78</x:v>
      </x:c>
      <x:c r="AJ140" s="19"/>
      <x:c r="AK140" s="19" t="s">
        <x:v>78</x:v>
      </x:c>
      <x:c r="AL140" t="s">
        <x:v>78</x:v>
      </x:c>
      <x:c r="AM140" s="19" t="s">
        <x:v>78</x:v>
      </x:c>
      <x:c r="AN140" s="21"/>
      <x:c r="AO140" s="21"/>
      <x:c r="AP140" s="21"/>
      <x:c r="AQ140" s="21"/>
      <x:c r="AR140" s="21"/>
      <x:c r="AS140" s="21"/>
      <x:c r="AT140" s="21"/>
      <x:c r="AU140" s="21"/>
      <x:c r="AV140" s="21"/>
      <x:c r="AW140" t="s">
        <x:v>78</x:v>
      </x:c>
      <x:c r="AX140" s="19"/>
      <x:c r="AY140" s="21"/>
      <x:c r="AZ140" s="21"/>
      <x:c r="BA140" s="21"/>
      <x:c r="BB140" s="21"/>
      <x:c r="BC140" s="21"/>
      <x:c r="BD140" s="21"/>
      <x:c r="BE140" s="21"/>
      <x:c r="BF140" s="21"/>
      <x:c r="BG140" s="21"/>
      <x:c r="BH140" t="s">
        <x:v>82</x:v>
      </x:c>
      <x:c r="BI140" s="18">
        <x:v>116</x:v>
      </x:c>
      <x:c r="BJ140" s="18">
        <x:v>39</x:v>
      </x:c>
      <x:c r="BK140" s="18">
        <x:v>33.520000000000003</x:v>
      </x:c>
      <x:c r="BL140" s="18">
        <x:v>23</x:v>
      </x:c>
      <x:c r="BM140" s="18">
        <x:v>11</x:v>
      </x:c>
      <x:c r="BN140" s="18">
        <x:v>10.64</x:v>
      </x:c>
      <x:c r="BO140" s="22">
        <x:v>116.65931111111099</x:v>
      </x:c>
      <x:c r="BP140" s="22">
        <x:v>23.1862888888889</x:v>
      </x:c>
      <x:c r="BQ140" s="18">
        <x:v>210</x:v>
      </x:c>
      <x:c r="BR140" s="18">
        <x:v>1418175.5819999999</x:v>
      </x:c>
      <x:c r="BS140" s="18">
        <x:v>13984.174000000001</x:v>
      </x:c>
      <x:c r="BT140" s="18">
        <x:v>252.833</x:v>
      </x:c>
      <x:c r="BU140" s="18">
        <x:v>2313.616</x:v>
      </x:c>
      <x:c r="BV140" s="18">
        <x:v>407.34800000000001</x:v>
      </x:c>
      <x:c r="BW140" s="18">
        <x:v>175832.272</x:v>
      </x:c>
      <x:c r="BX140" s="18">
        <x:v>48.649000000000001</x:v>
      </x:c>
      <x:c r="BY140" s="18">
        <x:v>18831.472000000002</x:v>
      </x:c>
      <x:c r="BZ140" s="18">
        <x:v>18831.472000000002</x:v>
      </x:c>
      <x:c r="CA140" s="23">
        <x:f t="shared" si="126"/>
        <x:v>9224.229345400001</x:v>
      </x:c>
      <x:c r="CB140" s="23">
        <x:f t="shared" si="127"/>
        <x:v>11506.348370299998</x:v>
      </x:c>
      <x:c r="CC140" s="23">
        <x:f t="shared" si="128"/>
        <x:v>3191.77486</x:v>
      </x:c>
      <x:c r="CD140" s="23">
        <x:f t="shared" si="129"/>
        <x:v>18389.410855890001</x:v>
      </x:c>
      <x:c r="CE140" s="23">
        <x:f t="shared" si="130"/>
        <x:v>4797.2376145799999</x:v>
      </x:c>
      <x:c r="CF140" s="23">
        <x:f t="shared" si="131"/>
        <x:v>9.5944752291600004</x:v>
      </x:c>
      <x:c r="CG140" s="23">
        <x:f t="shared" si="132"/>
        <x:v>0</x:v>
      </x:c>
      <x:c r="CH140" s="23">
        <x:f t="shared" si="133"/>
        <x:v>63.835497199999999</x:v>
      </x:c>
      <x:c r="CI140" s="23">
        <x:f t="shared" si="134"/>
        <x:v>0</x:v>
      </x:c>
      <x:c r="CJ140" s="24" t="s">
        <x:v>350</x:v>
      </x:c>
      <x:c r="CK140" s="29">
        <x:v>98.27</x:v>
      </x:c>
      <x:c r="CL140" s="26" t="s">
        <x:v>97</x:v>
      </x:c>
      <x:c r="CM140" s="28">
        <x:v>70</x:v>
      </x:c>
      <x:c r="CN140" s="30" t="s">
        <x:v>351</x:v>
      </x:c>
      <x:c r="CO140" s="27">
        <x:v>98.9</x:v>
      </x:c>
      <x:c r="CP140" s="27">
        <x:v>97</x:v>
      </x:c>
      <x:c r="CQ140" s="26">
        <x:f t="shared" si="135"/>
        <x:v>159.57916767542088</x:v>
      </x:c>
      <x:c r="CR140" s="26">
        <x:f t="shared" si="136"/>
        <x:v>3451.9045110900001</x:v>
      </x:c>
      <x:c r="CS140" s="26">
        <x:f t="shared" si="137"/>
        <x:v>3191.77486</x:v>
      </x:c>
      <x:c r="CT140" s="26">
        <x:f t="shared" si="110"/>
        <x:v>202.28351941478815</x:v>
      </x:c>
      <x:c r="CU140" s="26">
        <x:f t="shared" si="111"/>
        <x:v>143.91712843740012</x:v>
      </x:c>
      <x:c r="CV140" s="26">
        <x:f t="shared" si="112"/>
        <x:v>0.28783425687480024</x:v>
      </x:c>
      <x:c r="CW140" s="26">
        <x:f t="shared" si="113"/>
        <x:v>0</x:v>
      </x:c>
      <x:c r="CX140" s="26">
        <x:f t="shared" si="138"/>
        <x:v>63.835497199999999</x:v>
      </x:c>
      <x:c r="CY140" s="26">
        <x:f t="shared" si="139"/>
        <x:v>0</x:v>
      </x:c>
    </x:row>
    <x:row r="141">
      <x:c r="A141" s="18">
        <x:v>2022</x:v>
      </x:c>
      <x:c r="B141" t="s">
        <x:v>345</x:v>
      </x:c>
      <x:c r="C141" t="s">
        <x:v>346</x:v>
      </x:c>
      <x:c r="D141" t="s">
        <x:v>347</x:v>
      </x:c>
      <x:c r="E141" s="18">
        <x:v>440513</x:v>
      </x:c>
      <x:c r="F141" t="s">
        <x:v>348</x:v>
      </x:c>
      <x:c r="G141" t="s">
        <x:v>338</x:v>
      </x:c>
      <x:c r="H141" s="18">
        <x:v>4411</x:v>
      </x:c>
      <x:c r="I141" t="s">
        <x:v>102</x:v>
      </x:c>
      <x:c r="J141" t="s">
        <x:v>349</x:v>
      </x:c>
      <x:c r="K141" t="s">
        <x:v>109</x:v>
      </x:c>
      <x:c r="L141" s="20">
        <x:v>100</x:v>
      </x:c>
      <x:c r="M141" t="s">
        <x:v>110</x:v>
      </x:c>
      <x:c r="N141" s="18">
        <x:v>3033</x:v>
      </x:c>
      <x:c r="O141" t="s">
        <x:v>88</x:v>
      </x:c>
      <x:c r="P141" s="18">
        <x:v>4</x:v>
      </x:c>
      <x:c r="Q141" s="19" t="s">
        <x:v>111</x:v>
      </x:c>
      <x:c r="R141" s="18">
        <x:v>2986885.19</x:v>
      </x:c>
      <x:c r="S141" t="s">
        <x:v>112</x:v>
      </x:c>
      <x:c r="T141" s="19">
        <x:f t="shared" si="140"/>
        <x:v>2986885.19</x:v>
      </x:c>
      <x:c r="U141" s="20">
        <x:v>0.37</x:v>
      </x:c>
      <x:c r="V141" t="s">
        <x:v>113</x:v>
      </x:c>
      <x:c r="W141" s="20">
        <x:v>7.39</x:v>
      </x:c>
      <x:c r="X141" s="21">
        <x:f t="shared" si="141"/>
        <x:v>18787.507845100001</x:v>
      </x:c>
      <x:c r="Y141" s="21">
        <x:f t="shared" si="143"/>
        <x:v>21535.4422199</x:v>
      </x:c>
      <x:c r="Z141" s="21">
        <x:f t="shared" si="144"/>
        <x:v>5973.7703799999999</x:v>
      </x:c>
      <x:c r="AA141" s="21">
        <x:f t="shared" si="145"/>
        <x:v>38076.065680822496</x:v>
      </x:c>
      <x:c r="AB141" s="21">
        <x:f t="shared" si="146"/>
        <x:v>9932.8866993449974</x:v>
      </x:c>
      <x:c r="AC141" s="21">
        <x:f t="shared" si="147"/>
        <x:v>19.865773398689996</x:v>
      </x:c>
      <x:c r="AD141" s="21"/>
      <x:c r="AE141" s="21">
        <x:f t="shared" si="142"/>
        <x:v>119.47540760000001</x:v>
      </x:c>
      <x:c r="AF141" s="21"/>
      <x:c r="AG141" s="19" t="s">
        <x:v>78</x:v>
      </x:c>
      <x:c r="AH141" t="s">
        <x:v>78</x:v>
      </x:c>
      <x:c r="AI141" t="s">
        <x:v>78</x:v>
      </x:c>
      <x:c r="AJ141" s="19"/>
      <x:c r="AK141" s="19" t="s">
        <x:v>78</x:v>
      </x:c>
      <x:c r="AL141" t="s">
        <x:v>78</x:v>
      </x:c>
      <x:c r="AM141" s="19" t="s">
        <x:v>78</x:v>
      </x:c>
      <x:c r="AN141" s="21"/>
      <x:c r="AO141" s="21"/>
      <x:c r="AP141" s="21"/>
      <x:c r="AQ141" s="21"/>
      <x:c r="AR141" s="21"/>
      <x:c r="AS141" s="21"/>
      <x:c r="AT141" s="21"/>
      <x:c r="AU141" s="21"/>
      <x:c r="AV141" s="21"/>
      <x:c r="AW141" t="s">
        <x:v>78</x:v>
      </x:c>
      <x:c r="AX141" s="19"/>
      <x:c r="AY141" s="21"/>
      <x:c r="AZ141" s="21"/>
      <x:c r="BA141" s="21"/>
      <x:c r="BB141" s="21"/>
      <x:c r="BC141" s="21"/>
      <x:c r="BD141" s="21"/>
      <x:c r="BE141" s="21"/>
      <x:c r="BF141" s="21"/>
      <x:c r="BG141" s="21"/>
      <x:c r="BH141" t="s">
        <x:v>83</x:v>
      </x:c>
      <x:c r="BI141" s="18">
        <x:v>116</x:v>
      </x:c>
      <x:c r="BJ141" s="18">
        <x:v>39</x:v>
      </x:c>
      <x:c r="BK141" s="18">
        <x:v>33.520000000000003</x:v>
      </x:c>
      <x:c r="BL141" s="18">
        <x:v>23</x:v>
      </x:c>
      <x:c r="BM141" s="18">
        <x:v>11</x:v>
      </x:c>
      <x:c r="BN141" s="18">
        <x:v>10.64</x:v>
      </x:c>
      <x:c r="BO141" s="22">
        <x:v>116.65931111111099</x:v>
      </x:c>
      <x:c r="BP141" s="22">
        <x:v>23.1862888888889</x:v>
      </x:c>
      <x:c r="BQ141" s="18">
        <x:v>210</x:v>
      </x:c>
      <x:c r="BR141" s="18">
        <x:v>2626911.7390000001</x:v>
      </x:c>
      <x:c r="BS141" s="18">
        <x:v>28470.73</x:v>
      </x:c>
      <x:c r="BT141" s="18">
        <x:v>419.27199999999999</x:v>
      </x:c>
      <x:c r="BU141" s="18">
        <x:v>5017.3649999999998</x:v>
      </x:c>
      <x:c r="BV141" s="18">
        <x:v>710.51300000000003</x:v>
      </x:c>
      <x:c r="BW141" s="18">
        <x:v>427326.33100000001</x:v>
      </x:c>
      <x:c r="BX141" s="18">
        <x:v>84.635999999999996</x:v>
      </x:c>
      <x:c r="BY141" s="18">
        <x:v>35245.245000000003</x:v>
      </x:c>
      <x:c r="BZ141" s="18">
        <x:v>35245.245000000003</x:v>
      </x:c>
      <x:c r="CA141" s="23">
        <x:f t="shared" si="126"/>
        <x:v>18787.507845100001</x:v>
      </x:c>
      <x:c r="CB141" s="23">
        <x:f t="shared" si="127"/>
        <x:v>21535.4422199</x:v>
      </x:c>
      <x:c r="CC141" s="23">
        <x:f t="shared" si="128"/>
        <x:v>5973.7703799999999</x:v>
      </x:c>
      <x:c r="CD141" s="23">
        <x:f t="shared" si="129"/>
        <x:v>38076.065680822496</x:v>
      </x:c>
      <x:c r="CE141" s="23">
        <x:f t="shared" si="130"/>
        <x:v>9932.8866993449974</x:v>
      </x:c>
      <x:c r="CF141" s="23">
        <x:f t="shared" si="131"/>
        <x:v>19.865773398689996</x:v>
      </x:c>
      <x:c r="CG141" s="23">
        <x:f t="shared" si="132"/>
        <x:v>0</x:v>
      </x:c>
      <x:c r="CH141" s="23">
        <x:f t="shared" si="133"/>
        <x:v>119.47540760000001</x:v>
      </x:c>
      <x:c r="CI141" s="23">
        <x:f t="shared" si="134"/>
        <x:v>0</x:v>
      </x:c>
      <x:c r="CJ141" s="24" t="s">
        <x:v>350</x:v>
      </x:c>
      <x:c r="CK141" s="29">
        <x:v>98.27</x:v>
      </x:c>
      <x:c r="CL141" s="26" t="s">
        <x:v>97</x:v>
      </x:c>
      <x:c r="CM141" s="28">
        <x:v>70</x:v>
      </x:c>
      <x:c r="CN141" s="30" t="s">
        <x:v>351</x:v>
      </x:c>
      <x:c r="CO141" s="27">
        <x:v>98.9</x:v>
      </x:c>
      <x:c r="CP141" s="27">
        <x:v>97</x:v>
      </x:c>
      <x:c r="CQ141" s="26">
        <x:f t="shared" si="135"/>
        <x:v>325.02388572023176</x:v>
      </x:c>
      <x:c r="CR141" s="26">
        <x:f t="shared" si="136"/>
        <x:v>6460.6326659700007</x:v>
      </x:c>
      <x:c r="CS141" s="26">
        <x:f t="shared" si="137"/>
        <x:v>5973.7703799999999</x:v>
      </x:c>
      <x:c r="CT141" s="26">
        <x:f t="shared" si="110"/>
        <x:v>418.83672248904361</x:v>
      </x:c>
      <x:c r="CU141" s="26">
        <x:f t="shared" si="111"/>
        <x:v>297.9866009803502</x:v>
      </x:c>
      <x:c r="CV141" s="26">
        <x:f t="shared" si="112"/>
        <x:v>0.59597320196070036</x:v>
      </x:c>
      <x:c r="CW141" s="26">
        <x:f t="shared" si="113"/>
        <x:v>0</x:v>
      </x:c>
      <x:c r="CX141" s="26">
        <x:f t="shared" si="138"/>
        <x:v>119.47540760000001</x:v>
      </x:c>
      <x:c r="CY141" s="26">
        <x:f t="shared" si="139"/>
        <x:v>0</x:v>
      </x:c>
    </x:row>
    <x:row r="142">
      <x:c r="A142" s="18">
        <x:v>2022</x:v>
      </x:c>
      <x:c r="B142" t="s">
        <x:v>352</x:v>
      </x:c>
      <x:c r="C142" t="s">
        <x:v>353</x:v>
      </x:c>
      <x:c r="D142" t="s">
        <x:v>354</x:v>
      </x:c>
      <x:c r="E142" s="18">
        <x:v>440514</x:v>
      </x:c>
      <x:c r="F142" t="s">
        <x:v>355</x:v>
      </x:c>
      <x:c r="G142" t="s">
        <x:v>338</x:v>
      </x:c>
      <x:c r="H142" s="18">
        <x:v>4412</x:v>
      </x:c>
      <x:c r="I142" t="s">
        <x:v>108</x:v>
      </x:c>
      <x:c r="J142" t="s">
        <x:v>78</x:v>
      </x:c>
      <x:c r="K142" t="s">
        <x:v>109</x:v>
      </x:c>
      <x:c r="L142" s="20">
        <x:v>1.3080000000000001</x:v>
      </x:c>
      <x:c r="M142" t="s">
        <x:v>125</x:v>
      </x:c>
      <x:c r="N142" s="18">
        <x:v>150</x:v>
      </x:c>
      <x:c r="O142" t="s">
        <x:v>88</x:v>
      </x:c>
      <x:c r="P142" s="18">
        <x:v>4</x:v>
      </x:c>
      <x:c r="Q142" s="19" t="s">
        <x:v>111</x:v>
      </x:c>
      <x:c r="R142" s="18">
        <x:v>98406.71</x:v>
      </x:c>
      <x:c r="S142" t="s">
        <x:v>112</x:v>
      </x:c>
      <x:c r="T142" s="19">
        <x:f t="shared" si="140"/>
        <x:v>98406.71</x:v>
      </x:c>
      <x:c r="U142" s="20">
        <x:v>0.56000000000000005</x:v>
      </x:c>
      <x:c r="V142" t="s">
        <x:v>113</x:v>
      </x:c>
      <x:c r="W142" s="20">
        <x:v>20.329999999999998</x:v>
      </x:c>
      <x:c r="X142" s="21">
        <x:f t="shared" si="141"/>
        <x:v>936.83187920000012</x:v>
      </x:c>
      <x:c r="Y142" s="21" t="n">
        <x:f>8.96*T142/1000</x:f>
        <x:v>881.7241216000002</x:v>
      </x:c>
      <x:c r="Z142" s="21">
        <x:f t="shared" si="144"/>
        <x:v>196.81342000000001</x:v>
      </x:c>
      <x:c r="AA142" s="21" t="n">
        <x:f>W142/100*(1-0.44)*0.29*T142</x:f>
        <x:v>3248.9880648232</x:v>
      </x:c>
      <x:c r="AB142" s="21" t="n">
        <x:f>W142/100*(1-0.44)*0.07*T142</x:f>
        <x:v>784.2384984056002</x:v>
      </x:c>
      <x:c r="AC142" s="21">
        <x:f t="shared" si="147"/>
        <x:v>1.5684769968112005</x:v>
      </x:c>
      <x:c r="AD142" s="21"/>
      <x:c r="AE142" s="21">
        <x:f t="shared" si="142"/>
        <x:v>3.9362684000000003</x:v>
      </x:c>
      <x:c r="AF142" s="21"/>
      <x:c r="AG142" s="19" t="s">
        <x:v>78</x:v>
      </x:c>
      <x:c r="AH142" t="s">
        <x:v>78</x:v>
      </x:c>
      <x:c r="AI142" t="s">
        <x:v>78</x:v>
      </x:c>
      <x:c r="AJ142" s="19"/>
      <x:c r="AK142" s="19" t="s">
        <x:v>78</x:v>
      </x:c>
      <x:c r="AL142" t="s">
        <x:v>78</x:v>
      </x:c>
      <x:c r="AM142" s="19" t="s">
        <x:v>78</x:v>
      </x:c>
      <x:c r="AN142" s="21"/>
      <x:c r="AO142" s="21"/>
      <x:c r="AP142" s="21"/>
      <x:c r="AQ142" s="21"/>
      <x:c r="AR142" s="21"/>
      <x:c r="AS142" s="21"/>
      <x:c r="AT142" s="21"/>
      <x:c r="AU142" s="21"/>
      <x:c r="AV142" s="21"/>
      <x:c r="AW142" t="s">
        <x:v>78</x:v>
      </x:c>
      <x:c r="AX142" s="19"/>
      <x:c r="AY142" s="21"/>
      <x:c r="AZ142" s="21"/>
      <x:c r="BA142" s="21"/>
      <x:c r="BB142" s="21"/>
      <x:c r="BC142" s="21"/>
      <x:c r="BD142" s="21"/>
      <x:c r="BE142" s="21"/>
      <x:c r="BF142" s="21"/>
      <x:c r="BG142" s="21"/>
      <x:c r="BH142" t="s">
        <x:v>81</x:v>
      </x:c>
      <x:c r="BI142" s="18">
        <x:v>116</x:v>
      </x:c>
      <x:c r="BJ142" s="18">
        <x:v>32</x:v>
      </x:c>
      <x:c r="BK142" s="18">
        <x:v>31.67</x:v>
      </x:c>
      <x:c r="BL142" s="18">
        <x:v>23</x:v>
      </x:c>
      <x:c r="BM142" s="18">
        <x:v>9</x:v>
      </x:c>
      <x:c r="BN142" s="18">
        <x:v>47.2</x:v>
      </x:c>
      <x:c r="BO142" s="22">
        <x:v>116.542130555556</x:v>
      </x:c>
      <x:c r="BP142" s="22">
        <x:v>23.1631111111111</x:v>
      </x:c>
      <x:c r="BQ142" s="18">
        <x:v>100</x:v>
      </x:c>
      <x:c r="BR142" s="18">
        <x:v>93792.095000000001</x:v>
      </x:c>
      <x:c r="BS142" s="18">
        <x:v>1050.134</x:v>
      </x:c>
      <x:c r="BT142" s="18">
        <x:v>14.702</x:v>
      </x:c>
      <x:c r="BU142" s="18">
        <x:v>83.040999999999997</x:v>
      </x:c>
      <x:c r="BV142" s="18">
        <x:v>20.759</x:v>
      </x:c>
      <x:c r="BW142" s="18">
        <x:v>5526.817</x:v>
      </x:c>
      <x:c r="BX142" s="18">
        <x:v>1.9890000000000001</x:v>
      </x:c>
      <x:c r="BY142" s="18">
        <x:v>2814.4319999999998</x:v>
      </x:c>
      <x:c r="BZ142" s="18">
        <x:v>2814.4319999999998</x:v>
      </x:c>
      <x:c r="CA142" s="23">
        <x:f t="shared" si="126"/>
        <x:v>936.83187920000012</x:v>
      </x:c>
      <x:c r="CB142" s="23">
        <x:f t="shared" si="127"/>
        <x:v>881.72412160000022</x:v>
      </x:c>
      <x:c r="CC142" s="23">
        <x:f t="shared" si="128"/>
        <x:v>196.81342000000001</x:v>
      </x:c>
      <x:c r="CD142" s="23">
        <x:f t="shared" si="129"/>
        <x:v>3248.9880648232001</x:v>
      </x:c>
      <x:c r="CE142" s="23">
        <x:f t="shared" si="130"/>
        <x:v>784.23849840560024</x:v>
      </x:c>
      <x:c r="CF142" s="23">
        <x:f t="shared" si="131"/>
        <x:v>1.5684769968112005</x:v>
      </x:c>
      <x:c r="CG142" s="23">
        <x:f t="shared" si="132"/>
        <x:v>0</x:v>
      </x:c>
      <x:c r="CH142" s="23">
        <x:f t="shared" si="133"/>
        <x:v>3.9362684000000003</x:v>
      </x:c>
      <x:c r="CI142" s="23">
        <x:f t="shared" si="134"/>
        <x:v>0</x:v>
      </x:c>
      <x:c r="CJ142" s="24" t="s">
        <x:v>356</x:v>
      </x:c>
      <x:c r="CK142" s="29">
        <x:v>98.6</x:v>
      </x:c>
      <x:c r="CL142" s="26" t="s">
        <x:v>97</x:v>
      </x:c>
      <x:c r="CM142" s="28">
        <x:v>70</x:v>
      </x:c>
      <x:c r="CN142" s="30" t="s">
        <x:v>357</x:v>
      </x:c>
      <x:c r="CO142" s="27">
        <x:v>99.8</x:v>
      </x:c>
      <x:c r="CP142" s="27">
        <x:v>99.6</x:v>
      </x:c>
      <x:c r="CQ142" s="26">
        <x:f t="shared" si="135"/>
        <x:v>13.115646308800013</x:v>
      </x:c>
      <x:c r="CR142" s="26">
        <x:f t="shared" si="136"/>
        <x:v>264.51723648000012</x:v>
      </x:c>
      <x:c r="CS142" s="26">
        <x:f t="shared" si="137"/>
        <x:v>196.81342000000001</x:v>
      </x:c>
      <x:c r="CT142" s="26">
        <x:f t="shared" si="110"/>
        <x:v>6.497976129646406</x:v>
      </x:c>
      <x:c r="CU142" s="26">
        <x:f t="shared" si="111"/>
        <x:v>3.1369539936224036</x:v>
      </x:c>
      <x:c r="CV142" s="26">
        <x:f t="shared" si="112"/>
        <x:v>6.2739079872448072E-3</x:v>
      </x:c>
      <x:c r="CW142" s="26">
        <x:f t="shared" si="113"/>
        <x:v>0</x:v>
      </x:c>
      <x:c r="CX142" s="26">
        <x:f t="shared" si="138"/>
        <x:v>3.9362684000000003</x:v>
      </x:c>
      <x:c r="CY142" s="26">
        <x:f t="shared" si="139"/>
        <x:v>0</x:v>
      </x:c>
    </x:row>
    <x:row r="143">
      <x:c r="A143" s="18">
        <x:v>2022</x:v>
      </x:c>
      <x:c r="B143" t="s">
        <x:v>352</x:v>
      </x:c>
      <x:c r="C143" t="s">
        <x:v>353</x:v>
      </x:c>
      <x:c r="D143" t="s">
        <x:v>354</x:v>
      </x:c>
      <x:c r="E143" s="18">
        <x:v>440514</x:v>
      </x:c>
      <x:c r="F143" t="s">
        <x:v>355</x:v>
      </x:c>
      <x:c r="G143" t="s">
        <x:v>338</x:v>
      </x:c>
      <x:c r="H143" s="18">
        <x:v>4412</x:v>
      </x:c>
      <x:c r="I143" t="s">
        <x:v>108</x:v>
      </x:c>
      <x:c r="J143" t="s">
        <x:v>78</x:v>
      </x:c>
      <x:c r="K143" t="s">
        <x:v>109</x:v>
      </x:c>
      <x:c r="L143" s="20">
        <x:v>1.3560000000000001</x:v>
      </x:c>
      <x:c r="M143" t="s">
        <x:v>125</x:v>
      </x:c>
      <x:c r="N143" s="18">
        <x:v>150</x:v>
      </x:c>
      <x:c r="O143" t="s">
        <x:v>88</x:v>
      </x:c>
      <x:c r="P143" s="18">
        <x:v>4</x:v>
      </x:c>
      <x:c r="Q143" s="19" t="s">
        <x:v>111</x:v>
      </x:c>
      <x:c r="R143" s="18">
        <x:v>120782.29</x:v>
      </x:c>
      <x:c r="S143" t="s">
        <x:v>112</x:v>
      </x:c>
      <x:c r="T143" s="19">
        <x:f t="shared" si="140"/>
        <x:v>120782.29</x:v>
      </x:c>
      <x:c r="U143" s="20">
        <x:v>0.56000000000000005</x:v>
      </x:c>
      <x:c r="V143" t="s">
        <x:v>113</x:v>
      </x:c>
      <x:c r="W143" s="20">
        <x:v>20.329999999999998</x:v>
      </x:c>
      <x:c r="X143" s="21">
        <x:f t="shared" si="141"/>
        <x:v>1149.8474008000001</x:v>
      </x:c>
      <x:c r="Y143" s="21" t="n">
        <x:f>8.96*T143/1000</x:f>
        <x:v>1082.2093184</x:v>
      </x:c>
      <x:c r="Z143" s="21">
        <x:f t="shared" si="144"/>
        <x:v>241.56457999999998</x:v>
      </x:c>
      <x:c r="AA143" s="21" t="n">
        <x:f>W143/100*(1-0.44)*0.29*T143</x:f>
        <x:v>3987.7384240567994</x:v>
      </x:c>
      <x:c r="AB143" s="21" t="n">
        <x:f>W143/100*(1-0.44)*0.07*T143</x:f>
        <x:v>962.5575506344002</x:v>
      </x:c>
      <x:c r="AC143" s="21">
        <x:f t="shared" si="147"/>
        <x:v>1.9251151012688004</x:v>
      </x:c>
      <x:c r="AD143" s="21"/>
      <x:c r="AE143" s="21">
        <x:f t="shared" si="142"/>
        <x:v>4.8312915999999992</x:v>
      </x:c>
      <x:c r="AF143" s="21"/>
      <x:c r="AG143" s="19" t="s">
        <x:v>78</x:v>
      </x:c>
      <x:c r="AH143" t="s">
        <x:v>78</x:v>
      </x:c>
      <x:c r="AI143" t="s">
        <x:v>78</x:v>
      </x:c>
      <x:c r="AJ143" s="19"/>
      <x:c r="AK143" s="19" t="s">
        <x:v>78</x:v>
      </x:c>
      <x:c r="AL143" t="s">
        <x:v>78</x:v>
      </x:c>
      <x:c r="AM143" s="19" t="s">
        <x:v>78</x:v>
      </x:c>
      <x:c r="AN143" s="21"/>
      <x:c r="AO143" s="21"/>
      <x:c r="AP143" s="21"/>
      <x:c r="AQ143" s="21"/>
      <x:c r="AR143" s="21"/>
      <x:c r="AS143" s="21"/>
      <x:c r="AT143" s="21"/>
      <x:c r="AU143" s="21"/>
      <x:c r="AV143" s="21"/>
      <x:c r="AW143" t="s">
        <x:v>78</x:v>
      </x:c>
      <x:c r="AX143" s="19"/>
      <x:c r="AY143" s="21"/>
      <x:c r="AZ143" s="21"/>
      <x:c r="BA143" s="21"/>
      <x:c r="BB143" s="21"/>
      <x:c r="BC143" s="21"/>
      <x:c r="BD143" s="21"/>
      <x:c r="BE143" s="21"/>
      <x:c r="BF143" s="21"/>
      <x:c r="BG143" s="21"/>
      <x:c r="BH143" t="s">
        <x:v>81</x:v>
      </x:c>
      <x:c r="BI143" s="18">
        <x:v>116</x:v>
      </x:c>
      <x:c r="BJ143" s="18">
        <x:v>32</x:v>
      </x:c>
      <x:c r="BK143" s="18">
        <x:v>31.67</x:v>
      </x:c>
      <x:c r="BL143" s="18">
        <x:v>23</x:v>
      </x:c>
      <x:c r="BM143" s="18">
        <x:v>9</x:v>
      </x:c>
      <x:c r="BN143" s="18">
        <x:v>47.2</x:v>
      </x:c>
      <x:c r="BO143" s="22">
        <x:v>116.542130555556</x:v>
      </x:c>
      <x:c r="BP143" s="22">
        <x:v>23.1631111111111</x:v>
      </x:c>
      <x:c r="BQ143" s="18">
        <x:v>100</x:v>
      </x:c>
      <x:c r="BR143" s="18">
        <x:v>113795.13099999999</x:v>
      </x:c>
      <x:c r="BS143" s="18">
        <x:v>1300.0429999999999</x:v>
      </x:c>
      <x:c r="BT143" s="18">
        <x:v>18.2</x:v>
      </x:c>
      <x:c r="BU143" s="18">
        <x:v>102.774</x:v>
      </x:c>
      <x:c r="BV143" s="18">
        <x:v>25.696000000000002</x:v>
      </x:c>
      <x:c r="BW143" s="18">
        <x:v>7214.5290000000005</x:v>
      </x:c>
      <x:c r="BX143" s="18">
        <x:v>2.5960000000000001</x:v>
      </x:c>
      <x:c r="BY143" s="18">
        <x:v>3454.373</x:v>
      </x:c>
      <x:c r="BZ143" s="18">
        <x:v>3454.373</x:v>
      </x:c>
      <x:c r="CA143" s="23">
        <x:f t="shared" si="126"/>
        <x:v>1149.8474008000001</x:v>
      </x:c>
      <x:c r="CB143" s="23">
        <x:f t="shared" si="127"/>
        <x:v>1082.2093184</x:v>
      </x:c>
      <x:c r="CC143" s="23">
        <x:f t="shared" si="128"/>
        <x:v>241.56457999999998</x:v>
      </x:c>
      <x:c r="CD143" s="23">
        <x:f t="shared" si="129"/>
        <x:v>3987.7384240567994</x:v>
      </x:c>
      <x:c r="CE143" s="23">
        <x:f t="shared" si="130"/>
        <x:v>962.55755063440017</x:v>
      </x:c>
      <x:c r="CF143" s="23">
        <x:f t="shared" si="131"/>
        <x:v>1.9251151012688004</x:v>
      </x:c>
      <x:c r="CG143" s="23">
        <x:f t="shared" si="132"/>
        <x:v>0</x:v>
      </x:c>
      <x:c r="CH143" s="23">
        <x:f t="shared" si="133"/>
        <x:v>4.8312915999999992</x:v>
      </x:c>
      <x:c r="CI143" s="23">
        <x:f t="shared" si="134"/>
        <x:v>0</x:v>
      </x:c>
      <x:c r="CJ143" s="24" t="s">
        <x:v>356</x:v>
      </x:c>
      <x:c r="CK143" s="29">
        <x:v>98.6</x:v>
      </x:c>
      <x:c r="CL143" s="26" t="s">
        <x:v>97</x:v>
      </x:c>
      <x:c r="CM143" s="28">
        <x:v>70</x:v>
      </x:c>
      <x:c r="CN143" s="30" t="s">
        <x:v>357</x:v>
      </x:c>
      <x:c r="CO143" s="27">
        <x:v>99.8</x:v>
      </x:c>
      <x:c r="CP143" s="27">
        <x:v>99.6</x:v>
      </x:c>
      <x:c r="CQ143" s="26">
        <x:f t="shared" si="135"/>
        <x:v>16.097863611200015</x:v>
      </x:c>
      <x:c r="CR143" s="26">
        <x:f t="shared" si="136"/>
        <x:v>324.66279552000003</x:v>
      </x:c>
      <x:c r="CS143" s="26">
        <x:f t="shared" si="137"/>
        <x:v>241.56457999999998</x:v>
      </x:c>
      <x:c r="CT143" s="26">
        <x:f t="shared" si="110"/>
        <x:v>7.9754768481136056</x:v>
      </x:c>
      <x:c r="CU143" s="26">
        <x:f t="shared" si="111"/>
        <x:v>3.8502302025376043</x:v>
      </x:c>
      <x:c r="CV143" s="26">
        <x:f t="shared" si="112"/>
        <x:v>7.7004604050752087E-3</x:v>
      </x:c>
      <x:c r="CW143" s="26">
        <x:f t="shared" si="113"/>
        <x:v>0</x:v>
      </x:c>
      <x:c r="CX143" s="26">
        <x:f t="shared" si="138"/>
        <x:v>4.8312915999999992</x:v>
      </x:c>
      <x:c r="CY143" s="26">
        <x:f t="shared" si="139"/>
        <x:v>0</x:v>
      </x:c>
    </x:row>
    <x:row r="144">
      <x:c r="A144" s="18">
        <x:v>2022</x:v>
      </x:c>
      <x:c r="B144" t="s">
        <x:v>352</x:v>
      </x:c>
      <x:c r="C144" t="s">
        <x:v>353</x:v>
      </x:c>
      <x:c r="D144" t="s">
        <x:v>354</x:v>
      </x:c>
      <x:c r="E144" s="18">
        <x:v>440514</x:v>
      </x:c>
      <x:c r="F144" t="s">
        <x:v>355</x:v>
      </x:c>
      <x:c r="G144" t="s">
        <x:v>338</x:v>
      </x:c>
      <x:c r="H144" s="18">
        <x:v>4412</x:v>
      </x:c>
      <x:c r="I144" t="s">
        <x:v>108</x:v>
      </x:c>
      <x:c r="J144" t="s">
        <x:v>78</x:v>
      </x:c>
      <x:c r="K144" t="s">
        <x:v>109</x:v>
      </x:c>
      <x:c r="L144" s="20">
        <x:v>1.409</x:v>
      </x:c>
      <x:c r="M144" t="s">
        <x:v>125</x:v>
      </x:c>
      <x:c r="N144" s="18">
        <x:v>150</x:v>
      </x:c>
      <x:c r="O144" t="s">
        <x:v>88</x:v>
      </x:c>
      <x:c r="P144" s="18">
        <x:v>4</x:v>
      </x:c>
      <x:c r="Q144" s="19" t="s">
        <x:v>111</x:v>
      </x:c>
      <x:c r="R144" s="18">
        <x:v>121177.15</x:v>
      </x:c>
      <x:c r="S144" t="s">
        <x:v>112</x:v>
      </x:c>
      <x:c r="T144" s="19">
        <x:f t="shared" si="140"/>
        <x:v>121177.15</x:v>
      </x:c>
      <x:c r="U144" s="20">
        <x:v>0.56000000000000005</x:v>
      </x:c>
      <x:c r="V144" t="s">
        <x:v>113</x:v>
      </x:c>
      <x:c r="W144" s="20">
        <x:v>20.329999999999998</x:v>
      </x:c>
      <x:c r="X144" s="21">
        <x:f t="shared" si="141"/>
        <x:v>1153.6064679999999</x:v>
      </x:c>
      <x:c r="Y144" s="21" t="n">
        <x:f>8.96*T144/1000</x:f>
        <x:v>1085.7472639999999</x:v>
      </x:c>
      <x:c r="Z144" s="21">
        <x:f t="shared" si="144"/>
        <x:v>242.35429999999999</x:v>
      </x:c>
      <x:c r="AA144" s="21" t="n">
        <x:f>W144/100*(1-0.44)*0.29*T144</x:f>
        <x:v>4000.7750902279995</x:v>
      </x:c>
      <x:c r="AB144" s="21" t="n">
        <x:f>W144/100*(1-0.44)*0.07*T144</x:f>
        <x:v>965.7043321240002</x:v>
      </x:c>
      <x:c r="AC144" s="21">
        <x:f t="shared" si="147"/>
        <x:v>1.9314086642480004</x:v>
      </x:c>
      <x:c r="AD144" s="21"/>
      <x:c r="AE144" s="21">
        <x:f t="shared" si="142"/>
        <x:v>4.847086</x:v>
      </x:c>
      <x:c r="AF144" s="21"/>
      <x:c r="AG144" s="19" t="s">
        <x:v>78</x:v>
      </x:c>
      <x:c r="AH144" t="s">
        <x:v>78</x:v>
      </x:c>
      <x:c r="AI144" t="s">
        <x:v>78</x:v>
      </x:c>
      <x:c r="AJ144" s="19"/>
      <x:c r="AK144" s="19" t="s">
        <x:v>78</x:v>
      </x:c>
      <x:c r="AL144" t="s">
        <x:v>78</x:v>
      </x:c>
      <x:c r="AM144" s="19" t="s">
        <x:v>78</x:v>
      </x:c>
      <x:c r="AN144" s="21"/>
      <x:c r="AO144" s="21"/>
      <x:c r="AP144" s="21"/>
      <x:c r="AQ144" s="21"/>
      <x:c r="AR144" s="21"/>
      <x:c r="AS144" s="21"/>
      <x:c r="AT144" s="21"/>
      <x:c r="AU144" s="21"/>
      <x:c r="AV144" s="21"/>
      <x:c r="AW144" t="s">
        <x:v>78</x:v>
      </x:c>
      <x:c r="AX144" s="19"/>
      <x:c r="AY144" s="21"/>
      <x:c r="AZ144" s="21"/>
      <x:c r="BA144" s="21"/>
      <x:c r="BB144" s="21"/>
      <x:c r="BC144" s="21"/>
      <x:c r="BD144" s="21"/>
      <x:c r="BE144" s="21"/>
      <x:c r="BF144" s="21"/>
      <x:c r="BG144" s="21"/>
      <x:c r="BH144" t="s">
        <x:v>81</x:v>
      </x:c>
      <x:c r="BI144" s="18">
        <x:v>116</x:v>
      </x:c>
      <x:c r="BJ144" s="18">
        <x:v>32</x:v>
      </x:c>
      <x:c r="BK144" s="18">
        <x:v>31.67</x:v>
      </x:c>
      <x:c r="BL144" s="18">
        <x:v>23</x:v>
      </x:c>
      <x:c r="BM144" s="18">
        <x:v>9</x:v>
      </x:c>
      <x:c r="BN144" s="18">
        <x:v>47.2</x:v>
      </x:c>
      <x:c r="BO144" s="22">
        <x:v>116.542130555556</x:v>
      </x:c>
      <x:c r="BP144" s="22">
        <x:v>23.1631111111111</x:v>
      </x:c>
      <x:c r="BQ144" s="18">
        <x:v>100</x:v>
      </x:c>
      <x:c r="BR144" s="18">
        <x:v>115087.014</x:v>
      </x:c>
      <x:c r="BS144" s="18">
        <x:v>1329.721</x:v>
      </x:c>
      <x:c r="BT144" s="18">
        <x:v>18.616</x:v>
      </x:c>
      <x:c r="BU144" s="18">
        <x:v>101.91200000000001</x:v>
      </x:c>
      <x:c r="BV144" s="18">
        <x:v>25.481000000000002</x:v>
      </x:c>
      <x:c r="BW144" s="18">
        <x:v>7194.0309999999999</x:v>
      </x:c>
      <x:c r="BX144" s="18">
        <x:v>2.5880000000000001</x:v>
      </x:c>
      <x:c r="BY144" s="18">
        <x:v>3465.6660000000002</x:v>
      </x:c>
      <x:c r="BZ144" s="18">
        <x:v>3465.6660000000002</x:v>
      </x:c>
      <x:c r="CA144" s="23">
        <x:f t="shared" si="126"/>
        <x:v>1153.6064679999999</x:v>
      </x:c>
      <x:c r="CB144" s="23">
        <x:f t="shared" si="127"/>
        <x:v>1085.7472639999999</x:v>
      </x:c>
      <x:c r="CC144" s="23">
        <x:f t="shared" si="128"/>
        <x:v>242.35429999999999</x:v>
      </x:c>
      <x:c r="CD144" s="23">
        <x:f t="shared" si="129"/>
        <x:v>4000.7750902279995</x:v>
      </x:c>
      <x:c r="CE144" s="23">
        <x:f t="shared" si="130"/>
        <x:v>965.70433212400019</x:v>
      </x:c>
      <x:c r="CF144" s="23">
        <x:f t="shared" si="131"/>
        <x:v>1.9314086642480004</x:v>
      </x:c>
      <x:c r="CG144" s="23">
        <x:f t="shared" si="132"/>
        <x:v>0</x:v>
      </x:c>
      <x:c r="CH144" s="23">
        <x:f t="shared" si="133"/>
        <x:v>4.847086</x:v>
      </x:c>
      <x:c r="CI144" s="23">
        <x:f t="shared" si="134"/>
        <x:v>0</x:v>
      </x:c>
      <x:c r="CJ144" s="24" t="s">
        <x:v>356</x:v>
      </x:c>
      <x:c r="CK144" s="29">
        <x:v>98.6</x:v>
      </x:c>
      <x:c r="CL144" s="26" t="s">
        <x:v>97</x:v>
      </x:c>
      <x:c r="CM144" s="28">
        <x:v>70</x:v>
      </x:c>
      <x:c r="CN144" s="30" t="s">
        <x:v>357</x:v>
      </x:c>
      <x:c r="CO144" s="27">
        <x:v>99.8</x:v>
      </x:c>
      <x:c r="CP144" s="27">
        <x:v>99.6</x:v>
      </x:c>
      <x:c r="CQ144" s="26">
        <x:f t="shared" si="135"/>
        <x:v>16.150490552000015</x:v>
      </x:c>
      <x:c r="CR144" s="26">
        <x:f t="shared" si="136"/>
        <x:v>325.72417919999998</x:v>
      </x:c>
      <x:c r="CS144" s="26">
        <x:f t="shared" si="137"/>
        <x:v>242.35429999999999</x:v>
      </x:c>
      <x:c r="CT144" s="26">
        <x:f t="shared" si="110"/>
        <x:v>8.0015501804560056</x:v>
      </x:c>
      <x:c r="CU144" s="26">
        <x:f t="shared" si="111"/>
        <x:v>3.8628173284960043</x:v>
      </x:c>
      <x:c r="CV144" s="26">
        <x:f t="shared" si="112"/>
        <x:v>7.7256346569920089E-3</x:v>
      </x:c>
      <x:c r="CW144" s="26">
        <x:f t="shared" si="113"/>
        <x:v>0</x:v>
      </x:c>
      <x:c r="CX144" s="26">
        <x:f t="shared" si="138"/>
        <x:v>4.847086</x:v>
      </x:c>
      <x:c r="CY144" s="26">
        <x:f t="shared" si="139"/>
        <x:v>0</x:v>
      </x:c>
    </x:row>
    <x:row r="145">
      <x:c r="A145" s="18">
        <x:v>2022</x:v>
      </x:c>
      <x:c r="B145" t="s">
        <x:v>352</x:v>
      </x:c>
      <x:c r="C145" t="s">
        <x:v>353</x:v>
      </x:c>
      <x:c r="D145" t="s">
        <x:v>354</x:v>
      </x:c>
      <x:c r="E145" s="18">
        <x:v>440514</x:v>
      </x:c>
      <x:c r="F145" t="s">
        <x:v>355</x:v>
      </x:c>
      <x:c r="G145" t="s">
        <x:v>338</x:v>
      </x:c>
      <x:c r="H145" s="18">
        <x:v>4412</x:v>
      </x:c>
      <x:c r="I145" t="s">
        <x:v>108</x:v>
      </x:c>
      <x:c r="J145" t="s">
        <x:v>78</x:v>
      </x:c>
      <x:c r="K145" t="s">
        <x:v>109</x:v>
      </x:c>
      <x:c r="L145" s="20">
        <x:v>3.0590000000000002</x:v>
      </x:c>
      <x:c r="M145" t="s">
        <x:v>125</x:v>
      </x:c>
      <x:c r="N145" s="18">
        <x:v>260</x:v>
      </x:c>
      <x:c r="O145" t="s">
        <x:v>88</x:v>
      </x:c>
      <x:c r="P145" s="18">
        <x:v>4</x:v>
      </x:c>
      <x:c r="Q145" s="19" t="s">
        <x:v>111</x:v>
      </x:c>
      <x:c r="R145" s="18">
        <x:v>249395.95</x:v>
      </x:c>
      <x:c r="S145" t="s">
        <x:v>112</x:v>
      </x:c>
      <x:c r="T145" s="19">
        <x:f t="shared" si="140"/>
        <x:v>249395.95</x:v>
      </x:c>
      <x:c r="U145" s="20">
        <x:v>0.56000000000000005</x:v>
      </x:c>
      <x:c r="V145" t="s">
        <x:v>113</x:v>
      </x:c>
      <x:c r="W145" s="20">
        <x:v>20.329999999999998</x:v>
      </x:c>
      <x:c r="X145" s="21">
        <x:f t="shared" si="141"/>
        <x:v>2374.2494440000005</x:v>
      </x:c>
      <x:c r="Y145" s="21" t="n">
        <x:f>8.96*T145/1000</x:f>
        <x:v>2234.5877120000005</x:v>
      </x:c>
      <x:c r="Z145" s="21">
        <x:f t="shared" si="144"/>
        <x:v>498.7919</x:v>
      </x:c>
      <x:c r="AA145" s="21" t="n">
        <x:f>W145/100*(1-0.44)*0.29*T145</x:f>
        <x:v>8234.036733523999</x:v>
      </x:c>
      <x:c r="AB145" s="21" t="n">
        <x:f>W145/100*(1-0.44)*0.07*T145</x:f>
        <x:v>1987.5261080920004</x:v>
      </x:c>
      <x:c r="AC145" s="21">
        <x:f t="shared" si="147"/>
        <x:v>3.9750522161840007</x:v>
      </x:c>
      <x:c r="AD145" s="21"/>
      <x:c r="AE145" s="21">
        <x:f t="shared" si="142"/>
        <x:v>9.9758380000000013</x:v>
      </x:c>
      <x:c r="AF145" s="21"/>
      <x:c r="AG145" s="19" t="s">
        <x:v>78</x:v>
      </x:c>
      <x:c r="AH145" t="s">
        <x:v>78</x:v>
      </x:c>
      <x:c r="AI145" t="s">
        <x:v>78</x:v>
      </x:c>
      <x:c r="AJ145" s="19"/>
      <x:c r="AK145" s="19" t="s">
        <x:v>78</x:v>
      </x:c>
      <x:c r="AL145" t="s">
        <x:v>78</x:v>
      </x:c>
      <x:c r="AM145" s="19" t="s">
        <x:v>78</x:v>
      </x:c>
      <x:c r="AN145" s="21"/>
      <x:c r="AO145" s="21"/>
      <x:c r="AP145" s="21"/>
      <x:c r="AQ145" s="21"/>
      <x:c r="AR145" s="21"/>
      <x:c r="AS145" s="21"/>
      <x:c r="AT145" s="21"/>
      <x:c r="AU145" s="21"/>
      <x:c r="AV145" s="21"/>
      <x:c r="AW145" t="s">
        <x:v>78</x:v>
      </x:c>
      <x:c r="AX145" s="19"/>
      <x:c r="AY145" s="21"/>
      <x:c r="AZ145" s="21"/>
      <x:c r="BA145" s="21"/>
      <x:c r="BB145" s="21"/>
      <x:c r="BC145" s="21"/>
      <x:c r="BD145" s="21"/>
      <x:c r="BE145" s="21"/>
      <x:c r="BF145" s="21"/>
      <x:c r="BG145" s="21"/>
      <x:c r="BH145" t="s">
        <x:v>81</x:v>
      </x:c>
      <x:c r="BI145" s="18">
        <x:v>116</x:v>
      </x:c>
      <x:c r="BJ145" s="18">
        <x:v>32</x:v>
      </x:c>
      <x:c r="BK145" s="18">
        <x:v>31.67</x:v>
      </x:c>
      <x:c r="BL145" s="18">
        <x:v>23</x:v>
      </x:c>
      <x:c r="BM145" s="18">
        <x:v>9</x:v>
      </x:c>
      <x:c r="BN145" s="18">
        <x:v>47.2</x:v>
      </x:c>
      <x:c r="BO145" s="22">
        <x:v>116.542130555556</x:v>
      </x:c>
      <x:c r="BP145" s="22">
        <x:v>23.1631111111111</x:v>
      </x:c>
      <x:c r="BQ145" s="18">
        <x:v>100</x:v>
      </x:c>
      <x:c r="BR145" s="18">
        <x:v>242263.212</x:v>
      </x:c>
      <x:c r="BS145" s="18">
        <x:v>2926.9520000000002</x:v>
      </x:c>
      <x:c r="BT145" s="18">
        <x:v>40.978000000000002</x:v>
      </x:c>
      <x:c r="BU145" s="18">
        <x:v>231.72900000000001</x:v>
      </x:c>
      <x:c r="BV145" s="18">
        <x:v>57.945</x:v>
      </x:c>
      <x:c r="BW145" s="18">
        <x:v>16850.971000000001</x:v>
      </x:c>
      <x:c r="BX145" s="18">
        <x:v>6.0629999999999997</x:v>
      </x:c>
      <x:c r="BY145" s="18">
        <x:v>7132.7240000000002</x:v>
      </x:c>
      <x:c r="BZ145" s="18">
        <x:v>7132.7240000000002</x:v>
      </x:c>
      <x:c r="CA145" s="23">
        <x:f t="shared" si="126"/>
        <x:v>2374.2494440000005</x:v>
      </x:c>
      <x:c r="CB145" s="23">
        <x:f t="shared" si="127"/>
        <x:v>2234.5877120000005</x:v>
      </x:c>
      <x:c r="CC145" s="23">
        <x:f t="shared" si="128"/>
        <x:v>498.7919</x:v>
      </x:c>
      <x:c r="CD145" s="23">
        <x:f t="shared" si="129"/>
        <x:v>8234.0367335239989</x:v>
      </x:c>
      <x:c r="CE145" s="23">
        <x:f t="shared" si="130"/>
        <x:v>1987.5261080920004</x:v>
      </x:c>
      <x:c r="CF145" s="23">
        <x:f t="shared" si="131"/>
        <x:v>3.9750522161840007</x:v>
      </x:c>
      <x:c r="CG145" s="23">
        <x:f t="shared" si="132"/>
        <x:v>0</x:v>
      </x:c>
      <x:c r="CH145" s="23">
        <x:f t="shared" si="133"/>
        <x:v>9.9758380000000013</x:v>
      </x:c>
      <x:c r="CI145" s="23">
        <x:f t="shared" si="134"/>
        <x:v>0</x:v>
      </x:c>
      <x:c r="CJ145" s="24" t="s">
        <x:v>356</x:v>
      </x:c>
      <x:c r="CK145" s="29">
        <x:v>98.6</x:v>
      </x:c>
      <x:c r="CL145" s="26" t="s">
        <x:v>97</x:v>
      </x:c>
      <x:c r="CM145" s="28">
        <x:v>70</x:v>
      </x:c>
      <x:c r="CN145" s="30" t="s">
        <x:v>357</x:v>
      </x:c>
      <x:c r="CO145" s="27">
        <x:v>99.8</x:v>
      </x:c>
      <x:c r="CP145" s="27">
        <x:v>99.6</x:v>
      </x:c>
      <x:c r="CQ145" s="26">
        <x:f t="shared" si="135"/>
        <x:v>33.239492216000038</x:v>
      </x:c>
      <x:c r="CR145" s="26">
        <x:f t="shared" si="136"/>
        <x:v>670.37631360000023</x:v>
      </x:c>
      <x:c r="CS145" s="26">
        <x:f t="shared" si="137"/>
        <x:v>498.7919</x:v>
      </x:c>
      <x:c r="CT145" s="26">
        <x:f t="shared" si="110"/>
        <x:v>16.468073467048011</x:v>
      </x:c>
      <x:c r="CU145" s="26">
        <x:f t="shared" si="111"/>
        <x:v>7.9501044323680086</x:v>
      </x:c>
      <x:c r="CV145" s="26">
        <x:f t="shared" si="112"/>
        <x:v>1.5900208864736018E-2</x:v>
      </x:c>
      <x:c r="CW145" s="26">
        <x:f t="shared" si="113"/>
        <x:v>0</x:v>
      </x:c>
      <x:c r="CX145" s="26">
        <x:f t="shared" si="138"/>
        <x:v>9.9758380000000013</x:v>
      </x:c>
      <x:c r="CY145" s="26">
        <x:f t="shared" si="139"/>
        <x:v>0</x:v>
      </x:c>
    </x:row>
    <x:row r="146">
      <x:c r="A146" s="18">
        <x:v>2022</x:v>
      </x:c>
      <x:c r="B146" t="s">
        <x:v>352</x:v>
      </x:c>
      <x:c r="C146" t="s">
        <x:v>353</x:v>
      </x:c>
      <x:c r="D146" t="s">
        <x:v>354</x:v>
      </x:c>
      <x:c r="E146" s="18">
        <x:v>440514</x:v>
      </x:c>
      <x:c r="F146" t="s">
        <x:v>355</x:v>
      </x:c>
      <x:c r="G146" t="s">
        <x:v>338</x:v>
      </x:c>
      <x:c r="H146" s="18">
        <x:v>4412</x:v>
      </x:c>
      <x:c r="I146" t="s">
        <x:v>108</x:v>
      </x:c>
      <x:c r="J146" t="s">
        <x:v>78</x:v>
      </x:c>
      <x:c r="K146" t="s">
        <x:v>109</x:v>
      </x:c>
      <x:c r="L146" s="20">
        <x:v>2.8679999999999999</x:v>
      </x:c>
      <x:c r="M146" t="s">
        <x:v>125</x:v>
      </x:c>
      <x:c r="N146" s="18">
        <x:v>260</x:v>
      </x:c>
      <x:c r="O146" t="s">
        <x:v>88</x:v>
      </x:c>
      <x:c r="P146" s="18">
        <x:v>4</x:v>
      </x:c>
      <x:c r="Q146" s="19" t="s">
        <x:v>111</x:v>
      </x:c>
      <x:c r="R146" s="18">
        <x:v>5613.05</x:v>
      </x:c>
      <x:c r="S146" t="s">
        <x:v>112</x:v>
      </x:c>
      <x:c r="T146" s="19">
        <x:f t="shared" si="140"/>
        <x:v>5613.05</x:v>
      </x:c>
      <x:c r="U146" s="20">
        <x:v>0.56000000000000005</x:v>
      </x:c>
      <x:c r="V146" t="s">
        <x:v>113</x:v>
      </x:c>
      <x:c r="W146" s="20">
        <x:v>20.329999999999998</x:v>
      </x:c>
      <x:c r="X146" s="21">
        <x:f t="shared" si="141"/>
        <x:v>53.436236000000008</x:v>
      </x:c>
      <x:c r="Y146" s="21" t="n">
        <x:f>8.96*T146/1000</x:f>
        <x:v>50.29292800000001</x:v>
      </x:c>
      <x:c r="Z146" s="21">
        <x:f t="shared" si="144"/>
        <x:v>11.226100000000001</x:v>
      </x:c>
      <x:c r="AA146" s="21" t="n">
        <x:f>W146/100*(1-0.44)*0.29*T146</x:f>
        <x:v>185.320009756</x:v>
      </x:c>
      <x:c r="AB146" s="21" t="n">
        <x:f>W146/100*(1-0.44)*0.07*T146</x:f>
        <x:v>44.73241614800001</x:v>
      </x:c>
      <x:c r="AC146" s="21">
        <x:f t="shared" si="147"/>
        <x:v>8.9464832296000024E-2</x:v>
      </x:c>
      <x:c r="AD146" s="21"/>
      <x:c r="AE146" s="21">
        <x:f t="shared" si="142"/>
        <x:v>0.22452200000000003</x:v>
      </x:c>
      <x:c r="AF146" s="21"/>
      <x:c r="AG146" s="19" t="s">
        <x:v>78</x:v>
      </x:c>
      <x:c r="AH146" t="s">
        <x:v>78</x:v>
      </x:c>
      <x:c r="AI146" t="s">
        <x:v>78</x:v>
      </x:c>
      <x:c r="AJ146" s="19"/>
      <x:c r="AK146" s="19" t="s">
        <x:v>78</x:v>
      </x:c>
      <x:c r="AL146" t="s">
        <x:v>78</x:v>
      </x:c>
      <x:c r="AM146" s="19" t="s">
        <x:v>78</x:v>
      </x:c>
      <x:c r="AN146" s="21"/>
      <x:c r="AO146" s="21"/>
      <x:c r="AP146" s="21"/>
      <x:c r="AQ146" s="21"/>
      <x:c r="AR146" s="21"/>
      <x:c r="AS146" s="21"/>
      <x:c r="AT146" s="21"/>
      <x:c r="AU146" s="21"/>
      <x:c r="AV146" s="21"/>
      <x:c r="AW146" t="s">
        <x:v>78</x:v>
      </x:c>
      <x:c r="AX146" s="19"/>
      <x:c r="AY146" s="21"/>
      <x:c r="AZ146" s="21"/>
      <x:c r="BA146" s="21"/>
      <x:c r="BB146" s="21"/>
      <x:c r="BC146" s="21"/>
      <x:c r="BD146" s="21"/>
      <x:c r="BE146" s="21"/>
      <x:c r="BF146" s="21"/>
      <x:c r="BG146" s="21"/>
      <x:c r="BH146" t="s">
        <x:v>81</x:v>
      </x:c>
      <x:c r="BI146" s="18">
        <x:v>116</x:v>
      </x:c>
      <x:c r="BJ146" s="18">
        <x:v>32</x:v>
      </x:c>
      <x:c r="BK146" s="18">
        <x:v>31.67</x:v>
      </x:c>
      <x:c r="BL146" s="18">
        <x:v>23</x:v>
      </x:c>
      <x:c r="BM146" s="18">
        <x:v>9</x:v>
      </x:c>
      <x:c r="BN146" s="18">
        <x:v>47.2</x:v>
      </x:c>
      <x:c r="BO146" s="22">
        <x:v>116.542130555556</x:v>
      </x:c>
      <x:c r="BP146" s="22">
        <x:v>23.1631111111111</x:v>
      </x:c>
      <x:c r="BQ146" s="18">
        <x:v>100</x:v>
      </x:c>
      <x:c r="BR146" s="18">
        <x:v>5387.3850000000002</x:v>
      </x:c>
      <x:c r="BS146" s="18">
        <x:v>5.5679999999999996</x:v>
      </x:c>
      <x:c r="BT146" s="18">
        <x:v>7.8E-2</x:v>
      </x:c>
      <x:c r="BU146" s="18">
        <x:v>0.39500000000000002</x:v>
      </x:c>
      <x:c r="BV146" s="18">
        <x:v>9.9000000000000005E-2</x:v>
      </x:c>
      <x:c r="BW146" s="18">
        <x:v>32.576000000000001</x:v>
      </x:c>
      <x:c r="BX146" s="18">
        <x:v>1.2E-2</x:v>
      </x:c>
      <x:c r="BY146" s="18">
        <x:v>160.53299999999999</x:v>
      </x:c>
      <x:c r="BZ146" s="18">
        <x:v>160.53299999999999</x:v>
      </x:c>
      <x:c r="CA146" s="23">
        <x:f t="shared" si="126"/>
        <x:v>53.436236000000008</x:v>
      </x:c>
      <x:c r="CB146" s="23">
        <x:f t="shared" si="127"/>
        <x:v>50.292928000000011</x:v>
      </x:c>
      <x:c r="CC146" s="23">
        <x:f t="shared" si="128"/>
        <x:v>11.226100000000001</x:v>
      </x:c>
      <x:c r="CD146" s="23">
        <x:f t="shared" si="129"/>
        <x:v>185.32000975599999</x:v>
      </x:c>
      <x:c r="CE146" s="23">
        <x:f t="shared" si="130"/>
        <x:v>44.732416148000013</x:v>
      </x:c>
      <x:c r="CF146" s="23">
        <x:f t="shared" si="131"/>
        <x:v>8.9464832296000024E-2</x:v>
      </x:c>
      <x:c r="CG146" s="23">
        <x:f t="shared" si="132"/>
        <x:v>0</x:v>
      </x:c>
      <x:c r="CH146" s="23">
        <x:f t="shared" si="133"/>
        <x:v>0.22452200000000003</x:v>
      </x:c>
      <x:c r="CI146" s="23">
        <x:f t="shared" si="134"/>
        <x:v>0</x:v>
      </x:c>
      <x:c r="CJ146" s="24" t="s">
        <x:v>356</x:v>
      </x:c>
      <x:c r="CK146" s="29">
        <x:v>98.6</x:v>
      </x:c>
      <x:c r="CL146" s="26" t="s">
        <x:v>97</x:v>
      </x:c>
      <x:c r="CM146" s="28">
        <x:v>70</x:v>
      </x:c>
      <x:c r="CN146" s="30" t="s">
        <x:v>357</x:v>
      </x:c>
      <x:c r="CO146" s="27">
        <x:v>99.8</x:v>
      </x:c>
      <x:c r="CP146" s="27">
        <x:v>99.6</x:v>
      </x:c>
      <x:c r="CQ146" s="26">
        <x:f t="shared" si="135"/>
        <x:v>0.74810730400000081</x:v>
      </x:c>
      <x:c r="CR146" s="26">
        <x:f t="shared" si="136"/>
        <x:v>15.087878400000005</x:v>
      </x:c>
      <x:c r="CS146" s="26">
        <x:f t="shared" si="137"/>
        <x:v>11.226100000000001</x:v>
      </x:c>
      <x:c r="CT146" s="26">
        <x:f t="shared" si="110"/>
        <x:v>0.37064001951200032</x:v>
      </x:c>
      <x:c r="CU146" s="26">
        <x:f t="shared" si="111"/>
        <x:v>0.17892966459200021</x:v>
      </x:c>
      <x:c r="CV146" s="26">
        <x:f t="shared" si="112"/>
        <x:v>3.578593291840004E-4</x:v>
      </x:c>
      <x:c r="CW146" s="26">
        <x:f t="shared" si="113"/>
        <x:v>0</x:v>
      </x:c>
      <x:c r="CX146" s="26">
        <x:f t="shared" si="138"/>
        <x:v>0.22452200000000003</x:v>
      </x:c>
      <x:c r="CY146" s="26">
        <x:f t="shared" si="139"/>
        <x:v>0</x:v>
      </x:c>
    </x:row>
    <x:row r="147">
      <x:c r="A147" s="18">
        <x:v>2022</x:v>
      </x:c>
      <x:c r="B147" t="s">
        <x:v>358</x:v>
      </x:c>
      <x:c r="C147" t="s">
        <x:v>359</x:v>
      </x:c>
      <x:c r="D147" t="s">
        <x:v>360</x:v>
      </x:c>
      <x:c r="E147" s="18">
        <x:v>440604</x:v>
      </x:c>
      <x:c r="F147" t="s">
        <x:v>361</x:v>
      </x:c>
      <x:c r="G147" t="s">
        <x:v>362</x:v>
      </x:c>
      <x:c r="H147" s="18">
        <x:v>4411</x:v>
      </x:c>
      <x:c r="I147" t="s">
        <x:v>102</x:v>
      </x:c>
      <x:c r="J147" t="s">
        <x:v>78</x:v>
      </x:c>
      <x:c r="K147" t="s">
        <x:v>80</x:v>
      </x:c>
      <x:c r="L147" s="18">
        <x:v>18</x:v>
      </x:c>
      <x:c r="M147" t="s">
        <x:v>78</x:v>
      </x:c>
      <x:c r="N147" s="18">
        <x:v>175</x:v>
      </x:c>
      <x:c r="O147" t="s">
        <x:v>88</x:v>
      </x:c>
      <x:c r="P147" s="18">
        <x:v>15</x:v>
      </x:c>
      <x:c r="Q147" s="19" t="s">
        <x:v>96</x:v>
      </x:c>
      <x:c r="R147" s="18">
        <x:v>5118.9470000000001</x:v>
      </x:c>
      <x:c r="S147" t="s">
        <x:v>76</x:v>
      </x:c>
      <x:c r="T147" s="19">
        <x:f t="shared" si="140"/>
        <x:v>5118.9470000000001</x:v>
      </x:c>
      <x:c r="U147" s="20">
        <x:v>20.52</x:v>
      </x:c>
      <x:c r="V147" t="s">
        <x:v>77</x:v>
      </x:c>
      <x:c r="W147" s="19" t="s">
        <x:v>78</x:v>
      </x:c>
      <x:c r="X147" s="21" t="n">
        <x:f>2*U147*T147*10000/1000000000</x:f>
        <x:v>2.1008158488000004</x:v>
      </x:c>
      <x:c r="Y147" s="21" t="n">
        <x:f>4.1*T147*10000/1000000</x:f>
        <x:v>209.87682699999996</x:v>
      </x:c>
      <x:c r="Z147" s="21" t="n">
        <x:f>1.3*T147*10000/1000000</x:f>
        <x:v>66.546311</x:v>
      </x:c>
      <x:c r="AA147" s="21" t="n">
        <x:f>0.03*T147*10000/1000000</x:f>
        <x:v>1.5356841</x:v>
      </x:c>
      <x:c r="AB147" s="21" t="n">
        <x:f>0.03*T147*10000/1000000</x:f>
        <x:v>1.5356841</x:v>
      </x:c>
      <x:c r="AC147" s="21"/>
      <x:c r="AD147" s="21"/>
      <x:c r="AE147" s="21" t="n">
        <x:f>0.02*T147*10000/1000000</x:f>
        <x:v>1.0237894</x:v>
      </x:c>
      <x:c r="AF147" s="21"/>
      <x:c r="AG147" s="19" t="s">
        <x:v>78</x:v>
      </x:c>
      <x:c r="AH147" t="s">
        <x:v>78</x:v>
      </x:c>
      <x:c r="AI147" t="s">
        <x:v>78</x:v>
      </x:c>
      <x:c r="AJ147" s="19"/>
      <x:c r="AK147" s="19" t="s">
        <x:v>78</x:v>
      </x:c>
      <x:c r="AL147" t="s">
        <x:v>78</x:v>
      </x:c>
      <x:c r="AM147" s="19" t="s">
        <x:v>78</x:v>
      </x:c>
      <x:c r="AN147" s="21"/>
      <x:c r="AO147" s="21"/>
      <x:c r="AP147" s="21"/>
      <x:c r="AQ147" s="21"/>
      <x:c r="AR147" s="21"/>
      <x:c r="AS147" s="21"/>
      <x:c r="AT147" s="21"/>
      <x:c r="AU147" s="21"/>
      <x:c r="AV147" s="21"/>
      <x:c r="AW147" t="s">
        <x:v>78</x:v>
      </x:c>
      <x:c r="AX147" s="19"/>
      <x:c r="AY147" s="21"/>
      <x:c r="AZ147" s="21"/>
      <x:c r="BA147" s="21"/>
      <x:c r="BB147" s="21"/>
      <x:c r="BC147" s="21"/>
      <x:c r="BD147" s="21"/>
      <x:c r="BE147" s="21"/>
      <x:c r="BF147" s="21"/>
      <x:c r="BG147" s="21"/>
      <x:c r="BH147" t="s">
        <x:v>81</x:v>
      </x:c>
      <x:c r="BI147" s="18">
        <x:v>113</x:v>
      </x:c>
      <x:c r="BJ147" s="18">
        <x:v>2</x:v>
      </x:c>
      <x:c r="BK147" s="18">
        <x:v>51</x:v>
      </x:c>
      <x:c r="BL147" s="18">
        <x:v>23</x:v>
      </x:c>
      <x:c r="BM147" s="18">
        <x:v>2</x:v>
      </x:c>
      <x:c r="BN147" s="18">
        <x:v>18</x:v>
      </x:c>
      <x:c r="BO147" s="22">
        <x:v>113.0475</x:v>
      </x:c>
      <x:c r="BP147" s="22">
        <x:v>23.038333333333298</x:v>
      </x:c>
      <x:c r="BQ147" s="18">
        <x:v>60</x:v>
      </x:c>
      <x:c r="BR147" s="18">
        <x:v>125670.156</x:v>
      </x:c>
      <x:c r="BS147" s="18">
        <x:v>2.7</x:v>
      </x:c>
      <x:c r="BT147" s="18">
        <x:v>2.7</x:v>
      </x:c>
      <x:c r="BU147" s="18">
        <x:v>36.637999999999998</x:v>
      </x:c>
      <x:c r="BV147" s="18">
        <x:v>36.637999999999998</x:v>
      </x:c>
      <x:c r="BW147" s="18">
        <x:v>5.04</x:v>
      </x:c>
      <x:c r="BX147" s="18">
        <x:v>5.04</x:v>
      </x:c>
      <x:c r="BY147" t="s">
        <x:v>78</x:v>
      </x:c>
      <x:c r="BZ147" t="s">
        <x:v>78</x:v>
      </x:c>
      <x:c r="CA147" s="23">
        <x:f t="shared" si="126"/>
        <x:v>2.1008158488000004</x:v>
      </x:c>
      <x:c r="CB147" s="23">
        <x:f t="shared" si="127"/>
        <x:v>209.87682699999996</x:v>
      </x:c>
      <x:c r="CC147" s="23">
        <x:f t="shared" si="128"/>
        <x:v>66.546311000000003</x:v>
      </x:c>
      <x:c r="CD147" s="23">
        <x:f t="shared" si="129"/>
        <x:v>1.5356841000000001</x:v>
      </x:c>
      <x:c r="CE147" s="23">
        <x:f t="shared" si="130"/>
        <x:v>1.5356841000000001</x:v>
      </x:c>
      <x:c r="CF147" s="23">
        <x:f t="shared" si="131"/>
        <x:v>0</x:v>
      </x:c>
      <x:c r="CG147" s="23">
        <x:f t="shared" si="132"/>
        <x:v>0</x:v>
      </x:c>
      <x:c r="CH147" s="23">
        <x:f t="shared" si="133"/>
        <x:v>1.0237894000000001</x:v>
      </x:c>
      <x:c r="CI147" s="23">
        <x:f t="shared" si="134"/>
        <x:v>0</x:v>
      </x:c>
      <x:c r="CJ147" s="24" t="s">
        <x:v>78</x:v>
      </x:c>
      <x:c r="CK147" s="25">
        <x:v>0</x:v>
      </x:c>
      <x:c r="CL147" s="26" t="s">
        <x:v>78</x:v>
      </x:c>
      <x:c r="CM147" s="26">
        <x:v>42</x:v>
      </x:c>
      <x:c r="CN147" s="27" t="s">
        <x:v>78</x:v>
      </x:c>
      <x:c r="CO147" s="27">
        <x:v>0</x:v>
      </x:c>
      <x:c r="CP147" s="27">
        <x:v>0</x:v>
      </x:c>
      <x:c r="CQ147" s="26">
        <x:f t="shared" si="135"/>
        <x:v>2.1008158488000004</x:v>
      </x:c>
      <x:c r="CR147" s="26">
        <x:f t="shared" si="136"/>
        <x:v>121.72855965999999</x:v>
      </x:c>
      <x:c r="CS147" s="26">
        <x:f t="shared" si="137"/>
        <x:v>66.546311000000003</x:v>
      </x:c>
      <x:c r="CT147" s="26">
        <x:f t="shared" si="110"/>
        <x:v>1.5356841000000001</x:v>
      </x:c>
      <x:c r="CU147" s="26">
        <x:f t="shared" si="111"/>
        <x:v>1.5356841000000001</x:v>
      </x:c>
      <x:c r="CV147" s="26">
        <x:f t="shared" si="112"/>
        <x:v>0</x:v>
      </x:c>
      <x:c r="CW147" s="26">
        <x:f t="shared" si="113"/>
        <x:v>0</x:v>
      </x:c>
      <x:c r="CX147" s="26">
        <x:f t="shared" si="138"/>
        <x:v>1.0237894000000001</x:v>
      </x:c>
      <x:c r="CY147" s="26">
        <x:f t="shared" si="139"/>
        <x:v>0</x:v>
      </x:c>
    </x:row>
    <x:row r="148">
      <x:c r="A148" s="18">
        <x:v>2022</x:v>
      </x:c>
      <x:c r="B148" t="s">
        <x:v>358</x:v>
      </x:c>
      <x:c r="C148" t="s">
        <x:v>359</x:v>
      </x:c>
      <x:c r="D148" t="s">
        <x:v>360</x:v>
      </x:c>
      <x:c r="E148" s="18">
        <x:v>440604</x:v>
      </x:c>
      <x:c r="F148" t="s">
        <x:v>361</x:v>
      </x:c>
      <x:c r="G148" t="s">
        <x:v>362</x:v>
      </x:c>
      <x:c r="H148" s="18">
        <x:v>4411</x:v>
      </x:c>
      <x:c r="I148" t="s">
        <x:v>102</x:v>
      </x:c>
      <x:c r="J148" t="s">
        <x:v>78</x:v>
      </x:c>
      <x:c r="K148" t="s">
        <x:v>80</x:v>
      </x:c>
      <x:c r="L148" s="18">
        <x:v>18</x:v>
      </x:c>
      <x:c r="M148" t="s">
        <x:v>78</x:v>
      </x:c>
      <x:c r="N148" s="18">
        <x:v>175</x:v>
      </x:c>
      <x:c r="O148" t="s">
        <x:v>88</x:v>
      </x:c>
      <x:c r="P148" s="18">
        <x:v>15</x:v>
      </x:c>
      <x:c r="Q148" s="19" t="s">
        <x:v>96</x:v>
      </x:c>
      <x:c r="R148" s="18">
        <x:v>4546.1130000000003</x:v>
      </x:c>
      <x:c r="S148" t="s">
        <x:v>76</x:v>
      </x:c>
      <x:c r="T148" s="19">
        <x:f t="shared" si="140"/>
        <x:v>4546.1130000000003</x:v>
      </x:c>
      <x:c r="U148" s="20">
        <x:v>20.52</x:v>
      </x:c>
      <x:c r="V148" t="s">
        <x:v>77</x:v>
      </x:c>
      <x:c r="W148" s="19" t="s">
        <x:v>78</x:v>
      </x:c>
      <x:c r="X148" s="21" t="n">
        <x:f>2*U148*T148*10000/1000000000</x:f>
        <x:v>1.8657247752000001</x:v>
      </x:c>
      <x:c r="Y148" s="21" t="n">
        <x:f>4.1*T148*10000/1000000</x:f>
        <x:v>186.39063299999998</x:v>
      </x:c>
      <x:c r="Z148" s="21" t="n">
        <x:f>1.3*T148*10000/1000000</x:f>
        <x:v>59.099469000000006</x:v>
      </x:c>
      <x:c r="AA148" s="21" t="n">
        <x:f>0.03*T148*10000/1000000</x:f>
        <x:v>1.3638339</x:v>
      </x:c>
      <x:c r="AB148" s="21" t="n">
        <x:f>0.03*T148*10000/1000000</x:f>
        <x:v>1.3638339</x:v>
      </x:c>
      <x:c r="AC148" s="21"/>
      <x:c r="AD148" s="21"/>
      <x:c r="AE148" s="21" t="n">
        <x:f>0.02*T148*10000/1000000</x:f>
        <x:v>0.9092226000000001</x:v>
      </x:c>
      <x:c r="AF148" s="21"/>
      <x:c r="AG148" s="19" t="s">
        <x:v>78</x:v>
      </x:c>
      <x:c r="AH148" t="s">
        <x:v>78</x:v>
      </x:c>
      <x:c r="AI148" t="s">
        <x:v>78</x:v>
      </x:c>
      <x:c r="AJ148" s="19"/>
      <x:c r="AK148" s="19" t="s">
        <x:v>78</x:v>
      </x:c>
      <x:c r="AL148" t="s">
        <x:v>78</x:v>
      </x:c>
      <x:c r="AM148" s="19" t="s">
        <x:v>78</x:v>
      </x:c>
      <x:c r="AN148" s="21"/>
      <x:c r="AO148" s="21"/>
      <x:c r="AP148" s="21"/>
      <x:c r="AQ148" s="21"/>
      <x:c r="AR148" s="21"/>
      <x:c r="AS148" s="21"/>
      <x:c r="AT148" s="21"/>
      <x:c r="AU148" s="21"/>
      <x:c r="AV148" s="21"/>
      <x:c r="AW148" t="s">
        <x:v>78</x:v>
      </x:c>
      <x:c r="AX148" s="19"/>
      <x:c r="AY148" s="21"/>
      <x:c r="AZ148" s="21"/>
      <x:c r="BA148" s="21"/>
      <x:c r="BB148" s="21"/>
      <x:c r="BC148" s="21"/>
      <x:c r="BD148" s="21"/>
      <x:c r="BE148" s="21"/>
      <x:c r="BF148" s="21"/>
      <x:c r="BG148" s="21"/>
      <x:c r="BH148" t="s">
        <x:v>79</x:v>
      </x:c>
      <x:c r="BI148" s="18">
        <x:v>113</x:v>
      </x:c>
      <x:c r="BJ148" s="18">
        <x:v>2</x:v>
      </x:c>
      <x:c r="BK148" s="18">
        <x:v>51</x:v>
      </x:c>
      <x:c r="BL148" s="18">
        <x:v>12</x:v>
      </x:c>
      <x:c r="BM148" s="18">
        <x:v>2</x:v>
      </x:c>
      <x:c r="BN148" s="18">
        <x:v>18</x:v>
      </x:c>
      <x:c r="BO148" s="22">
        <x:v>113.062415</x:v>
      </x:c>
      <x:c r="BP148" s="22">
        <x:v>23.043295000000001</x:v>
      </x:c>
      <x:c r="BQ148" s="18">
        <x:v>60</x:v>
      </x:c>
      <x:c r="BR148" s="18">
        <x:v>111607.06600000001</x:v>
      </x:c>
      <x:c r="BS148" s="18">
        <x:v>0.53</x:v>
      </x:c>
      <x:c r="BT148" s="18">
        <x:v>0.53</x:v>
      </x:c>
      <x:c r="BU148" s="18">
        <x:v>28.760999999999999</x:v>
      </x:c>
      <x:c r="BV148" s="18">
        <x:v>28.760999999999999</x:v>
      </x:c>
      <x:c r="BW148" s="18">
        <x:v>3.609</x:v>
      </x:c>
      <x:c r="BX148" s="18">
        <x:v>3.609</x:v>
      </x:c>
      <x:c r="BY148" t="s">
        <x:v>78</x:v>
      </x:c>
      <x:c r="BZ148" t="s">
        <x:v>78</x:v>
      </x:c>
      <x:c r="CA148" s="23">
        <x:f t="shared" si="126"/>
        <x:v>1.8657247752000001</x:v>
      </x:c>
      <x:c r="CB148" s="23">
        <x:f t="shared" si="127"/>
        <x:v>186.39063299999998</x:v>
      </x:c>
      <x:c r="CC148" s="23">
        <x:f t="shared" si="128"/>
        <x:v>59.099469000000006</x:v>
      </x:c>
      <x:c r="CD148" s="23">
        <x:f t="shared" si="129"/>
        <x:v>1.3638338999999999</x:v>
      </x:c>
      <x:c r="CE148" s="23">
        <x:f t="shared" si="130"/>
        <x:v>1.3638338999999999</x:v>
      </x:c>
      <x:c r="CF148" s="23">
        <x:f t="shared" si="131"/>
        <x:v>0</x:v>
      </x:c>
      <x:c r="CG148" s="23">
        <x:f t="shared" si="132"/>
        <x:v>0</x:v>
      </x:c>
      <x:c r="CH148" s="23">
        <x:f t="shared" si="133"/>
        <x:v>0.9092226000000001</x:v>
      </x:c>
      <x:c r="CI148" s="23">
        <x:f t="shared" si="134"/>
        <x:v>0</x:v>
      </x:c>
      <x:c r="CJ148" s="24" t="s">
        <x:v>78</x:v>
      </x:c>
      <x:c r="CK148" s="25">
        <x:v>0</x:v>
      </x:c>
      <x:c r="CL148" s="26" t="s">
        <x:v>78</x:v>
      </x:c>
      <x:c r="CM148" s="26">
        <x:v>42</x:v>
      </x:c>
      <x:c r="CN148" s="27" t="s">
        <x:v>78</x:v>
      </x:c>
      <x:c r="CO148" s="27">
        <x:v>0</x:v>
      </x:c>
      <x:c r="CP148" s="27">
        <x:v>0</x:v>
      </x:c>
      <x:c r="CQ148" s="26">
        <x:f t="shared" si="135"/>
        <x:v>1.8657247752000001</x:v>
      </x:c>
      <x:c r="CR148" s="26">
        <x:f t="shared" si="136"/>
        <x:v>108.10656714</x:v>
      </x:c>
      <x:c r="CS148" s="26">
        <x:f t="shared" si="137"/>
        <x:v>59.099469000000006</x:v>
      </x:c>
      <x:c r="CT148" s="26">
        <x:f t="shared" si="110"/>
        <x:v>1.3638338999999999</x:v>
      </x:c>
      <x:c r="CU148" s="26">
        <x:f t="shared" si="111"/>
        <x:v>1.3638338999999999</x:v>
      </x:c>
      <x:c r="CV148" s="26">
        <x:f t="shared" si="112"/>
        <x:v>0</x:v>
      </x:c>
      <x:c r="CW148" s="26">
        <x:f t="shared" si="113"/>
        <x:v>0</x:v>
      </x:c>
      <x:c r="CX148" s="26">
        <x:f t="shared" si="138"/>
        <x:v>0.9092226000000001</x:v>
      </x:c>
      <x:c r="CY148" s="26">
        <x:f t="shared" si="139"/>
        <x:v>0</x:v>
      </x:c>
    </x:row>
    <x:row r="149">
      <x:c r="A149" s="18">
        <x:v>2022</x:v>
      </x:c>
      <x:c r="B149" t="s">
        <x:v>363</x:v>
      </x:c>
      <x:c r="C149" t="s">
        <x:v>364</x:v>
      </x:c>
      <x:c r="D149" t="s">
        <x:v>365</x:v>
      </x:c>
      <x:c r="E149" s="18">
        <x:v>440605</x:v>
      </x:c>
      <x:c r="F149" t="s">
        <x:v>366</x:v>
      </x:c>
      <x:c r="G149" t="s">
        <x:v>362</x:v>
      </x:c>
      <x:c r="H149" s="18">
        <x:v>4412</x:v>
      </x:c>
      <x:c r="I149" t="s">
        <x:v>108</x:v>
      </x:c>
      <x:c r="J149" t="s">
        <x:v>78</x:v>
      </x:c>
      <x:c r="K149" t="s">
        <x:v>109</x:v>
      </x:c>
      <x:c r="L149" s="20">
        <x:v>15</x:v>
      </x:c>
      <x:c r="M149" t="s">
        <x:v>367</x:v>
      </x:c>
      <x:c r="N149" s="18">
        <x:v>450</x:v>
      </x:c>
      <x:c r="O149" t="s">
        <x:v>88</x:v>
      </x:c>
      <x:c r="P149" s="18">
        <x:v>8</x:v>
      </x:c>
      <x:c r="Q149" s="19" t="s">
        <x:v>339</x:v>
      </x:c>
      <x:c r="R149" s="18">
        <x:v>276101.05</x:v>
      </x:c>
      <x:c r="S149" t="s">
        <x:v>112</x:v>
      </x:c>
      <x:c r="T149" s="19" t="n">
        <x:f t="shared" ref="T149:T163" si="148">R149</x:f>
        <x:v>276101.05</x:v>
      </x:c>
      <x:c r="U149" s="20">
        <x:v>0.7</x:v>
      </x:c>
      <x:c r="V149" t="s">
        <x:v>113</x:v>
      </x:c>
      <x:c r="W149" s="20">
        <x:v>11.48</x:v>
      </x:c>
      <x:c r="X149" s="21" t="n">
        <x:f t="shared" ref="X149:X160" si="149">2*U149/100*(1-0.15)*T149</x:f>
        <x:v>3285.6024949999996</x:v>
      </x:c>
      <x:c r="Y149" s="21" t="n">
        <x:f>8.19*T149/1000</x:f>
        <x:v>2261.2675994999995</x:v>
      </x:c>
      <x:c r="Z149" s="21" t="n">
        <x:f>8*T149/1000</x:f>
        <x:v>2208.8084</x:v>
      </x:c>
      <x:c r="AA149" s="21" t="n">
        <x:f>W149/100*(1-0.85)*0.33*T149</x:f>
        <x:v>1568.9718267300002</x:v>
      </x:c>
      <x:c r="AB149" s="21" t="n">
        <x:f>W149/100*(1-0.85)*0.1*T149</x:f>
        <x:v>475.4460081000001</x:v>
      </x:c>
      <x:c r="AC149" s="21" t="n">
        <x:f t="shared" ref="AC149:AC150" si="150">0.002*AB149</x:f>
        <x:v>0.9508920162000002</x:v>
      </x:c>
      <x:c r="AD149" s="21"/>
      <x:c r="AE149" s="21" t="n">
        <x:f t="shared" ref="AE149:AE160" si="151">0.04*T149/1000</x:f>
        <x:v>11.044042</x:v>
      </x:c>
      <x:c r="AF149" s="21"/>
      <x:c r="AG149" s="19" t="s">
        <x:v>368</x:v>
      </x:c>
      <x:c r="AH149" s="18">
        <x:v>1872</x:v>
      </x:c>
      <x:c r="AI149" t="s">
        <x:v>112</x:v>
      </x:c>
      <x:c r="AJ149" s="19" t="n">
        <x:f>AH149</x:f>
        <x:v>1872</x:v>
      </x:c>
      <x:c r="AK149" s="20">
        <x:v>0.02</x:v>
      </x:c>
      <x:c r="AL149" t="s">
        <x:v>113</x:v>
      </x:c>
      <x:c r="AM149" s="19" t="s">
        <x:v>78</x:v>
      </x:c>
      <x:c r="AN149" s="21" t="n">
        <x:f>2*AK149/100*AJ149</x:f>
        <x:v>0.7488</x:v>
      </x:c>
      <x:c r="AO149" s="21" t="n">
        <x:f>10.06*AJ149/1000</x:f>
        <x:v>18.83232</x:v>
      </x:c>
      <x:c r="AP149" s="21" t="n">
        <x:f>0.6*AJ149/1000</x:f>
        <x:v>1.1232</x:v>
      </x:c>
      <x:c r="AQ149" s="21" t="n">
        <x:f>0.85*AJ149/1000</x:f>
        <x:v>1.5912</x:v>
      </x:c>
      <x:c r="AR149" s="21" t="n">
        <x:f>0.62*AJ149/1000</x:f>
        <x:v>1.1606400000000001</x:v>
      </x:c>
      <x:c r="AS149" s="21" t="n">
        <x:f>0.04*AJ149/1000</x:f>
        <x:v>0.07488</x:v>
      </x:c>
      <x:c r="AT149" s="21" t="n">
        <x:f>0.05*AJ149/1000</x:f>
        <x:v>0.0936</x:v>
      </x:c>
      <x:c r="AU149" s="21" t="n">
        <x:f>0.19*AJ149/1000</x:f>
        <x:v>0.35568</x:v>
      </x:c>
      <x:c r="AV149" s="21"/>
      <x:c r="AW149" s="18">
        <x:v>0</x:v>
      </x:c>
      <x:c r="AX149" s="19"/>
      <x:c r="AY149" s="21"/>
      <x:c r="AZ149" s="21"/>
      <x:c r="BA149" s="21"/>
      <x:c r="BB149" s="21"/>
      <x:c r="BC149" s="21"/>
      <x:c r="BD149" s="21"/>
      <x:c r="BE149" s="21"/>
      <x:c r="BF149" s="21"/>
      <x:c r="BG149" s="21"/>
      <x:c r="BH149" t="s">
        <x:v>81</x:v>
      </x:c>
      <x:c r="BI149" s="18">
        <x:v>112</x:v>
      </x:c>
      <x:c r="BJ149" s="18">
        <x:v>55</x:v>
      </x:c>
      <x:c r="BK149" s="18">
        <x:v>1.78</x:v>
      </x:c>
      <x:c r="BL149" s="18">
        <x:v>22</x:v>
      </x:c>
      <x:c r="BM149" s="18">
        <x:v>53</x:v>
      </x:c>
      <x:c r="BN149" s="18">
        <x:v>6.18</x:v>
      </x:c>
      <x:c r="BO149" s="22">
        <x:v>112.917161111111</x:v>
      </x:c>
      <x:c r="BP149" s="22">
        <x:v>22.88505</x:v>
      </x:c>
      <x:c r="BQ149" s="18">
        <x:v>210</x:v>
      </x:c>
      <x:c r="BR149" s="18">
        <x:v>157581.91</x:v>
      </x:c>
      <x:c r="BS149" s="18">
        <x:v>2208.1950000000002</x:v>
      </x:c>
      <x:c r="BT149" s="18">
        <x:v>27.077000000000002</x:v>
      </x:c>
      <x:c r="BU149" s="18">
        <x:v>529.18799999999999</x:v>
      </x:c>
      <x:c r="BV149" s="18">
        <x:v>44.109000000000002</x:v>
      </x:c>
      <x:c r="BW149" s="18">
        <x:v>31718.046999999999</x:v>
      </x:c>
      <x:c r="BX149" s="18">
        <x:v>5.7050000000000001</x:v>
      </x:c>
      <x:c r="BY149" s="18">
        <x:v>6902.5259999999998</x:v>
      </x:c>
      <x:c r="BZ149" s="18">
        <x:v>6902.5259999999998</x:v>
      </x:c>
      <x:c r="CA149" s="23">
        <x:f t="shared" si="126"/>
        <x:v>3286.3512949999995</x:v>
      </x:c>
      <x:c r="CB149" s="23">
        <x:f t="shared" si="127"/>
        <x:v>2280.0999194999995</x:v>
      </x:c>
      <x:c r="CC149" s="23">
        <x:f t="shared" si="128"/>
        <x:v>2209.9315999999999</x:v>
      </x:c>
      <x:c r="CD149" s="23">
        <x:f t="shared" si="129"/>
        <x:v>1570.5630267300003</x:v>
      </x:c>
      <x:c r="CE149" s="23">
        <x:f t="shared" si="130"/>
        <x:v>476.60664810000009</x:v>
      </x:c>
      <x:c r="CF149" s="23">
        <x:f t="shared" si="131"/>
        <x:v>1.0257720162000001</x:v>
      </x:c>
      <x:c r="CG149" s="23">
        <x:f t="shared" si="132"/>
        <x:v>9.3600000000000003E-2</x:v>
      </x:c>
      <x:c r="CH149" s="23">
        <x:f t="shared" si="133"/>
        <x:v>11.399721999999999</x:v>
      </x:c>
      <x:c r="CI149" s="23">
        <x:f t="shared" si="134"/>
        <x:v>0</x:v>
      </x:c>
      <x:c r="CJ149" s="24" t="s">
        <x:v>180</x:v>
      </x:c>
      <x:c r="CK149" s="29">
        <x:v>99.07</x:v>
      </x:c>
      <x:c r="CL149" s="26" t="s">
        <x:v>97</x:v>
      </x:c>
      <x:c r="CM149" s="28">
        <x:v>83</x:v>
      </x:c>
      <x:c r="CN149" s="30" t="s">
        <x:v>369</x:v>
      </x:c>
      <x:c r="CO149" s="27">
        <x:v>99.4</x:v>
      </x:c>
      <x:c r="CP149" s="27">
        <x:v>98.3</x:v>
      </x:c>
      <x:c r="CQ149" s="26">
        <x:f t="shared" si="135"/>
        <x:v>30.563067043500279</x:v>
      </x:c>
      <x:c r="CR149" s="26">
        <x:f t="shared" si="136"/>
        <x:v>387.61698631500002</x:v>
      </x:c>
      <x:c r="CS149" s="26">
        <x:f t="shared" si="137"/>
        <x:v>2209.9315999999999</x:v>
      </x:c>
      <x:c r="CT149" s="26">
        <x:f t="shared" si="110"/>
        <x:v>9.4233781603798352</x:v>
      </x:c>
      <x:c r="CU149" s="26">
        <x:f t="shared" si="111"/>
        <x:v>8.1023130177000091</x:v>
      </x:c>
      <x:c r="CV149" s="26">
        <x:f t="shared" si="112"/>
        <x:v>1.7438124275400018E-2</x:v>
      </x:c>
      <x:c r="CW149" s="26">
        <x:f t="shared" si="113"/>
        <x:v>1.5912000000000014E-3</x:v>
      </x:c>
      <x:c r="CX149" s="26">
        <x:f t="shared" si="138"/>
        <x:v>11.399721999999999</x:v>
      </x:c>
      <x:c r="CY149" s="26">
        <x:f t="shared" si="139"/>
        <x:v>0</x:v>
      </x:c>
    </x:row>
    <x:row r="150">
      <x:c r="A150" s="18">
        <x:v>2022</x:v>
      </x:c>
      <x:c r="B150" t="s">
        <x:v>363</x:v>
      </x:c>
      <x:c r="C150" t="s">
        <x:v>364</x:v>
      </x:c>
      <x:c r="D150" t="s">
        <x:v>365</x:v>
      </x:c>
      <x:c r="E150" s="18">
        <x:v>440605</x:v>
      </x:c>
      <x:c r="F150" t="s">
        <x:v>366</x:v>
      </x:c>
      <x:c r="G150" t="s">
        <x:v>362</x:v>
      </x:c>
      <x:c r="H150" s="18">
        <x:v>4412</x:v>
      </x:c>
      <x:c r="I150" t="s">
        <x:v>108</x:v>
      </x:c>
      <x:c r="J150" t="s">
        <x:v>78</x:v>
      </x:c>
      <x:c r="K150" t="s">
        <x:v>109</x:v>
      </x:c>
      <x:c r="L150" s="20">
        <x:v>20</x:v>
      </x:c>
      <x:c r="M150" t="s">
        <x:v>367</x:v>
      </x:c>
      <x:c r="N150" s="18">
        <x:v>670</x:v>
      </x:c>
      <x:c r="O150" t="s">
        <x:v>88</x:v>
      </x:c>
      <x:c r="P150" s="18">
        <x:v>8</x:v>
      </x:c>
      <x:c r="Q150" s="19" t="s">
        <x:v>339</x:v>
      </x:c>
      <x:c r="R150" s="18">
        <x:v>485235.58</x:v>
      </x:c>
      <x:c r="S150" t="s">
        <x:v>112</x:v>
      </x:c>
      <x:c r="T150" s="19">
        <x:f t="shared" si="148"/>
        <x:v>485235.58</x:v>
      </x:c>
      <x:c r="U150" s="20">
        <x:v>0.68</x:v>
      </x:c>
      <x:c r="V150" t="s">
        <x:v>113</x:v>
      </x:c>
      <x:c r="W150" s="20">
        <x:v>11.24</x:v>
      </x:c>
      <x:c r="X150" s="21">
        <x:f t="shared" si="149"/>
        <x:v>5609.3233048000002</x:v>
      </x:c>
      <x:c r="Y150" s="21" t="n">
        <x:f>8.19*T150/1000</x:f>
        <x:v>3974.0794002000002</x:v>
      </x:c>
      <x:c r="Z150" s="21" t="n">
        <x:f>8*T150/1000</x:f>
        <x:v>3881.88464</x:v>
      </x:c>
      <x:c r="AA150" s="21" t="n">
        <x:f>W150/100*(1-0.85)*0.33*T150</x:f>
        <x:v>2699.753720004001</x:v>
      </x:c>
      <x:c r="AB150" s="21" t="n">
        <x:f>W150/100*(1-0.85)*0.1*T150</x:f>
        <x:v>818.1071878800002</x:v>
      </x:c>
      <x:c r="AC150" s="21">
        <x:f t="shared" si="150"/>
        <x:v>1.6362143757600005</x:v>
      </x:c>
      <x:c r="AD150" s="21"/>
      <x:c r="AE150" s="21">
        <x:f t="shared" si="151"/>
        <x:v>19.409423200000003</x:v>
      </x:c>
      <x:c r="AF150" s="21"/>
      <x:c r="AG150" s="19" t="s">
        <x:v>368</x:v>
      </x:c>
      <x:c r="AH150" s="18">
        <x:v>2204</x:v>
      </x:c>
      <x:c r="AI150" t="s">
        <x:v>112</x:v>
      </x:c>
      <x:c r="AJ150" s="19" t="n">
        <x:f>AH150</x:f>
        <x:v>2204</x:v>
      </x:c>
      <x:c r="AK150" s="20">
        <x:v>0.02</x:v>
      </x:c>
      <x:c r="AL150" t="s">
        <x:v>113</x:v>
      </x:c>
      <x:c r="AM150" s="19" t="s">
        <x:v>78</x:v>
      </x:c>
      <x:c r="AN150" s="21" t="n">
        <x:f>2*AK150/100*AJ150</x:f>
        <x:v>0.8816</x:v>
      </x:c>
      <x:c r="AO150" s="21" t="n">
        <x:f>10.06*AJ150/1000</x:f>
        <x:v>22.172240000000002</x:v>
      </x:c>
      <x:c r="AP150" s="21" t="n">
        <x:f>0.6*AJ150/1000</x:f>
        <x:v>1.3223999999999998</x:v>
      </x:c>
      <x:c r="AQ150" s="21" t="n">
        <x:f>0.85*AJ150/1000</x:f>
        <x:v>1.8734</x:v>
      </x:c>
      <x:c r="AR150" s="21" t="n">
        <x:f>0.62*AJ150/1000</x:f>
        <x:v>1.36648</x:v>
      </x:c>
      <x:c r="AS150" s="21" t="n">
        <x:f>0.04*AJ150/1000</x:f>
        <x:v>0.08816</x:v>
      </x:c>
      <x:c r="AT150" s="21" t="n">
        <x:f>0.05*AJ150/1000</x:f>
        <x:v>0.1102</x:v>
      </x:c>
      <x:c r="AU150" s="21" t="n">
        <x:f>0.19*AJ150/1000</x:f>
        <x:v>0.41875999999999997</x:v>
      </x:c>
      <x:c r="AV150" s="21"/>
      <x:c r="AW150" s="18">
        <x:v>0</x:v>
      </x:c>
      <x:c r="AX150" s="19"/>
      <x:c r="AY150" s="21"/>
      <x:c r="AZ150" s="21"/>
      <x:c r="BA150" s="21"/>
      <x:c r="BB150" s="21"/>
      <x:c r="BC150" s="21"/>
      <x:c r="BD150" s="21"/>
      <x:c r="BE150" s="21"/>
      <x:c r="BF150" s="21"/>
      <x:c r="BG150" s="21"/>
      <x:c r="BH150" t="s">
        <x:v>81</x:v>
      </x:c>
      <x:c r="BI150" s="18">
        <x:v>112</x:v>
      </x:c>
      <x:c r="BJ150" s="18">
        <x:v>55</x:v>
      </x:c>
      <x:c r="BK150" s="18">
        <x:v>1.0900000000000001</x:v>
      </x:c>
      <x:c r="BL150" s="18">
        <x:v>22</x:v>
      </x:c>
      <x:c r="BM150" s="18">
        <x:v>53</x:v>
      </x:c>
      <x:c r="BN150" s="18">
        <x:v>7.37</x:v>
      </x:c>
      <x:c r="BO150" s="22">
        <x:v>112.91696944444401</x:v>
      </x:c>
      <x:c r="BP150" s="22">
        <x:v>22.885380555555599</x:v>
      </x:c>
      <x:c r="BQ150" s="18">
        <x:v>210</x:v>
      </x:c>
      <x:c r="BR150" s="18">
        <x:v>397009.47</x:v>
      </x:c>
      <x:c r="BS150" s="18">
        <x:v>3615.9690000000001</x:v>
      </x:c>
      <x:c r="BT150" s="18">
        <x:v>168.523</x:v>
      </x:c>
      <x:c r="BU150" s="18">
        <x:v>1303.18</x:v>
      </x:c>
      <x:c r="BV150" s="18">
        <x:v>138.09399999999999</x:v>
      </x:c>
      <x:c r="BW150" s="18">
        <x:v>54656.548000000003</x:v>
      </x:c>
      <x:c r="BX150" s="18">
        <x:v>7.9989999999999997</x:v>
      </x:c>
      <x:c r="BY150" s="18">
        <x:v>12130.89</x:v>
      </x:c>
      <x:c r="BZ150" s="18">
        <x:v>12130.89</x:v>
      </x:c>
      <x:c r="CA150" s="23">
        <x:f t="shared" si="126"/>
        <x:v>5610.2049047999999</x:v>
      </x:c>
      <x:c r="CB150" s="23">
        <x:f t="shared" si="127"/>
        <x:v>3996.2516402000001</x:v>
      </x:c>
      <x:c r="CC150" s="23">
        <x:f t="shared" si="128"/>
        <x:v>3883.2070400000002</x:v>
      </x:c>
      <x:c r="CD150" s="23">
        <x:f t="shared" si="129"/>
        <x:v>2701.627120004001</x:v>
      </x:c>
      <x:c r="CE150" s="23">
        <x:f t="shared" si="130"/>
        <x:v>819.47366788000022</x:v>
      </x:c>
      <x:c r="CF150" s="23">
        <x:f t="shared" si="131"/>
        <x:v>1.7243743757600005</x:v>
      </x:c>
      <x:c r="CG150" s="23">
        <x:f t="shared" si="132"/>
        <x:v>0.11020000000000001</x:v>
      </x:c>
      <x:c r="CH150" s="23">
        <x:f t="shared" si="133"/>
        <x:v>19.828183200000002</x:v>
      </x:c>
      <x:c r="CI150" s="23">
        <x:f t="shared" si="134"/>
        <x:v>0</x:v>
      </x:c>
      <x:c r="CJ150" s="24" t="s">
        <x:v>180</x:v>
      </x:c>
      <x:c r="CK150" s="29">
        <x:v>99.07</x:v>
      </x:c>
      <x:c r="CL150" s="26" t="s">
        <x:v>97</x:v>
      </x:c>
      <x:c r="CM150" s="28">
        <x:v>83</x:v>
      </x:c>
      <x:c r="CN150" s="30" t="s">
        <x:v>369</x:v>
      </x:c>
      <x:c r="CO150" s="27">
        <x:v>99.4</x:v>
      </x:c>
      <x:c r="CP150" s="27">
        <x:v>98.3</x:v>
      </x:c>
      <x:c r="CQ150" s="26">
        <x:f t="shared" si="135"/>
        <x:v>52.17490561464048</x:v>
      </x:c>
      <x:c r="CR150" s="26">
        <x:f t="shared" si="136"/>
        <x:v>679.36277883400021</x:v>
      </x:c>
      <x:c r="CS150" s="26">
        <x:f t="shared" si="137"/>
        <x:v>3883.2070400000002</x:v>
      </x:c>
      <x:c r="CT150" s="26">
        <x:f t="shared" si="110"/>
        <x:v>16.209762720023722</x:v>
      </x:c>
      <x:c r="CU150" s="26">
        <x:f t="shared" si="111"/>
        <x:v>13.931052353960016</x:v>
      </x:c>
      <x:c r="CV150" s="26">
        <x:f t="shared" si="112"/>
        <x:v>2.9314364387920035E-2</x:v>
      </x:c>
      <x:c r="CW150" s="26">
        <x:f t="shared" si="113"/>
        <x:v>1.8734000000000018E-3</x:v>
      </x:c>
      <x:c r="CX150" s="26">
        <x:f t="shared" si="138"/>
        <x:v>19.828183200000002</x:v>
      </x:c>
      <x:c r="CY150" s="26">
        <x:f t="shared" si="139"/>
        <x:v>0</x:v>
      </x:c>
    </x:row>
    <x:row r="151">
      <x:c r="A151" s="18">
        <x:v>2022</x:v>
      </x:c>
      <x:c r="B151" t="s">
        <x:v>370</x:v>
      </x:c>
      <x:c r="C151" t="s">
        <x:v>371</x:v>
      </x:c>
      <x:c r="D151" t="s">
        <x:v>372</x:v>
      </x:c>
      <x:c r="E151" s="18">
        <x:v>440605</x:v>
      </x:c>
      <x:c r="F151" t="s">
        <x:v>366</x:v>
      </x:c>
      <x:c r="G151" t="s">
        <x:v>362</x:v>
      </x:c>
      <x:c r="H151" s="18">
        <x:v>4412</x:v>
      </x:c>
      <x:c r="I151" t="s">
        <x:v>108</x:v>
      </x:c>
      <x:c r="J151" t="s">
        <x:v>78</x:v>
      </x:c>
      <x:c r="K151" t="s">
        <x:v>109</x:v>
      </x:c>
      <x:c r="L151" s="20">
        <x:v>5</x:v>
      </x:c>
      <x:c r="M151" t="s">
        <x:v>110</x:v>
      </x:c>
      <x:c r="N151" s="18">
        <x:v>220</x:v>
      </x:c>
      <x:c r="O151" t="s">
        <x:v>88</x:v>
      </x:c>
      <x:c r="P151" s="18">
        <x:v>4</x:v>
      </x:c>
      <x:c r="Q151" s="19" t="s">
        <x:v>111</x:v>
      </x:c>
      <x:c r="R151" s="18">
        <x:v>67038</x:v>
      </x:c>
      <x:c r="S151" t="s">
        <x:v>112</x:v>
      </x:c>
      <x:c r="T151" s="19">
        <x:f t="shared" si="148"/>
        <x:v>67038</x:v>
      </x:c>
      <x:c r="U151" s="20">
        <x:v>0.81</x:v>
      </x:c>
      <x:c r="V151" t="s">
        <x:v>113</x:v>
      </x:c>
      <x:c r="W151" s="20">
        <x:v>21.62</x:v>
      </x:c>
      <x:c r="X151" s="21">
        <x:f t="shared" si="149"/>
        <x:v>923.11326000000008</x:v>
      </x:c>
      <x:c r="Y151" s="21" t="n">
        <x:f>8.96*T151/1000</x:f>
        <x:v>600.6604800000001</x:v>
      </x:c>
      <x:c r="Z151" s="21" t="n">
        <x:f t="shared" ref="Z151:Z156" si="152">2*T151/1000</x:f>
        <x:v>134.076</x:v>
      </x:c>
      <x:c r="AA151" s="21" t="n">
        <x:f>W151/100*(1-0.25)*0.23*T151</x:f>
        <x:v>2500.1486910000003</x:v>
      </x:c>
      <x:c r="AB151" s="21" t="n">
        <x:f>W151/100*(1-0.25)*0.06*T151</x:f>
        <x:v>652.212702</x:v>
      </x:c>
      <x:c r="AC151" s="21" t="n">
        <x:f t="shared" ref="AC151:AC154" si="153">0.002*AB151</x:f>
        <x:v>1.304425404</x:v>
      </x:c>
      <x:c r="AD151" s="21"/>
      <x:c r="AE151" s="21">
        <x:f t="shared" si="151"/>
        <x:v>2.6815199999999999</x:v>
      </x:c>
      <x:c r="AF151" s="21"/>
      <x:c r="AG151" s="19" t="s">
        <x:v>78</x:v>
      </x:c>
      <x:c r="AH151" t="s">
        <x:v>78</x:v>
      </x:c>
      <x:c r="AI151" t="s">
        <x:v>78</x:v>
      </x:c>
      <x:c r="AJ151" s="19"/>
      <x:c r="AK151" s="19" t="s">
        <x:v>78</x:v>
      </x:c>
      <x:c r="AL151" t="s">
        <x:v>78</x:v>
      </x:c>
      <x:c r="AM151" s="19" t="s">
        <x:v>78</x:v>
      </x:c>
      <x:c r="AN151" s="21"/>
      <x:c r="AO151" s="21"/>
      <x:c r="AP151" s="21"/>
      <x:c r="AQ151" s="21"/>
      <x:c r="AR151" s="21"/>
      <x:c r="AS151" s="21"/>
      <x:c r="AT151" s="21"/>
      <x:c r="AU151" s="21"/>
      <x:c r="AV151" s="21"/>
      <x:c r="AW151" t="s">
        <x:v>78</x:v>
      </x:c>
      <x:c r="AX151" s="19"/>
      <x:c r="AY151" s="21"/>
      <x:c r="AZ151" s="21"/>
      <x:c r="BA151" s="21"/>
      <x:c r="BB151" s="21"/>
      <x:c r="BC151" s="21"/>
      <x:c r="BD151" s="21"/>
      <x:c r="BE151" s="21"/>
      <x:c r="BF151" s="21"/>
      <x:c r="BG151" s="21"/>
      <x:c r="BH151" t="s">
        <x:v>81</x:v>
      </x:c>
      <x:c r="BI151" s="18">
        <x:v>112</x:v>
      </x:c>
      <x:c r="BJ151" s="18">
        <x:v>59</x:v>
      </x:c>
      <x:c r="BK151" s="18">
        <x:v>58.74</x:v>
      </x:c>
      <x:c r="BL151" s="18">
        <x:v>22</x:v>
      </x:c>
      <x:c r="BM151" s="18">
        <x:v>56</x:v>
      </x:c>
      <x:c r="BN151" s="18">
        <x:v>19</x:v>
      </x:c>
      <x:c r="BO151" s="22">
        <x:v>112.99965</x:v>
      </x:c>
      <x:c r="BP151" s="22">
        <x:v>22.938611111111101</x:v>
      </x:c>
      <x:c r="BQ151" s="18">
        <x:v>240</x:v>
      </x:c>
      <x:c r="BR151" s="18">
        <x:v>55268.81</x:v>
      </x:c>
      <x:c r="BS151" s="18">
        <x:v>911.16700000000003</x:v>
      </x:c>
      <x:c r="BT151" s="18">
        <x:v>9.6679999999999993</x:v>
      </x:c>
      <x:c r="BU151" s="18">
        <x:v>151.506</x:v>
      </x:c>
      <x:c r="BV151" s="18">
        <x:v>15.391999999999999</x:v>
      </x:c>
      <x:c r="BW151" s="18">
        <x:v>14265.901</x:v>
      </x:c>
      <x:c r="BX151" s="18">
        <x:v>1.831</x:v>
      </x:c>
      <x:c r="BY151" s="18">
        <x:v>791.048</x:v>
      </x:c>
      <x:c r="BZ151" s="18">
        <x:v>791.048</x:v>
      </x:c>
      <x:c r="CA151" s="23">
        <x:f t="shared" si="126"/>
        <x:v>923.11326000000008</x:v>
      </x:c>
      <x:c r="CB151" s="23">
        <x:f t="shared" si="127"/>
        <x:v>600.66048000000012</x:v>
      </x:c>
      <x:c r="CC151" s="23">
        <x:f t="shared" si="128"/>
        <x:v>134.07599999999999</x:v>
      </x:c>
      <x:c r="CD151" s="23">
        <x:f t="shared" si="129"/>
        <x:v>2500.1486910000003</x:v>
      </x:c>
      <x:c r="CE151" s="23">
        <x:f t="shared" si="130"/>
        <x:v>652.21270200000004</x:v>
      </x:c>
      <x:c r="CF151" s="23">
        <x:f t="shared" si="131"/>
        <x:v>1.3044254040000001</x:v>
      </x:c>
      <x:c r="CG151" s="23">
        <x:f t="shared" si="132"/>
        <x:v>0</x:v>
      </x:c>
      <x:c r="CH151" s="23">
        <x:f t="shared" si="133"/>
        <x:v>2.6815199999999999</x:v>
      </x:c>
      <x:c r="CI151" s="23">
        <x:f t="shared" si="134"/>
        <x:v>0</x:v>
      </x:c>
      <x:c r="CJ151" s="24" t="s">
        <x:v>153</x:v>
      </x:c>
      <x:c r="CK151" s="29">
        <x:v>93.69</x:v>
      </x:c>
      <x:c r="CL151" s="26" t="s">
        <x:v>97</x:v>
      </x:c>
      <x:c r="CM151" s="28">
        <x:v>75</x:v>
      </x:c>
      <x:c r="CN151" s="30" t="s">
        <x:v>168</x:v>
      </x:c>
      <x:c r="CO151" s="27">
        <x:v>99.4</x:v>
      </x:c>
      <x:c r="CP151" s="27">
        <x:v>98.3</x:v>
      </x:c>
      <x:c r="CQ151" s="26">
        <x:f t="shared" si="135"/>
        <x:v>58.248446706000045</x:v>
      </x:c>
      <x:c r="CR151" s="26">
        <x:f t="shared" si="136"/>
        <x:v>150.16512000000003</x:v>
      </x:c>
      <x:c r="CS151" s="26">
        <x:f t="shared" si="137"/>
        <x:v>134.07599999999999</x:v>
      </x:c>
      <x:c r="CT151" s="26">
        <x:f t="shared" si="110"/>
        <x:v>15.000892145999737</x:v>
      </x:c>
      <x:c r="CU151" s="26">
        <x:f t="shared" si="111"/>
        <x:v>11.087615934000011</x:v>
      </x:c>
      <x:c r="CV151" s="26">
        <x:f t="shared" si="112"/>
        <x:v>2.2175231868000019E-2</x:v>
      </x:c>
      <x:c r="CW151" s="26">
        <x:f t="shared" si="113"/>
        <x:v>0</x:v>
      </x:c>
      <x:c r="CX151" s="26">
        <x:f t="shared" si="138"/>
        <x:v>2.6815199999999999</x:v>
      </x:c>
      <x:c r="CY151" s="26">
        <x:f t="shared" si="139"/>
        <x:v>0</x:v>
      </x:c>
    </x:row>
    <x:row r="152">
      <x:c r="A152" s="18">
        <x:v>2022</x:v>
      </x:c>
      <x:c r="B152" t="s">
        <x:v>370</x:v>
      </x:c>
      <x:c r="C152" t="s">
        <x:v>371</x:v>
      </x:c>
      <x:c r="D152" t="s">
        <x:v>372</x:v>
      </x:c>
      <x:c r="E152" s="18">
        <x:v>440605</x:v>
      </x:c>
      <x:c r="F152" t="s">
        <x:v>366</x:v>
      </x:c>
      <x:c r="G152" t="s">
        <x:v>362</x:v>
      </x:c>
      <x:c r="H152" s="18">
        <x:v>4412</x:v>
      </x:c>
      <x:c r="I152" t="s">
        <x:v>108</x:v>
      </x:c>
      <x:c r="J152" t="s">
        <x:v>78</x:v>
      </x:c>
      <x:c r="K152" t="s">
        <x:v>109</x:v>
      </x:c>
      <x:c r="L152" s="20">
        <x:v>7.5</x:v>
      </x:c>
      <x:c r="M152" t="s">
        <x:v>110</x:v>
      </x:c>
      <x:c r="N152" s="18">
        <x:v>670</x:v>
      </x:c>
      <x:c r="O152" t="s">
        <x:v>88</x:v>
      </x:c>
      <x:c r="P152" s="18">
        <x:v>4</x:v>
      </x:c>
      <x:c r="Q152" s="19" t="s">
        <x:v>111</x:v>
      </x:c>
      <x:c r="R152" s="18">
        <x:v>566604</x:v>
      </x:c>
      <x:c r="S152" t="s">
        <x:v>112</x:v>
      </x:c>
      <x:c r="T152" s="19">
        <x:f t="shared" si="148"/>
        <x:v>566604</x:v>
      </x:c>
      <x:c r="U152" s="20">
        <x:v>0.83</x:v>
      </x:c>
      <x:c r="V152" t="s">
        <x:v>113</x:v>
      </x:c>
      <x:c r="W152" s="20">
        <x:v>21.53</x:v>
      </x:c>
      <x:c r="X152" s="21">
        <x:f t="shared" si="149"/>
        <x:v>7994.78244</x:v>
      </x:c>
      <x:c r="Y152" s="21" t="n">
        <x:f>8.96*T152/1000</x:f>
        <x:v>5076.77184</x:v>
      </x:c>
      <x:c r="Z152" s="21">
        <x:f t="shared" si="152"/>
        <x:v>1133.2080000000001</x:v>
      </x:c>
      <x:c r="AA152" s="21" t="n">
        <x:f>W152/100*(1-0.25)*0.23*T152</x:f>
        <x:v>21043.247607000005</x:v>
      </x:c>
      <x:c r="AB152" s="21" t="n">
        <x:f>W152/100*(1-0.25)*0.06*T152</x:f>
        <x:v>5489.542854</x:v>
      </x:c>
      <x:c r="AC152" s="21">
        <x:f t="shared" si="153"/>
        <x:v>10.979085708000001</x:v>
      </x:c>
      <x:c r="AD152" s="21"/>
      <x:c r="AE152" s="21">
        <x:f t="shared" si="151"/>
        <x:v>22.664159999999999</x:v>
      </x:c>
      <x:c r="AF152" s="21"/>
      <x:c r="AG152" s="19" t="s">
        <x:v>78</x:v>
      </x:c>
      <x:c r="AH152" t="s">
        <x:v>78</x:v>
      </x:c>
      <x:c r="AI152" t="s">
        <x:v>78</x:v>
      </x:c>
      <x:c r="AJ152" s="19"/>
      <x:c r="AK152" s="19" t="s">
        <x:v>78</x:v>
      </x:c>
      <x:c r="AL152" t="s">
        <x:v>78</x:v>
      </x:c>
      <x:c r="AM152" s="19" t="s">
        <x:v>78</x:v>
      </x:c>
      <x:c r="AN152" s="21"/>
      <x:c r="AO152" s="21"/>
      <x:c r="AP152" s="21"/>
      <x:c r="AQ152" s="21"/>
      <x:c r="AR152" s="21"/>
      <x:c r="AS152" s="21"/>
      <x:c r="AT152" s="21"/>
      <x:c r="AU152" s="21"/>
      <x:c r="AV152" s="21"/>
      <x:c r="AW152" t="s">
        <x:v>78</x:v>
      </x:c>
      <x:c r="AX152" s="19"/>
      <x:c r="AY152" s="21"/>
      <x:c r="AZ152" s="21"/>
      <x:c r="BA152" s="21"/>
      <x:c r="BB152" s="21"/>
      <x:c r="BC152" s="21"/>
      <x:c r="BD152" s="21"/>
      <x:c r="BE152" s="21"/>
      <x:c r="BF152" s="21"/>
      <x:c r="BG152" s="21"/>
      <x:c r="BH152" t="s">
        <x:v>81</x:v>
      </x:c>
      <x:c r="BI152" s="18">
        <x:v>112</x:v>
      </x:c>
      <x:c r="BJ152" s="18">
        <x:v>59</x:v>
      </x:c>
      <x:c r="BK152" s="18">
        <x:v>58.74</x:v>
      </x:c>
      <x:c r="BL152" s="18">
        <x:v>22</x:v>
      </x:c>
      <x:c r="BM152" s="18">
        <x:v>56</x:v>
      </x:c>
      <x:c r="BN152" s="18">
        <x:v>19</x:v>
      </x:c>
      <x:c r="BO152" s="22">
        <x:v>112.99965</x:v>
      </x:c>
      <x:c r="BP152" s="22">
        <x:v>22.938611111111101</x:v>
      </x:c>
      <x:c r="BQ152" s="18">
        <x:v>240</x:v>
      </x:c>
      <x:c r="BR152" s="18">
        <x:v>467922.239</x:v>
      </x:c>
      <x:c r="BS152" s="18">
        <x:v>7966.5659999999998</x:v>
      </x:c>
      <x:c r="BT152" s="18">
        <x:v>79.81</x:v>
      </x:c>
      <x:c r="BU152" s="18">
        <x:v>1518.499</x:v>
      </x:c>
      <x:c r="BV152" s="18">
        <x:v>134.18600000000001</x:v>
      </x:c>
      <x:c r="BW152" s="18">
        <x:v>118773.967</x:v>
      </x:c>
      <x:c r="BX152" s="18">
        <x:v>12.359</x:v>
      </x:c>
      <x:c r="BY152" s="18">
        <x:v>6685.9269999999997</x:v>
      </x:c>
      <x:c r="BZ152" s="18">
        <x:v>6685.9269999999997</x:v>
      </x:c>
      <x:c r="CA152" s="23">
        <x:f t="shared" si="126"/>
        <x:v>7994.78244</x:v>
      </x:c>
      <x:c r="CB152" s="23">
        <x:f t="shared" si="127"/>
        <x:v>5076.7718400000003</x:v>
      </x:c>
      <x:c r="CC152" s="23">
        <x:f t="shared" si="128"/>
        <x:v>1133.2080000000001</x:v>
      </x:c>
      <x:c r="CD152" s="23">
        <x:f t="shared" si="129"/>
        <x:v>21043.247607000005</x:v>
      </x:c>
      <x:c r="CE152" s="23">
        <x:f t="shared" si="130"/>
        <x:v>5489.5428540000003</x:v>
      </x:c>
      <x:c r="CF152" s="23">
        <x:f t="shared" si="131"/>
        <x:v>10.979085708000001</x:v>
      </x:c>
      <x:c r="CG152" s="23">
        <x:f t="shared" si="132"/>
        <x:v>0</x:v>
      </x:c>
      <x:c r="CH152" s="23">
        <x:f t="shared" si="133"/>
        <x:v>22.664159999999999</x:v>
      </x:c>
      <x:c r="CI152" s="23">
        <x:f t="shared" si="134"/>
        <x:v>0</x:v>
      </x:c>
      <x:c r="CJ152" s="24" t="s">
        <x:v>153</x:v>
      </x:c>
      <x:c r="CK152" s="29">
        <x:v>93.69</x:v>
      </x:c>
      <x:c r="CL152" s="26" t="s">
        <x:v>97</x:v>
      </x:c>
      <x:c r="CM152" s="28">
        <x:v>75</x:v>
      </x:c>
      <x:c r="CN152" s="30" t="s">
        <x:v>168</x:v>
      </x:c>
      <x:c r="CO152" s="27">
        <x:v>99.4</x:v>
      </x:c>
      <x:c r="CP152" s="27">
        <x:v>98.3</x:v>
      </x:c>
      <x:c r="CQ152" s="26">
        <x:f t="shared" si="135"/>
        <x:v>504.47077196400033</x:v>
      </x:c>
      <x:c r="CR152" s="26">
        <x:f t="shared" si="136"/>
        <x:v>1269.1929600000001</x:v>
      </x:c>
      <x:c r="CS152" s="26">
        <x:f t="shared" si="137"/>
        <x:v>1133.2080000000001</x:v>
      </x:c>
      <x:c r="CT152" s="26">
        <x:f t="shared" si="110"/>
        <x:v>126.2594856419978</x:v>
      </x:c>
      <x:c r="CU152" s="26">
        <x:f t="shared" si="111"/>
        <x:v>93.322228518000088</x:v>
      </x:c>
      <x:c r="CV152" s="26">
        <x:f t="shared" si="112"/>
        <x:v>0.18664445703600019</x:v>
      </x:c>
      <x:c r="CW152" s="26">
        <x:f t="shared" si="113"/>
        <x:v>0</x:v>
      </x:c>
      <x:c r="CX152" s="26">
        <x:f t="shared" si="138"/>
        <x:v>22.664159999999999</x:v>
      </x:c>
      <x:c r="CY152" s="26">
        <x:f t="shared" si="139"/>
        <x:v>0</x:v>
      </x:c>
    </x:row>
    <x:row r="153">
      <x:c r="A153" s="18">
        <x:v>2022</x:v>
      </x:c>
      <x:c r="B153" t="s">
        <x:v>370</x:v>
      </x:c>
      <x:c r="C153" t="s">
        <x:v>371</x:v>
      </x:c>
      <x:c r="D153" t="s">
        <x:v>372</x:v>
      </x:c>
      <x:c r="E153" s="18">
        <x:v>440605</x:v>
      </x:c>
      <x:c r="F153" t="s">
        <x:v>366</x:v>
      </x:c>
      <x:c r="G153" t="s">
        <x:v>362</x:v>
      </x:c>
      <x:c r="H153" s="18">
        <x:v>4412</x:v>
      </x:c>
      <x:c r="I153" t="s">
        <x:v>108</x:v>
      </x:c>
      <x:c r="J153" t="s">
        <x:v>78</x:v>
      </x:c>
      <x:c r="K153" t="s">
        <x:v>109</x:v>
      </x:c>
      <x:c r="L153" s="20">
        <x:v>2.5</x:v>
      </x:c>
      <x:c r="M153" t="s">
        <x:v>125</x:v>
      </x:c>
      <x:c r="N153" s="18">
        <x:v>130</x:v>
      </x:c>
      <x:c r="O153" t="s">
        <x:v>88</x:v>
      </x:c>
      <x:c r="P153" s="18">
        <x:v>4</x:v>
      </x:c>
      <x:c r="Q153" s="19" t="s">
        <x:v>111</x:v>
      </x:c>
      <x:c r="R153" s="18">
        <x:v>151921</x:v>
      </x:c>
      <x:c r="S153" t="s">
        <x:v>112</x:v>
      </x:c>
      <x:c r="T153" s="19">
        <x:f t="shared" si="148"/>
        <x:v>151921</x:v>
      </x:c>
      <x:c r="U153" s="20">
        <x:v>0.69</x:v>
      </x:c>
      <x:c r="V153" t="s">
        <x:v>113</x:v>
      </x:c>
      <x:c r="W153" s="20">
        <x:v>18.690000000000001</x:v>
      </x:c>
      <x:c r="X153" s="21">
        <x:f t="shared" si="149"/>
        <x:v>1782.03333</x:v>
      </x:c>
      <x:c r="Y153" s="21" t="n">
        <x:f>8.96*T153/1000</x:f>
        <x:v>1361.21216</x:v>
      </x:c>
      <x:c r="Z153" s="21">
        <x:f t="shared" si="152"/>
        <x:v>303.84199999999998</x:v>
      </x:c>
      <x:c r="AA153" s="21" t="n">
        <x:f>W153/100*(1-0.44)*0.29*T153</x:f>
        <x:v>4611.19126776</x:v>
      </x:c>
      <x:c r="AB153" s="21" t="n">
        <x:f>W153/100*(1-0.44)*0.07*T153</x:f>
        <x:v>1113.0461680800004</x:v>
      </x:c>
      <x:c r="AC153" s="21">
        <x:f t="shared" si="153"/>
        <x:v>2.2260923361600007</x:v>
      </x:c>
      <x:c r="AD153" s="21"/>
      <x:c r="AE153" s="21">
        <x:f t="shared" si="151"/>
        <x:v>6.0768399999999998</x:v>
      </x:c>
      <x:c r="AF153" s="21"/>
      <x:c r="AG153" s="19" t="s">
        <x:v>78</x:v>
      </x:c>
      <x:c r="AH153" t="s">
        <x:v>78</x:v>
      </x:c>
      <x:c r="AI153" t="s">
        <x:v>78</x:v>
      </x:c>
      <x:c r="AJ153" s="19"/>
      <x:c r="AK153" s="19" t="s">
        <x:v>78</x:v>
      </x:c>
      <x:c r="AL153" t="s">
        <x:v>78</x:v>
      </x:c>
      <x:c r="AM153" s="19" t="s">
        <x:v>78</x:v>
      </x:c>
      <x:c r="AN153" s="21"/>
      <x:c r="AO153" s="21"/>
      <x:c r="AP153" s="21"/>
      <x:c r="AQ153" s="21"/>
      <x:c r="AR153" s="21"/>
      <x:c r="AS153" s="21"/>
      <x:c r="AT153" s="21"/>
      <x:c r="AU153" s="21"/>
      <x:c r="AV153" s="21"/>
      <x:c r="AW153" t="s">
        <x:v>78</x:v>
      </x:c>
      <x:c r="AX153" s="19"/>
      <x:c r="AY153" s="21"/>
      <x:c r="AZ153" s="21"/>
      <x:c r="BA153" s="21"/>
      <x:c r="BB153" s="21"/>
      <x:c r="BC153" s="21"/>
      <x:c r="BD153" s="21"/>
      <x:c r="BE153" s="21"/>
      <x:c r="BF153" s="21"/>
      <x:c r="BG153" s="21"/>
      <x:c r="BH153" t="s">
        <x:v>81</x:v>
      </x:c>
      <x:c r="BI153" s="18">
        <x:v>112</x:v>
      </x:c>
      <x:c r="BJ153" s="18">
        <x:v>59</x:v>
      </x:c>
      <x:c r="BK153" s="18">
        <x:v>58.74</x:v>
      </x:c>
      <x:c r="BL153" s="18">
        <x:v>22</x:v>
      </x:c>
      <x:c r="BM153" s="18">
        <x:v>56</x:v>
      </x:c>
      <x:c r="BN153" s="18">
        <x:v>19</x:v>
      </x:c>
      <x:c r="BO153" s="22">
        <x:v>112.99965</x:v>
      </x:c>
      <x:c r="BP153" s="22">
        <x:v>22.938611111111101</x:v>
      </x:c>
      <x:c r="BQ153" s="18">
        <x:v>240</x:v>
      </x:c>
      <x:c r="BR153" s="18">
        <x:v>112963.569</x:v>
      </x:c>
      <x:c r="BS153" s="18">
        <x:v>623.74199999999996</x:v>
      </x:c>
      <x:c r="BT153" s="18">
        <x:v>19.876000000000001</x:v>
      </x:c>
      <x:c r="BU153" s="18">
        <x:v>182.30500000000001</x:v>
      </x:c>
      <x:c r="BV153" s="18">
        <x:v>31.550999999999998</x:v>
      </x:c>
      <x:c r="BW153" s="18">
        <x:v>25564.597000000002</x:v>
      </x:c>
      <x:c r="BX153" s="18">
        <x:v>2.8519999999999999</x:v>
      </x:c>
      <x:c r="BY153" s="18">
        <x:v>4344.9409999999998</x:v>
      </x:c>
      <x:c r="BZ153" s="18">
        <x:v>4344.9409999999998</x:v>
      </x:c>
      <x:c r="CA153" s="23">
        <x:f t="shared" si="126"/>
        <x:v>1782.03333</x:v>
      </x:c>
      <x:c r="CB153" s="23">
        <x:f t="shared" si="127"/>
        <x:v>1361.21216</x:v>
      </x:c>
      <x:c r="CC153" s="23">
        <x:f t="shared" si="128"/>
        <x:v>303.84199999999998</x:v>
      </x:c>
      <x:c r="CD153" s="23">
        <x:f t="shared" si="129"/>
        <x:v>4611.1912677600003</x:v>
      </x:c>
      <x:c r="CE153" s="23">
        <x:f t="shared" si="130"/>
        <x:v>1113.0461680800004</x:v>
      </x:c>
      <x:c r="CF153" s="23">
        <x:f t="shared" si="131"/>
        <x:v>2.2260923361600007</x:v>
      </x:c>
      <x:c r="CG153" s="23">
        <x:f t="shared" si="132"/>
        <x:v>0</x:v>
      </x:c>
      <x:c r="CH153" s="23">
        <x:f t="shared" si="133"/>
        <x:v>6.0768399999999998</x:v>
      </x:c>
      <x:c r="CI153" s="23">
        <x:f t="shared" si="134"/>
        <x:v>0</x:v>
      </x:c>
      <x:c r="CJ153" s="24" t="s">
        <x:v>153</x:v>
      </x:c>
      <x:c r="CK153" s="29">
        <x:v>93.69</x:v>
      </x:c>
      <x:c r="CL153" s="26" t="s">
        <x:v>97</x:v>
      </x:c>
      <x:c r="CM153" s="28">
        <x:v>75</x:v>
      </x:c>
      <x:c r="CN153" s="30" t="s">
        <x:v>168</x:v>
      </x:c>
      <x:c r="CO153" s="27">
        <x:v>99.4</x:v>
      </x:c>
      <x:c r="CP153" s="27">
        <x:v>98.3</x:v>
      </x:c>
      <x:c r="CQ153" s="26">
        <x:f t="shared" si="135"/>
        <x:v>112.44630312300008</x:v>
      </x:c>
      <x:c r="CR153" s="26">
        <x:f t="shared" si="136"/>
        <x:v>340.30304000000001</x:v>
      </x:c>
      <x:c r="CS153" s="26">
        <x:f t="shared" si="137"/>
        <x:v>303.84199999999998</x:v>
      </x:c>
      <x:c r="CT153" s="26">
        <x:f t="shared" si="110"/>
        <x:v>27.667147606559514</x:v>
      </x:c>
      <x:c r="CU153" s="26">
        <x:f t="shared" si="111"/>
        <x:v>18.921784857360024</x:v>
      </x:c>
      <x:c r="CV153" s="26">
        <x:f t="shared" si="112"/>
        <x:v>3.7843569714720048E-2</x:v>
      </x:c>
      <x:c r="CW153" s="26">
        <x:f t="shared" si="113"/>
        <x:v>0</x:v>
      </x:c>
      <x:c r="CX153" s="26">
        <x:f t="shared" si="138"/>
        <x:v>6.0768399999999998</x:v>
      </x:c>
      <x:c r="CY153" s="26">
        <x:f t="shared" si="139"/>
        <x:v>0</x:v>
      </x:c>
    </x:row>
    <x:row r="154">
      <x:c r="A154" s="18">
        <x:v>2022</x:v>
      </x:c>
      <x:c r="B154" t="s">
        <x:v>370</x:v>
      </x:c>
      <x:c r="C154" t="s">
        <x:v>371</x:v>
      </x:c>
      <x:c r="D154" t="s">
        <x:v>372</x:v>
      </x:c>
      <x:c r="E154" s="18">
        <x:v>440605</x:v>
      </x:c>
      <x:c r="F154" t="s">
        <x:v>366</x:v>
      </x:c>
      <x:c r="G154" t="s">
        <x:v>362</x:v>
      </x:c>
      <x:c r="H154" s="18">
        <x:v>4412</x:v>
      </x:c>
      <x:c r="I154" t="s">
        <x:v>108</x:v>
      </x:c>
      <x:c r="J154" t="s">
        <x:v>78</x:v>
      </x:c>
      <x:c r="K154" t="s">
        <x:v>109</x:v>
      </x:c>
      <x:c r="L154" s="20">
        <x:v>2.5</x:v>
      </x:c>
      <x:c r="M154" t="s">
        <x:v>125</x:v>
      </x:c>
      <x:c r="N154" s="18">
        <x:v>130</x:v>
      </x:c>
      <x:c r="O154" t="s">
        <x:v>88</x:v>
      </x:c>
      <x:c r="P154" s="18">
        <x:v>4</x:v>
      </x:c>
      <x:c r="Q154" s="19" t="s">
        <x:v>111</x:v>
      </x:c>
      <x:c r="R154" s="18">
        <x:v>135632</x:v>
      </x:c>
      <x:c r="S154" t="s">
        <x:v>112</x:v>
      </x:c>
      <x:c r="T154" s="19">
        <x:f t="shared" si="148"/>
        <x:v>135632</x:v>
      </x:c>
      <x:c r="U154" s="20">
        <x:v>0.69</x:v>
      </x:c>
      <x:c r="V154" t="s">
        <x:v>113</x:v>
      </x:c>
      <x:c r="W154" s="20">
        <x:v>18.690000000000001</x:v>
      </x:c>
      <x:c r="X154" s="21">
        <x:f t="shared" si="149"/>
        <x:v>1590.96336</x:v>
      </x:c>
      <x:c r="Y154" s="21" t="n">
        <x:f>8.96*T154/1000</x:f>
        <x:v>1215.2627200000002</x:v>
      </x:c>
      <x:c r="Z154" s="21">
        <x:f t="shared" si="152"/>
        <x:v>271.26400000000001</x:v>
      </x:c>
      <x:c r="AA154" s="21" t="n">
        <x:f>W154/100*(1-0.44)*0.29*T154</x:f>
        <x:v>4116.778417920001</x:v>
      </x:c>
      <x:c r="AB154" s="21" t="n">
        <x:f>W154/100*(1-0.44)*0.07*T154</x:f>
        <x:v>993.7051353600003</x:v>
      </x:c>
      <x:c r="AC154" s="21">
        <x:f t="shared" si="153"/>
        <x:v>1.9874102707200008</x:v>
      </x:c>
      <x:c r="AD154" s="21"/>
      <x:c r="AE154" s="21">
        <x:f t="shared" si="151"/>
        <x:v>5.4252799999999999</x:v>
      </x:c>
      <x:c r="AF154" s="21"/>
      <x:c r="AG154" s="19" t="s">
        <x:v>78</x:v>
      </x:c>
      <x:c r="AH154" t="s">
        <x:v>78</x:v>
      </x:c>
      <x:c r="AI154" t="s">
        <x:v>78</x:v>
      </x:c>
      <x:c r="AJ154" s="19"/>
      <x:c r="AK154" s="19" t="s">
        <x:v>78</x:v>
      </x:c>
      <x:c r="AL154" t="s">
        <x:v>78</x:v>
      </x:c>
      <x:c r="AM154" s="19" t="s">
        <x:v>78</x:v>
      </x:c>
      <x:c r="AN154" s="21"/>
      <x:c r="AO154" s="21"/>
      <x:c r="AP154" s="21"/>
      <x:c r="AQ154" s="21"/>
      <x:c r="AR154" s="21"/>
      <x:c r="AS154" s="21"/>
      <x:c r="AT154" s="21"/>
      <x:c r="AU154" s="21"/>
      <x:c r="AV154" s="21"/>
      <x:c r="AW154" t="s">
        <x:v>78</x:v>
      </x:c>
      <x:c r="AX154" s="19"/>
      <x:c r="AY154" s="21"/>
      <x:c r="AZ154" s="21"/>
      <x:c r="BA154" s="21"/>
      <x:c r="BB154" s="21"/>
      <x:c r="BC154" s="21"/>
      <x:c r="BD154" s="21"/>
      <x:c r="BE154" s="21"/>
      <x:c r="BF154" s="21"/>
      <x:c r="BG154" s="21"/>
      <x:c r="BH154" t="s">
        <x:v>81</x:v>
      </x:c>
      <x:c r="BI154" s="18">
        <x:v>112</x:v>
      </x:c>
      <x:c r="BJ154" s="18">
        <x:v>59</x:v>
      </x:c>
      <x:c r="BK154" s="18">
        <x:v>58.74</x:v>
      </x:c>
      <x:c r="BL154" s="18">
        <x:v>22</x:v>
      </x:c>
      <x:c r="BM154" s="18">
        <x:v>56</x:v>
      </x:c>
      <x:c r="BN154" s="18">
        <x:v>19</x:v>
      </x:c>
      <x:c r="BO154" s="22">
        <x:v>112.99965</x:v>
      </x:c>
      <x:c r="BP154" s="22">
        <x:v>22.938611111111101</x:v>
      </x:c>
      <x:c r="BQ154" s="18">
        <x:v>240</x:v>
      </x:c>
      <x:c r="BR154" s="18">
        <x:v>102066.67200000001</x:v>
      </x:c>
      <x:c r="BS154" s="18">
        <x:v>556.86400000000003</x:v>
      </x:c>
      <x:c r="BT154" s="18">
        <x:v>18.242000000000001</x:v>
      </x:c>
      <x:c r="BU154" s="18">
        <x:v>162.75800000000001</x:v>
      </x:c>
      <x:c r="BV154" s="18">
        <x:v>29.291</x:v>
      </x:c>
      <x:c r="BW154" s="18">
        <x:v>22772.287</x:v>
      </x:c>
      <x:c r="BX154" s="18">
        <x:v>2.548</x:v>
      </x:c>
      <x:c r="BY154" s="18">
        <x:v>3879.0749999999998</x:v>
      </x:c>
      <x:c r="BZ154" s="18">
        <x:v>3879.0749999999998</x:v>
      </x:c>
      <x:c r="CA154" s="23">
        <x:f t="shared" si="126"/>
        <x:v>1590.96336</x:v>
      </x:c>
      <x:c r="CB154" s="23">
        <x:f t="shared" si="127"/>
        <x:v>1215.2627200000002</x:v>
      </x:c>
      <x:c r="CC154" s="23">
        <x:f t="shared" si="128"/>
        <x:v>271.26400000000001</x:v>
      </x:c>
      <x:c r="CD154" s="23">
        <x:f t="shared" si="129"/>
        <x:v>4116.7784179200007</x:v>
      </x:c>
      <x:c r="CE154" s="23">
        <x:f t="shared" si="130"/>
        <x:v>993.70513536000033</x:v>
      </x:c>
      <x:c r="CF154" s="23">
        <x:f t="shared" si="131"/>
        <x:v>1.9874102707200008</x:v>
      </x:c>
      <x:c r="CG154" s="23">
        <x:f t="shared" si="132"/>
        <x:v>0</x:v>
      </x:c>
      <x:c r="CH154" s="23">
        <x:f t="shared" si="133"/>
        <x:v>5.4252799999999999</x:v>
      </x:c>
      <x:c r="CI154" s="23">
        <x:f t="shared" si="134"/>
        <x:v>0</x:v>
      </x:c>
      <x:c r="CJ154" s="24" t="s">
        <x:v>153</x:v>
      </x:c>
      <x:c r="CK154" s="29">
        <x:v>93.69</x:v>
      </x:c>
      <x:c r="CL154" s="26" t="s">
        <x:v>97</x:v>
      </x:c>
      <x:c r="CM154" s="28">
        <x:v>75</x:v>
      </x:c>
      <x:c r="CN154" s="30" t="s">
        <x:v>168</x:v>
      </x:c>
      <x:c r="CO154" s="27">
        <x:v>99.4</x:v>
      </x:c>
      <x:c r="CP154" s="27">
        <x:v>98.3</x:v>
      </x:c>
      <x:c r="CQ154" s="26">
        <x:f t="shared" si="135"/>
        <x:v>100.38978801600007</x:v>
      </x:c>
      <x:c r="CR154" s="26">
        <x:f t="shared" si="136"/>
        <x:v>303.81568000000004</x:v>
      </x:c>
      <x:c r="CS154" s="26">
        <x:f t="shared" si="137"/>
        <x:v>271.26400000000001</x:v>
      </x:c>
      <x:c r="CT154" s="26">
        <x:f t="shared" si="110"/>
        <x:v>24.700670507519568</x:v>
      </x:c>
      <x:c r="CU154" s="26">
        <x:f t="shared" si="111"/>
        <x:v>16.892987301120019</x:v>
      </x:c>
      <x:c r="CV154" s="26">
        <x:f t="shared" si="112"/>
        <x:v>3.3785974602240046E-2</x:v>
      </x:c>
      <x:c r="CW154" s="26">
        <x:f t="shared" si="113"/>
        <x:v>0</x:v>
      </x:c>
      <x:c r="CX154" s="26">
        <x:f t="shared" si="138"/>
        <x:v>5.4252799999999999</x:v>
      </x:c>
      <x:c r="CY154" s="26">
        <x:f t="shared" si="139"/>
        <x:v>0</x:v>
      </x:c>
    </x:row>
    <x:row r="155">
      <x:c r="A155" s="18">
        <x:v>2022</x:v>
      </x:c>
      <x:c r="B155" t="s">
        <x:v>373</x:v>
      </x:c>
      <x:c r="C155" t="s">
        <x:v>374</x:v>
      </x:c>
      <x:c r="D155" t="s">
        <x:v>375</x:v>
      </x:c>
      <x:c r="E155" s="18">
        <x:v>440605</x:v>
      </x:c>
      <x:c r="F155" t="s">
        <x:v>366</x:v>
      </x:c>
      <x:c r="G155" t="s">
        <x:v>362</x:v>
      </x:c>
      <x:c r="H155" s="18">
        <x:v>4412</x:v>
      </x:c>
      <x:c r="I155" t="s">
        <x:v>108</x:v>
      </x:c>
      <x:c r="J155" t="s">
        <x:v>78</x:v>
      </x:c>
      <x:c r="K155" t="s">
        <x:v>109</x:v>
      </x:c>
      <x:c r="L155" s="20">
        <x:v>30</x:v>
      </x:c>
      <x:c r="M155" t="s">
        <x:v>110</x:v>
      </x:c>
      <x:c r="N155" s="18">
        <x:v>1025</x:v>
      </x:c>
      <x:c r="O155" t="s">
        <x:v>88</x:v>
      </x:c>
      <x:c r="P155" s="18">
        <x:v>2</x:v>
      </x:c>
      <x:c r="Q155" s="19" t="s">
        <x:v>231</x:v>
      </x:c>
      <x:c r="R155" s="18">
        <x:v>317420.09000000003</x:v>
      </x:c>
      <x:c r="S155" t="s">
        <x:v>112</x:v>
      </x:c>
      <x:c r="T155" s="19">
        <x:f t="shared" si="148"/>
        <x:v>317420.09000000003</x:v>
      </x:c>
      <x:c r="U155" s="20">
        <x:v>0.36</x:v>
      </x:c>
      <x:c r="V155" t="s">
        <x:v>113</x:v>
      </x:c>
      <x:c r="W155" s="20">
        <x:v>7.4</x:v>
      </x:c>
      <x:c r="X155" s="21">
        <x:f t="shared" si="149"/>
        <x:v>1942.6109508</x:v>
      </x:c>
      <x:c r="Y155" s="21" t="n">
        <x:f>7.21*T155/1000</x:f>
        <x:v>2288.5988489</x:v>
      </x:c>
      <x:c r="Z155" s="21">
        <x:f t="shared" si="152"/>
        <x:v>634.84018000000003</x:v>
      </x:c>
      <x:c r="AA155" s="21" t="n">
        <x:f>W155/100*(1-0.25)*0.23*T155</x:f>
        <x:v>4051.867448850001</x:v>
      </x:c>
      <x:c r="AB155" s="21" t="n">
        <x:f>W155/100*(1-0.25)*0.06*T155</x:f>
        <x:v>1057.0088997000003</x:v>
      </x:c>
      <x:c r="AC155" s="21" t="n">
        <x:f t="shared" ref="AC155:AC160" si="154">0.002*AB155</x:f>
        <x:v>2.1140177994000005</x:v>
      </x:c>
      <x:c r="AD155" s="21"/>
      <x:c r="AE155" s="21">
        <x:f t="shared" si="151"/>
        <x:v>12.696803600000001</x:v>
      </x:c>
      <x:c r="AF155" s="21"/>
      <x:c r="AG155" s="19" t="s">
        <x:v>78</x:v>
      </x:c>
      <x:c r="AH155" t="s">
        <x:v>78</x:v>
      </x:c>
      <x:c r="AI155" t="s">
        <x:v>78</x:v>
      </x:c>
      <x:c r="AJ155" s="19"/>
      <x:c r="AK155" s="19" t="s">
        <x:v>78</x:v>
      </x:c>
      <x:c r="AL155" t="s">
        <x:v>78</x:v>
      </x:c>
      <x:c r="AM155" s="19" t="s">
        <x:v>78</x:v>
      </x:c>
      <x:c r="AN155" s="21"/>
      <x:c r="AO155" s="21"/>
      <x:c r="AP155" s="21"/>
      <x:c r="AQ155" s="21"/>
      <x:c r="AR155" s="21"/>
      <x:c r="AS155" s="21"/>
      <x:c r="AT155" s="21"/>
      <x:c r="AU155" s="21"/>
      <x:c r="AV155" s="21"/>
      <x:c r="AW155" t="s">
        <x:v>78</x:v>
      </x:c>
      <x:c r="AX155" s="19"/>
      <x:c r="AY155" s="21"/>
      <x:c r="AZ155" s="21"/>
      <x:c r="BA155" s="21"/>
      <x:c r="BB155" s="21"/>
      <x:c r="BC155" s="21"/>
      <x:c r="BD155" s="21"/>
      <x:c r="BE155" s="21"/>
      <x:c r="BF155" s="21"/>
      <x:c r="BG155" s="21"/>
      <x:c r="BH155" t="s">
        <x:v>81</x:v>
      </x:c>
      <x:c r="BI155" s="18">
        <x:v>112</x:v>
      </x:c>
      <x:c r="BJ155" s="18">
        <x:v>55</x:v>
      </x:c>
      <x:c r="BK155" s="18">
        <x:v>6.92</x:v>
      </x:c>
      <x:c r="BL155" s="18">
        <x:v>22</x:v>
      </x:c>
      <x:c r="BM155" s="18">
        <x:v>53</x:v>
      </x:c>
      <x:c r="BN155" s="18">
        <x:v>12.62</x:v>
      </x:c>
      <x:c r="BO155" s="22">
        <x:v>112.918588888889</x:v>
      </x:c>
      <x:c r="BP155" s="22">
        <x:v>22.886838888888899</x:v>
      </x:c>
      <x:c r="BQ155" s="18">
        <x:v>210</x:v>
      </x:c>
      <x:c r="BR155" s="18">
        <x:v>280898.25</x:v>
      </x:c>
      <x:c r="BS155" s="18">
        <x:v>3116.1060000000002</x:v>
      </x:c>
      <x:c r="BT155" s="18">
        <x:v>5.0389999999999997</x:v>
      </x:c>
      <x:c r="BU155" s="18">
        <x:v>1621.9480000000001</x:v>
      </x:c>
      <x:c r="BV155" s="18">
        <x:v>103.004</x:v>
      </x:c>
      <x:c r="BW155" s="18">
        <x:v>29218.519</x:v>
      </x:c>
      <x:c r="BX155" s="18">
        <x:v>4.3600000000000003</x:v>
      </x:c>
      <x:c r="BY155" s="18">
        <x:v>961.78300000000002</x:v>
      </x:c>
      <x:c r="BZ155" s="18">
        <x:v>961.78300000000002</x:v>
      </x:c>
      <x:c r="CA155" s="23">
        <x:f t="shared" si="126"/>
        <x:v>1942.6109508</x:v>
      </x:c>
      <x:c r="CB155" s="23">
        <x:f t="shared" si="127"/>
        <x:v>2288.5988489000001</x:v>
      </x:c>
      <x:c r="CC155" s="23">
        <x:f t="shared" si="128"/>
        <x:v>634.84018000000003</x:v>
      </x:c>
      <x:c r="CD155" s="23">
        <x:f t="shared" si="129"/>
        <x:v>4051.867448850001</x:v>
      </x:c>
      <x:c r="CE155" s="23">
        <x:f t="shared" si="130"/>
        <x:v>1057.0088997000003</x:v>
      </x:c>
      <x:c r="CF155" s="23">
        <x:f t="shared" si="131"/>
        <x:v>2.1140177994000005</x:v>
      </x:c>
      <x:c r="CG155" s="23">
        <x:f t="shared" si="132"/>
        <x:v>0</x:v>
      </x:c>
      <x:c r="CH155" s="23">
        <x:f t="shared" si="133"/>
        <x:v>12.696803600000001</x:v>
      </x:c>
      <x:c r="CI155" s="23">
        <x:f t="shared" si="134"/>
        <x:v>0</x:v>
      </x:c>
      <x:c r="CJ155" s="24" t="s">
        <x:v>202</x:v>
      </x:c>
      <x:c r="CK155" s="25">
        <x:v>97.9</x:v>
      </x:c>
      <x:c r="CL155" s="26" t="s">
        <x:v>97</x:v>
      </x:c>
      <x:c r="CM155" s="28">
        <x:v>83</x:v>
      </x:c>
      <x:c r="CN155" s="30" t="s">
        <x:v>369</x:v>
      </x:c>
      <x:c r="CO155" s="27">
        <x:v>99.4</x:v>
      </x:c>
      <x:c r="CP155" s="27">
        <x:v>98.3</x:v>
      </x:c>
      <x:c r="CQ155" s="26">
        <x:f t="shared" si="135"/>
        <x:v>40.794829966799817</x:v>
      </x:c>
      <x:c r="CR155" s="26">
        <x:f t="shared" si="136"/>
        <x:v>389.0618043130001</x:v>
      </x:c>
      <x:c r="CS155" s="26">
        <x:f t="shared" si="137"/>
        <x:v>634.84018000000003</x:v>
      </x:c>
      <x:c r="CT155" s="26">
        <x:f t="shared" si="110"/>
        <x:v>24.311204693099576</x:v>
      </x:c>
      <x:c r="CU155" s="26">
        <x:f t="shared" si="111"/>
        <x:v>17.969151294900019</x:v>
      </x:c>
      <x:c r="CV155" s="26">
        <x:f t="shared" si="112"/>
        <x:v>3.593830258980004E-2</x:v>
      </x:c>
      <x:c r="CW155" s="26">
        <x:f t="shared" si="113"/>
        <x:v>0</x:v>
      </x:c>
      <x:c r="CX155" s="26">
        <x:f t="shared" si="138"/>
        <x:v>12.696803600000001</x:v>
      </x:c>
      <x:c r="CY155" s="26">
        <x:f t="shared" si="139"/>
        <x:v>0</x:v>
      </x:c>
    </x:row>
    <x:row r="156">
      <x:c r="A156" s="18">
        <x:v>2022</x:v>
      </x:c>
      <x:c r="B156" t="s">
        <x:v>373</x:v>
      </x:c>
      <x:c r="C156" t="s">
        <x:v>374</x:v>
      </x:c>
      <x:c r="D156" t="s">
        <x:v>375</x:v>
      </x:c>
      <x:c r="E156" s="18">
        <x:v>440605</x:v>
      </x:c>
      <x:c r="F156" t="s">
        <x:v>366</x:v>
      </x:c>
      <x:c r="G156" t="s">
        <x:v>362</x:v>
      </x:c>
      <x:c r="H156" s="18">
        <x:v>4412</x:v>
      </x:c>
      <x:c r="I156" t="s">
        <x:v>108</x:v>
      </x:c>
      <x:c r="J156" t="s">
        <x:v>78</x:v>
      </x:c>
      <x:c r="K156" t="s">
        <x:v>109</x:v>
      </x:c>
      <x:c r="L156" s="20">
        <x:v>30</x:v>
      </x:c>
      <x:c r="M156" t="s">
        <x:v>110</x:v>
      </x:c>
      <x:c r="N156" s="18">
        <x:v>1025</x:v>
      </x:c>
      <x:c r="O156" t="s">
        <x:v>88</x:v>
      </x:c>
      <x:c r="P156" s="18">
        <x:v>2</x:v>
      </x:c>
      <x:c r="Q156" s="19" t="s">
        <x:v>231</x:v>
      </x:c>
      <x:c r="R156" s="18">
        <x:v>502905.46</x:v>
      </x:c>
      <x:c r="S156" t="s">
        <x:v>112</x:v>
      </x:c>
      <x:c r="T156" s="19">
        <x:f t="shared" si="148"/>
        <x:v>502905.46</x:v>
      </x:c>
      <x:c r="U156" s="20">
        <x:v>0.39</x:v>
      </x:c>
      <x:c r="V156" t="s">
        <x:v>113</x:v>
      </x:c>
      <x:c r="W156" s="20">
        <x:v>7.75</x:v>
      </x:c>
      <x:c r="X156" s="21">
        <x:f t="shared" si="149"/>
        <x:v>3334.2631998000002</x:v>
      </x:c>
      <x:c r="Y156" s="21" t="n">
        <x:f>7.21*T156/1000</x:f>
        <x:v>3625.9483666</x:v>
      </x:c>
      <x:c r="Z156" s="21">
        <x:f t="shared" si="152"/>
        <x:v>1005.81092</x:v>
      </x:c>
      <x:c r="AA156" s="21" t="n">
        <x:f>W156/100*(1-0.25)*0.23*T156</x:f>
        <x:v>6723.217368375001</x:v>
      </x:c>
      <x:c r="AB156" s="21" t="n">
        <x:f>W156/100*(1-0.25)*0.06*T156</x:f>
        <x:v>1753.88279175</x:v>
      </x:c>
      <x:c r="AC156" s="21">
        <x:f t="shared" si="154"/>
        <x:v>3.5077655835000003</x:v>
      </x:c>
      <x:c r="AD156" s="21"/>
      <x:c r="AE156" s="21">
        <x:f t="shared" si="151"/>
        <x:v>20.116218400000001</x:v>
      </x:c>
      <x:c r="AF156" s="21"/>
      <x:c r="AG156" s="19" t="s">
        <x:v>78</x:v>
      </x:c>
      <x:c r="AH156" t="s">
        <x:v>78</x:v>
      </x:c>
      <x:c r="AI156" t="s">
        <x:v>78</x:v>
      </x:c>
      <x:c r="AJ156" s="19"/>
      <x:c r="AK156" s="19" t="s">
        <x:v>78</x:v>
      </x:c>
      <x:c r="AL156" t="s">
        <x:v>78</x:v>
      </x:c>
      <x:c r="AM156" s="19" t="s">
        <x:v>78</x:v>
      </x:c>
      <x:c r="AN156" s="21"/>
      <x:c r="AO156" s="21"/>
      <x:c r="AP156" s="21"/>
      <x:c r="AQ156" s="21"/>
      <x:c r="AR156" s="21"/>
      <x:c r="AS156" s="21"/>
      <x:c r="AT156" s="21"/>
      <x:c r="AU156" s="21"/>
      <x:c r="AV156" s="21"/>
      <x:c r="AW156" t="s">
        <x:v>78</x:v>
      </x:c>
      <x:c r="AX156" s="19"/>
      <x:c r="AY156" s="21"/>
      <x:c r="AZ156" s="21"/>
      <x:c r="BA156" s="21"/>
      <x:c r="BB156" s="21"/>
      <x:c r="BC156" s="21"/>
      <x:c r="BD156" s="21"/>
      <x:c r="BE156" s="21"/>
      <x:c r="BF156" s="21"/>
      <x:c r="BG156" s="21"/>
      <x:c r="BH156" t="s">
        <x:v>81</x:v>
      </x:c>
      <x:c r="BI156" s="18">
        <x:v>112</x:v>
      </x:c>
      <x:c r="BJ156" s="18">
        <x:v>55</x:v>
      </x:c>
      <x:c r="BK156" s="18">
        <x:v>8.8000000000000007</x:v>
      </x:c>
      <x:c r="BL156" s="18">
        <x:v>22</x:v>
      </x:c>
      <x:c r="BM156" s="18">
        <x:v>53</x:v>
      </x:c>
      <x:c r="BN156" s="18">
        <x:v>11.87</x:v>
      </x:c>
      <x:c r="BO156" s="22">
        <x:v>112.91911111111099</x:v>
      </x:c>
      <x:c r="BP156" s="22">
        <x:v>22.886630555555602</x:v>
      </x:c>
      <x:c r="BQ156" s="18">
        <x:v>210</x:v>
      </x:c>
      <x:c r="BR156" s="18">
        <x:v>334715.69</x:v>
      </x:c>
      <x:c r="BS156" s="18">
        <x:v>2254.2370000000001</x:v>
      </x:c>
      <x:c r="BT156" s="18">
        <x:v>8.4390000000000001</x:v>
      </x:c>
      <x:c r="BU156" s="18">
        <x:v>946.45100000000002</x:v>
      </x:c>
      <x:c r="BV156" s="18">
        <x:v>99.962999999999994</x:v>
      </x:c>
      <x:c r="BW156" s="18">
        <x:v>46292.447999999997</x:v>
      </x:c>
      <x:c r="BX156" s="18">
        <x:v>10.736000000000001</x:v>
      </x:c>
      <x:c r="BY156" s="18">
        <x:v>1523.8040000000001</x:v>
      </x:c>
      <x:c r="BZ156" s="18">
        <x:v>1523.8040000000001</x:v>
      </x:c>
      <x:c r="CA156" s="23">
        <x:f t="shared" si="126"/>
        <x:v>3334.2631998000002</x:v>
      </x:c>
      <x:c r="CB156" s="23">
        <x:f t="shared" si="127"/>
        <x:v>3625.9483666000001</x:v>
      </x:c>
      <x:c r="CC156" s="23">
        <x:f t="shared" si="128"/>
        <x:v>1005.81092</x:v>
      </x:c>
      <x:c r="CD156" s="23">
        <x:f t="shared" si="129"/>
        <x:v>6723.2173683750007</x:v>
      </x:c>
      <x:c r="CE156" s="23">
        <x:f t="shared" si="130"/>
        <x:v>1753.88279175</x:v>
      </x:c>
      <x:c r="CF156" s="23">
        <x:f t="shared" si="131"/>
        <x:v>3.5077655835000003</x:v>
      </x:c>
      <x:c r="CG156" s="23">
        <x:f t="shared" si="132"/>
        <x:v>0</x:v>
      </x:c>
      <x:c r="CH156" s="23">
        <x:f t="shared" si="133"/>
        <x:v>20.116218400000001</x:v>
      </x:c>
      <x:c r="CI156" s="23">
        <x:f t="shared" si="134"/>
        <x:v>0</x:v>
      </x:c>
      <x:c r="CJ156" s="24" t="s">
        <x:v>202</x:v>
      </x:c>
      <x:c r="CK156" s="25">
        <x:v>97.9</x:v>
      </x:c>
      <x:c r="CL156" s="26" t="s">
        <x:v>97</x:v>
      </x:c>
      <x:c r="CM156" s="28">
        <x:v>83</x:v>
      </x:c>
      <x:c r="CN156" s="30" t="s">
        <x:v>369</x:v>
      </x:c>
      <x:c r="CO156" s="27">
        <x:v>99.4</x:v>
      </x:c>
      <x:c r="CP156" s="27">
        <x:v>98.3</x:v>
      </x:c>
      <x:c r="CQ156" s="26">
        <x:f t="shared" si="135"/>
        <x:v>70.019527195799697</x:v>
      </x:c>
      <x:c r="CR156" s="26">
        <x:f t="shared" si="136"/>
        <x:v>616.41122232200019</x:v>
      </x:c>
      <x:c r="CS156" s="26">
        <x:f t="shared" si="137"/>
        <x:v>1005.81092</x:v>
      </x:c>
      <x:c r="CT156" s="26">
        <x:f t="shared" si="110"/>
        <x:v>40.339304210249296</x:v>
      </x:c>
      <x:c r="CU156" s="26">
        <x:f t="shared" si="111"/>
        <x:v>29.816007459750026</x:v>
      </x:c>
      <x:c r="CV156" s="26">
        <x:f t="shared" si="112"/>
        <x:v>5.9632014919500057E-2</x:v>
      </x:c>
      <x:c r="CW156" s="26">
        <x:f t="shared" si="113"/>
        <x:v>0</x:v>
      </x:c>
      <x:c r="CX156" s="26">
        <x:f t="shared" si="138"/>
        <x:v>20.116218400000001</x:v>
      </x:c>
      <x:c r="CY156" s="26">
        <x:f t="shared" si="139"/>
        <x:v>0</x:v>
      </x:c>
    </x:row>
    <x:row r="157">
      <x:c r="A157" s="18">
        <x:v>2022</x:v>
      </x:c>
      <x:c r="B157" t="s">
        <x:v>376</x:v>
      </x:c>
      <x:c r="C157" t="s">
        <x:v>377</x:v>
      </x:c>
      <x:c r="D157" t="s">
        <x:v>378</x:v>
      </x:c>
      <x:c r="E157" s="18">
        <x:v>440606</x:v>
      </x:c>
      <x:c r="F157" t="s">
        <x:v>379</x:v>
      </x:c>
      <x:c r="G157" t="s">
        <x:v>362</x:v>
      </x:c>
      <x:c r="H157" s="18">
        <x:v>1713</x:v>
      </x:c>
      <x:c r="I157" t="s">
        <x:v>162</x:v>
      </x:c>
      <x:c r="J157" t="s">
        <x:v>78</x:v>
      </x:c>
      <x:c r="K157" t="s">
        <x:v>109</x:v>
      </x:c>
      <x:c r="L157" s="20">
        <x:v>0.3</x:v>
      </x:c>
      <x:c r="M157" t="s">
        <x:v>380</x:v>
      </x:c>
      <x:c r="N157" s="18">
        <x:v>35</x:v>
      </x:c>
      <x:c r="O157" t="s">
        <x:v>74</x:v>
      </x:c>
      <x:c r="P157" s="18">
        <x:v>4</x:v>
      </x:c>
      <x:c r="Q157" s="19" t="s">
        <x:v>111</x:v>
      </x:c>
      <x:c r="R157" s="18">
        <x:v>12792</x:v>
      </x:c>
      <x:c r="S157" t="s">
        <x:v>112</x:v>
      </x:c>
      <x:c r="T157" s="19">
        <x:f t="shared" si="148"/>
        <x:v>12792</x:v>
      </x:c>
      <x:c r="U157" s="20">
        <x:v>0.43</x:v>
      </x:c>
      <x:c r="V157" t="s">
        <x:v>113</x:v>
      </x:c>
      <x:c r="W157" s="20">
        <x:v>17.5</x:v>
      </x:c>
      <x:c r="X157" s="21">
        <x:f t="shared" si="149"/>
        <x:v>93.509519999999995</x:v>
      </x:c>
      <x:c r="Y157" s="21" t="n">
        <x:f>8.96*T157/1000</x:f>
        <x:v>114.61632</x:v>
      </x:c>
      <x:c r="Z157" s="21" t="n">
        <x:f>8*T157/1000</x:f>
        <x:v>102.336</x:v>
      </x:c>
      <x:c r="AA157" s="21" t="n">
        <x:f>W157/100*(1-0.85)*0.33*T157</x:f>
        <x:v>110.81070000000003</x:v>
      </x:c>
      <x:c r="AB157" s="21" t="n">
        <x:f>W157/100*(1-0.85)*0.1*T157</x:f>
        <x:v>33.57900000000001</x:v>
      </x:c>
      <x:c r="AC157" s="21">
        <x:f t="shared" si="154"/>
        <x:v>6.7158000000000023E-2</x:v>
      </x:c>
      <x:c r="AD157" s="21"/>
      <x:c r="AE157" s="21">
        <x:f t="shared" si="151"/>
        <x:v>0.51168000000000002</x:v>
      </x:c>
      <x:c r="AF157" s="21"/>
      <x:c r="AG157" s="19" t="s">
        <x:v>78</x:v>
      </x:c>
      <x:c r="AH157" t="s">
        <x:v>78</x:v>
      </x:c>
      <x:c r="AI157" t="s">
        <x:v>78</x:v>
      </x:c>
      <x:c r="AJ157" s="19"/>
      <x:c r="AK157" s="19" t="s">
        <x:v>78</x:v>
      </x:c>
      <x:c r="AL157" t="s">
        <x:v>78</x:v>
      </x:c>
      <x:c r="AM157" s="19" t="s">
        <x:v>78</x:v>
      </x:c>
      <x:c r="AN157" s="21"/>
      <x:c r="AO157" s="21"/>
      <x:c r="AP157" s="21"/>
      <x:c r="AQ157" s="21"/>
      <x:c r="AR157" s="21"/>
      <x:c r="AS157" s="21"/>
      <x:c r="AT157" s="21"/>
      <x:c r="AU157" s="21"/>
      <x:c r="AV157" s="21"/>
      <x:c r="AW157" t="s">
        <x:v>78</x:v>
      </x:c>
      <x:c r="AX157" s="19"/>
      <x:c r="AY157" s="21"/>
      <x:c r="AZ157" s="21"/>
      <x:c r="BA157" s="21"/>
      <x:c r="BB157" s="21"/>
      <x:c r="BC157" s="21"/>
      <x:c r="BD157" s="21"/>
      <x:c r="BE157" s="21"/>
      <x:c r="BF157" s="21"/>
      <x:c r="BG157" s="21"/>
      <x:c r="BH157" t="s">
        <x:v>81</x:v>
      </x:c>
      <x:c r="BI157" s="18">
        <x:v>113</x:v>
      </x:c>
      <x:c r="BJ157" s="18">
        <x:v>16</x:v>
      </x:c>
      <x:c r="BK157" s="18">
        <x:v>46</x:v>
      </x:c>
      <x:c r="BL157" s="18">
        <x:v>22</x:v>
      </x:c>
      <x:c r="BM157" s="18">
        <x:v>44</x:v>
      </x:c>
      <x:c r="BN157" s="18">
        <x:v>35</x:v>
      </x:c>
      <x:c r="BO157" s="22">
        <x:v>113.279444444444</x:v>
      </x:c>
      <x:c r="BP157" s="22">
        <x:v>22.7430555555556</x:v>
      </x:c>
      <x:c r="BQ157" s="18">
        <x:v>55</x:v>
      </x:c>
      <x:c r="BR157" s="18">
        <x:v>1210.83</x:v>
      </x:c>
      <x:c r="BS157" s="18">
        <x:v>82.507999999999996</x:v>
      </x:c>
      <x:c r="BT157" s="18">
        <x:v>2.569</x:v>
      </x:c>
      <x:c r="BU157" s="18">
        <x:v>42.085999999999999</x:v>
      </x:c>
      <x:c r="BV157" s="18">
        <x:v>4.6349999999999998</x:v>
      </x:c>
      <x:c r="BW157" s="18">
        <x:v>1161.8330000000001</x:v>
      </x:c>
      <x:c r="BX157" s="18">
        <x:v>0.77500000000000002</x:v>
      </x:c>
      <x:c r="BY157" s="18">
        <x:v>81.228999999999999</x:v>
      </x:c>
      <x:c r="BZ157" s="18">
        <x:v>81.228999999999999</x:v>
      </x:c>
      <x:c r="CA157" s="23">
        <x:f t="shared" si="126"/>
        <x:v>93.509519999999995</x:v>
      </x:c>
      <x:c r="CB157" s="23">
        <x:f t="shared" si="127"/>
        <x:v>114.61632</x:v>
      </x:c>
      <x:c r="CC157" s="23">
        <x:f t="shared" si="128"/>
        <x:v>102.336</x:v>
      </x:c>
      <x:c r="CD157" s="23">
        <x:f t="shared" si="129"/>
        <x:v>110.81070000000003</x:v>
      </x:c>
      <x:c r="CE157" s="23">
        <x:f t="shared" si="130"/>
        <x:v>33.579000000000008</x:v>
      </x:c>
      <x:c r="CF157" s="23">
        <x:f t="shared" si="131"/>
        <x:v>6.7158000000000023E-2</x:v>
      </x:c>
      <x:c r="CG157" s="23">
        <x:f t="shared" si="132"/>
        <x:v>0</x:v>
      </x:c>
      <x:c r="CH157" s="23">
        <x:f t="shared" si="133"/>
        <x:v>0.51168000000000002</x:v>
      </x:c>
      <x:c r="CI157" s="23">
        <x:f t="shared" si="134"/>
        <x:v>0</x:v>
      </x:c>
      <x:c r="CJ157" s="24" t="s">
        <x:v>381</x:v>
      </x:c>
      <x:c r="CK157" s="25">
        <x:v>92.5</x:v>
      </x:c>
      <x:c r="CL157" s="26" t="s">
        <x:v>127</x:v>
      </x:c>
      <x:c r="CM157" s="26">
        <x:v>69.540000000000006</x:v>
      </x:c>
      <x:c r="CN157" s="27" t="s">
        <x:v>124</x:v>
      </x:c>
      <x:c r="CO157" s="27">
        <x:v>99.8</x:v>
      </x:c>
      <x:c r="CP157" s="27">
        <x:v>99.6</x:v>
      </x:c>
      <x:c r="CQ157" s="26">
        <x:f t="shared" si="135"/>
        <x:v>7.0132139999999952</x:v>
      </x:c>
      <x:c r="CR157" s="26">
        <x:f t="shared" si="136"/>
        <x:v>34.912131072000001</x:v>
      </x:c>
      <x:c r="CS157" s="26">
        <x:f t="shared" si="137"/>
        <x:v>102.336</x:v>
      </x:c>
      <x:c r="CT157" s="26">
        <x:f t="shared" si="110"/>
        <x:v>0.22162140000000025</x:v>
      </x:c>
      <x:c r="CU157" s="26">
        <x:f t="shared" si="111"/>
        <x:v>0.13431600000000016</x:v>
      </x:c>
      <x:c r="CV157" s="26">
        <x:f t="shared" si="112"/>
        <x:v>2.6863200000000031E-4</x:v>
      </x:c>
      <x:c r="CW157" s="26">
        <x:f t="shared" si="113"/>
        <x:v>0</x:v>
      </x:c>
      <x:c r="CX157" s="26">
        <x:f t="shared" si="138"/>
        <x:v>0.51168000000000002</x:v>
      </x:c>
      <x:c r="CY157" s="26">
        <x:f t="shared" si="139"/>
        <x:v>0</x:v>
      </x:c>
    </x:row>
    <x:row r="158">
      <x:c r="A158" s="18">
        <x:v>2022</x:v>
      </x:c>
      <x:c r="B158" t="s">
        <x:v>376</x:v>
      </x:c>
      <x:c r="C158" t="s">
        <x:v>377</x:v>
      </x:c>
      <x:c r="D158" t="s">
        <x:v>378</x:v>
      </x:c>
      <x:c r="E158" s="18">
        <x:v>440606</x:v>
      </x:c>
      <x:c r="F158" t="s">
        <x:v>379</x:v>
      </x:c>
      <x:c r="G158" t="s">
        <x:v>362</x:v>
      </x:c>
      <x:c r="H158" s="18">
        <x:v>1713</x:v>
      </x:c>
      <x:c r="I158" t="s">
        <x:v>162</x:v>
      </x:c>
      <x:c r="J158" t="s">
        <x:v>78</x:v>
      </x:c>
      <x:c r="K158" t="s">
        <x:v>109</x:v>
      </x:c>
      <x:c r="L158" s="20">
        <x:v>0.6</x:v>
      </x:c>
      <x:c r="M158" t="s">
        <x:v>380</x:v>
      </x:c>
      <x:c r="N158" s="18">
        <x:v>35</x:v>
      </x:c>
      <x:c r="O158" t="s">
        <x:v>74</x:v>
      </x:c>
      <x:c r="P158" s="18">
        <x:v>4</x:v>
      </x:c>
      <x:c r="Q158" s="19" t="s">
        <x:v>111</x:v>
      </x:c>
      <x:c r="R158" s="18">
        <x:v>25720</x:v>
      </x:c>
      <x:c r="S158" t="s">
        <x:v>112</x:v>
      </x:c>
      <x:c r="T158" s="19">
        <x:f t="shared" si="148"/>
        <x:v>25720</x:v>
      </x:c>
      <x:c r="U158" s="20">
        <x:v>0.43</x:v>
      </x:c>
      <x:c r="V158" t="s">
        <x:v>113</x:v>
      </x:c>
      <x:c r="W158" s="20">
        <x:v>17.5</x:v>
      </x:c>
      <x:c r="X158" s="21">
        <x:f t="shared" si="149"/>
        <x:v>188.01319999999998</x:v>
      </x:c>
      <x:c r="Y158" s="21" t="n">
        <x:f>8.96*T158/1000</x:f>
        <x:v>230.4512</x:v>
      </x:c>
      <x:c r="Z158" s="21" t="n">
        <x:f>8*T158/1000</x:f>
        <x:v>205.76</x:v>
      </x:c>
      <x:c r="AA158" s="21" t="n">
        <x:f>W158/100*(1-0.85)*0.33*T158</x:f>
        <x:v>222.79950000000005</x:v>
      </x:c>
      <x:c r="AB158" s="21" t="n">
        <x:f>W158/100*(1-0.85)*0.1*T158</x:f>
        <x:v>67.51500000000001</x:v>
      </x:c>
      <x:c r="AC158" s="21">
        <x:f t="shared" si="154"/>
        <x:v>0.13503000000000004</x:v>
      </x:c>
      <x:c r="AD158" s="21"/>
      <x:c r="AE158" s="21">
        <x:f t="shared" si="151"/>
        <x:v>1.0287999999999999</x:v>
      </x:c>
      <x:c r="AF158" s="21"/>
      <x:c r="AG158" s="19" t="s">
        <x:v>78</x:v>
      </x:c>
      <x:c r="AH158" t="s">
        <x:v>78</x:v>
      </x:c>
      <x:c r="AI158" t="s">
        <x:v>78</x:v>
      </x:c>
      <x:c r="AJ158" s="19"/>
      <x:c r="AK158" s="19" t="s">
        <x:v>78</x:v>
      </x:c>
      <x:c r="AL158" t="s">
        <x:v>78</x:v>
      </x:c>
      <x:c r="AM158" s="19" t="s">
        <x:v>78</x:v>
      </x:c>
      <x:c r="AN158" s="21"/>
      <x:c r="AO158" s="21"/>
      <x:c r="AP158" s="21"/>
      <x:c r="AQ158" s="21"/>
      <x:c r="AR158" s="21"/>
      <x:c r="AS158" s="21"/>
      <x:c r="AT158" s="21"/>
      <x:c r="AU158" s="21"/>
      <x:c r="AV158" s="21"/>
      <x:c r="AW158" t="s">
        <x:v>78</x:v>
      </x:c>
      <x:c r="AX158" s="19"/>
      <x:c r="AY158" s="21"/>
      <x:c r="AZ158" s="21"/>
      <x:c r="BA158" s="21"/>
      <x:c r="BB158" s="21"/>
      <x:c r="BC158" s="21"/>
      <x:c r="BD158" s="21"/>
      <x:c r="BE158" s="21"/>
      <x:c r="BF158" s="21"/>
      <x:c r="BG158" s="21"/>
      <x:c r="BH158" t="s">
        <x:v>81</x:v>
      </x:c>
      <x:c r="BI158" s="18">
        <x:v>113</x:v>
      </x:c>
      <x:c r="BJ158" s="18">
        <x:v>16</x:v>
      </x:c>
      <x:c r="BK158" s="18">
        <x:v>46</x:v>
      </x:c>
      <x:c r="BL158" s="18">
        <x:v>22</x:v>
      </x:c>
      <x:c r="BM158" s="18">
        <x:v>44</x:v>
      </x:c>
      <x:c r="BN158" s="18">
        <x:v>35</x:v>
      </x:c>
      <x:c r="BO158" s="22">
        <x:v>113.279444444444</x:v>
      </x:c>
      <x:c r="BP158" s="22">
        <x:v>22.7430555555556</x:v>
      </x:c>
      <x:c r="BQ158" s="18">
        <x:v>55</x:v>
      </x:c>
      <x:c r="BR158" s="18">
        <x:v>2421.6799999999998</x:v>
      </x:c>
      <x:c r="BS158" s="18">
        <x:v>165.89400000000001</x:v>
      </x:c>
      <x:c r="BT158" s="18">
        <x:v>5.1390000000000002</x:v>
      </x:c>
      <x:c r="BU158" s="18">
        <x:v>79.474999999999994</x:v>
      </x:c>
      <x:c r="BV158" s="18">
        <x:v>9.2710000000000008</x:v>
      </x:c>
      <x:c r="BW158" s="18">
        <x:v>562.625</x:v>
      </x:c>
      <x:c r="BX158" s="18">
        <x:v>1.5509999999999999</x:v>
      </x:c>
      <x:c r="BY158" s="18">
        <x:v>163.322</x:v>
      </x:c>
      <x:c r="BZ158" s="18">
        <x:v>163.322</x:v>
      </x:c>
      <x:c r="CA158" s="23">
        <x:f t="shared" si="126"/>
        <x:v>188.01319999999998</x:v>
      </x:c>
      <x:c r="CB158" s="23">
        <x:f t="shared" si="127"/>
        <x:v>230.4512</x:v>
      </x:c>
      <x:c r="CC158" s="23">
        <x:f t="shared" si="128"/>
        <x:v>205.76</x:v>
      </x:c>
      <x:c r="CD158" s="23">
        <x:f t="shared" si="129"/>
        <x:v>222.79950000000005</x:v>
      </x:c>
      <x:c r="CE158" s="23">
        <x:f t="shared" si="130"/>
        <x:v>67.515000000000015</x:v>
      </x:c>
      <x:c r="CF158" s="23">
        <x:f t="shared" si="131"/>
        <x:v>0.13503000000000004</x:v>
      </x:c>
      <x:c r="CG158" s="23">
        <x:f t="shared" si="132"/>
        <x:v>0</x:v>
      </x:c>
      <x:c r="CH158" s="23">
        <x:f t="shared" si="133"/>
        <x:v>1.0287999999999999</x:v>
      </x:c>
      <x:c r="CI158" s="23">
        <x:f t="shared" si="134"/>
        <x:v>0</x:v>
      </x:c>
      <x:c r="CJ158" s="24" t="s">
        <x:v>381</x:v>
      </x:c>
      <x:c r="CK158" s="25">
        <x:v>92.5</x:v>
      </x:c>
      <x:c r="CL158" s="26" t="s">
        <x:v>127</x:v>
      </x:c>
      <x:c r="CM158" s="26">
        <x:v>69.540000000000006</x:v>
      </x:c>
      <x:c r="CN158" s="27" t="s">
        <x:v>124</x:v>
      </x:c>
      <x:c r="CO158" s="27">
        <x:v>99.8</x:v>
      </x:c>
      <x:c r="CP158" s="27">
        <x:v>99.6</x:v>
      </x:c>
      <x:c r="CQ158" s="26">
        <x:f t="shared" si="135"/>
        <x:v>14.100989999999991</x:v>
      </x:c>
      <x:c r="CR158" s="26">
        <x:f t="shared" si="136"/>
        <x:v>70.19543551999999</x:v>
      </x:c>
      <x:c r="CS158" s="26">
        <x:f t="shared" si="137"/>
        <x:v>205.76</x:v>
      </x:c>
      <x:c r="CT158" s="26" t="n">
        <x:f t="shared" ref="CT158:CT221" si="155">CD158*(1-CO158/100)</x:f>
        <x:v>0.4455990000000005</x:v>
      </x:c>
      <x:c r="CU158" s="26" t="n">
        <x:f t="shared" ref="CU158:CU221" si="156">CE158*(1-CP158/100)</x:f>
        <x:v>0.2700600000000003</x:v>
      </x:c>
      <x:c r="CV158" s="26" t="n">
        <x:f t="shared" ref="CV158:CV221" si="157">CF158*(1-CP158/100)</x:f>
        <x:v>0.0005401200000000006</x:v>
      </x:c>
      <x:c r="CW158" s="26" t="n">
        <x:f t="shared" ref="CW158:CW221" si="158">CG158*(1-CP158/100)</x:f>
        <x:v>0</x:v>
      </x:c>
      <x:c r="CX158" s="26">
        <x:f t="shared" si="138"/>
        <x:v>1.0287999999999999</x:v>
      </x:c>
      <x:c r="CY158" s="26">
        <x:f t="shared" si="139"/>
        <x:v>0</x:v>
      </x:c>
    </x:row>
    <x:row r="159">
      <x:c r="A159" s="18">
        <x:v>2022</x:v>
      </x:c>
      <x:c r="B159" t="s">
        <x:v>376</x:v>
      </x:c>
      <x:c r="C159" t="s">
        <x:v>377</x:v>
      </x:c>
      <x:c r="D159" t="s">
        <x:v>378</x:v>
      </x:c>
      <x:c r="E159" s="18">
        <x:v>440606</x:v>
      </x:c>
      <x:c r="F159" t="s">
        <x:v>379</x:v>
      </x:c>
      <x:c r="G159" t="s">
        <x:v>362</x:v>
      </x:c>
      <x:c r="H159" s="18">
        <x:v>1713</x:v>
      </x:c>
      <x:c r="I159" t="s">
        <x:v>162</x:v>
      </x:c>
      <x:c r="J159" t="s">
        <x:v>78</x:v>
      </x:c>
      <x:c r="K159" t="s">
        <x:v>109</x:v>
      </x:c>
      <x:c r="L159" s="20">
        <x:v>0.3</x:v>
      </x:c>
      <x:c r="M159" t="s">
        <x:v>380</x:v>
      </x:c>
      <x:c r="N159" s="18">
        <x:v>35</x:v>
      </x:c>
      <x:c r="O159" t="s">
        <x:v>74</x:v>
      </x:c>
      <x:c r="P159" s="18">
        <x:v>4</x:v>
      </x:c>
      <x:c r="Q159" s="19" t="s">
        <x:v>111</x:v>
      </x:c>
      <x:c r="R159" s="18">
        <x:v>12908</x:v>
      </x:c>
      <x:c r="S159" t="s">
        <x:v>112</x:v>
      </x:c>
      <x:c r="T159" s="19">
        <x:f t="shared" si="148"/>
        <x:v>12908</x:v>
      </x:c>
      <x:c r="U159" s="20">
        <x:v>0.43</x:v>
      </x:c>
      <x:c r="V159" t="s">
        <x:v>113</x:v>
      </x:c>
      <x:c r="W159" s="20">
        <x:v>17.5</x:v>
      </x:c>
      <x:c r="X159" s="21">
        <x:f t="shared" si="149"/>
        <x:v>94.357479999999995</x:v>
      </x:c>
      <x:c r="Y159" s="21" t="n">
        <x:f>8.96*T159/1000</x:f>
        <x:v>115.65568</x:v>
      </x:c>
      <x:c r="Z159" s="21" t="n">
        <x:f>8*T159/1000</x:f>
        <x:v>103.264</x:v>
      </x:c>
      <x:c r="AA159" s="21" t="n">
        <x:f>W159/100*(1-0.85)*0.33*T159</x:f>
        <x:v>111.81555000000003</x:v>
      </x:c>
      <x:c r="AB159" s="21" t="n">
        <x:f>W159/100*(1-0.85)*0.1*T159</x:f>
        <x:v>33.883500000000005</x:v>
      </x:c>
      <x:c r="AC159" s="21">
        <x:f t="shared" si="154"/>
        <x:v>6.7767000000000008E-2</x:v>
      </x:c>
      <x:c r="AD159" s="21"/>
      <x:c r="AE159" s="21">
        <x:f t="shared" si="151"/>
        <x:v>0.51632</x:v>
      </x:c>
      <x:c r="AF159" s="21"/>
      <x:c r="AG159" s="19" t="s">
        <x:v>78</x:v>
      </x:c>
      <x:c r="AH159" t="s">
        <x:v>78</x:v>
      </x:c>
      <x:c r="AI159" t="s">
        <x:v>78</x:v>
      </x:c>
      <x:c r="AJ159" s="19"/>
      <x:c r="AK159" s="19" t="s">
        <x:v>78</x:v>
      </x:c>
      <x:c r="AL159" t="s">
        <x:v>78</x:v>
      </x:c>
      <x:c r="AM159" s="19" t="s">
        <x:v>78</x:v>
      </x:c>
      <x:c r="AN159" s="21"/>
      <x:c r="AO159" s="21"/>
      <x:c r="AP159" s="21"/>
      <x:c r="AQ159" s="21"/>
      <x:c r="AR159" s="21"/>
      <x:c r="AS159" s="21"/>
      <x:c r="AT159" s="21"/>
      <x:c r="AU159" s="21"/>
      <x:c r="AV159" s="21"/>
      <x:c r="AW159" t="s">
        <x:v>78</x:v>
      </x:c>
      <x:c r="AX159" s="19"/>
      <x:c r="AY159" s="21"/>
      <x:c r="AZ159" s="21"/>
      <x:c r="BA159" s="21"/>
      <x:c r="BB159" s="21"/>
      <x:c r="BC159" s="21"/>
      <x:c r="BD159" s="21"/>
      <x:c r="BE159" s="21"/>
      <x:c r="BF159" s="21"/>
      <x:c r="BG159" s="21"/>
      <x:c r="BH159" t="s">
        <x:v>81</x:v>
      </x:c>
      <x:c r="BI159" s="18">
        <x:v>113</x:v>
      </x:c>
      <x:c r="BJ159" s="18">
        <x:v>16</x:v>
      </x:c>
      <x:c r="BK159" s="18">
        <x:v>46</x:v>
      </x:c>
      <x:c r="BL159" s="18">
        <x:v>22</x:v>
      </x:c>
      <x:c r="BM159" s="18">
        <x:v>44</x:v>
      </x:c>
      <x:c r="BN159" s="18">
        <x:v>35</x:v>
      </x:c>
      <x:c r="BO159" s="22">
        <x:v>113.279444444444</x:v>
      </x:c>
      <x:c r="BP159" s="22">
        <x:v>22.7430555555556</x:v>
      </x:c>
      <x:c r="BQ159" s="18">
        <x:v>55</x:v>
      </x:c>
      <x:c r="BR159" s="18">
        <x:v>1210.83</x:v>
      </x:c>
      <x:c r="BS159" s="18">
        <x:v>83.257000000000005</x:v>
      </x:c>
      <x:c r="BT159" s="18">
        <x:v>2.569</x:v>
      </x:c>
      <x:c r="BU159" s="18">
        <x:v>42.466999999999999</x:v>
      </x:c>
      <x:c r="BV159" s="18">
        <x:v>4.6349999999999998</x:v>
      </x:c>
      <x:c r="BW159" s="18">
        <x:v>1172.3689999999999</x:v>
      </x:c>
      <x:c r="BX159" s="18">
        <x:v>0.77500000000000002</x:v>
      </x:c>
      <x:c r="BY159" s="18">
        <x:v>81.965999999999994</x:v>
      </x:c>
      <x:c r="BZ159" s="18">
        <x:v>81.965999999999994</x:v>
      </x:c>
      <x:c r="CA159" s="23">
        <x:f t="shared" si="126"/>
        <x:v>94.357479999999995</x:v>
      </x:c>
      <x:c r="CB159" s="23">
        <x:f t="shared" si="127"/>
        <x:v>115.65568</x:v>
      </x:c>
      <x:c r="CC159" s="23">
        <x:f t="shared" si="128"/>
        <x:v>103.264</x:v>
      </x:c>
      <x:c r="CD159" s="23">
        <x:f t="shared" si="129"/>
        <x:v>111.81555000000003</x:v>
      </x:c>
      <x:c r="CE159" s="23">
        <x:f t="shared" si="130"/>
        <x:v>33.883500000000005</x:v>
      </x:c>
      <x:c r="CF159" s="23">
        <x:f t="shared" si="131"/>
        <x:v>6.7767000000000008E-2</x:v>
      </x:c>
      <x:c r="CG159" s="23">
        <x:f t="shared" si="132"/>
        <x:v>0</x:v>
      </x:c>
      <x:c r="CH159" s="23">
        <x:f t="shared" si="133"/>
        <x:v>0.51632</x:v>
      </x:c>
      <x:c r="CI159" s="23">
        <x:f t="shared" si="134"/>
        <x:v>0</x:v>
      </x:c>
      <x:c r="CJ159" s="24" t="s">
        <x:v>381</x:v>
      </x:c>
      <x:c r="CK159" s="25">
        <x:v>92.5</x:v>
      </x:c>
      <x:c r="CL159" s="26" t="s">
        <x:v>127</x:v>
      </x:c>
      <x:c r="CM159" s="26">
        <x:v>69.540000000000006</x:v>
      </x:c>
      <x:c r="CN159" s="27" t="s">
        <x:v>124</x:v>
      </x:c>
      <x:c r="CO159" s="27">
        <x:v>99.8</x:v>
      </x:c>
      <x:c r="CP159" s="27">
        <x:v>99.6</x:v>
      </x:c>
      <x:c r="CQ159" s="26">
        <x:f t="shared" si="135"/>
        <x:v>7.0768109999999957</x:v>
      </x:c>
      <x:c r="CR159" s="26">
        <x:f t="shared" si="136"/>
        <x:v>35.228720127999999</x:v>
      </x:c>
      <x:c r="CS159" s="26">
        <x:f t="shared" si="137"/>
        <x:v>103.264</x:v>
      </x:c>
      <x:c r="CT159" s="26">
        <x:f t="shared" si="155"/>
        <x:v>0.22363110000000025</x:v>
      </x:c>
      <x:c r="CU159" s="26">
        <x:f t="shared" si="156"/>
        <x:v>0.13553400000000015</x:v>
      </x:c>
      <x:c r="CV159" s="26">
        <x:f t="shared" si="157"/>
        <x:v>2.7106800000000029E-4</x:v>
      </x:c>
      <x:c r="CW159" s="26">
        <x:f t="shared" si="158"/>
        <x:v>0</x:v>
      </x:c>
      <x:c r="CX159" s="26">
        <x:f t="shared" si="138"/>
        <x:v>0.51632</x:v>
      </x:c>
      <x:c r="CY159" s="26">
        <x:f t="shared" si="139"/>
        <x:v>0</x:v>
      </x:c>
    </x:row>
    <x:row r="160">
      <x:c r="A160" s="18">
        <x:v>2022</x:v>
      </x:c>
      <x:c r="B160" t="s">
        <x:v>376</x:v>
      </x:c>
      <x:c r="C160" t="s">
        <x:v>377</x:v>
      </x:c>
      <x:c r="D160" t="s">
        <x:v>378</x:v>
      </x:c>
      <x:c r="E160" s="18">
        <x:v>440606</x:v>
      </x:c>
      <x:c r="F160" t="s">
        <x:v>379</x:v>
      </x:c>
      <x:c r="G160" t="s">
        <x:v>362</x:v>
      </x:c>
      <x:c r="H160" s="18">
        <x:v>1713</x:v>
      </x:c>
      <x:c r="I160" t="s">
        <x:v>162</x:v>
      </x:c>
      <x:c r="J160" t="s">
        <x:v>78</x:v>
      </x:c>
      <x:c r="K160" t="s">
        <x:v>109</x:v>
      </x:c>
      <x:c r="L160" s="20">
        <x:v>0.3</x:v>
      </x:c>
      <x:c r="M160" t="s">
        <x:v>380</x:v>
      </x:c>
      <x:c r="N160" s="18">
        <x:v>35</x:v>
      </x:c>
      <x:c r="O160" t="s">
        <x:v>74</x:v>
      </x:c>
      <x:c r="P160" s="18">
        <x:v>4</x:v>
      </x:c>
      <x:c r="Q160" s="19" t="s">
        <x:v>111</x:v>
      </x:c>
      <x:c r="R160" s="18">
        <x:v>12880</x:v>
      </x:c>
      <x:c r="S160" t="s">
        <x:v>112</x:v>
      </x:c>
      <x:c r="T160" s="19">
        <x:f t="shared" si="148"/>
        <x:v>12880</x:v>
      </x:c>
      <x:c r="U160" s="20">
        <x:v>0.43</x:v>
      </x:c>
      <x:c r="V160" t="s">
        <x:v>113</x:v>
      </x:c>
      <x:c r="W160" s="20">
        <x:v>17.5</x:v>
      </x:c>
      <x:c r="X160" s="21">
        <x:f t="shared" si="149"/>
        <x:v>94.152799999999999</x:v>
      </x:c>
      <x:c r="Y160" s="21" t="n">
        <x:f>8.96*T160/1000</x:f>
        <x:v>115.40480000000002</x:v>
      </x:c>
      <x:c r="Z160" s="21" t="n">
        <x:f>8*T160/1000</x:f>
        <x:v>103.04</x:v>
      </x:c>
      <x:c r="AA160" s="21" t="n">
        <x:f>W160/100*(1-0.85)*0.33*T160</x:f>
        <x:v>111.57300000000002</x:v>
      </x:c>
      <x:c r="AB160" s="21" t="n">
        <x:f>W160/100*(1-0.85)*0.1*T160</x:f>
        <x:v>33.81000000000001</x:v>
      </x:c>
      <x:c r="AC160" s="21">
        <x:f t="shared" si="154"/>
        <x:v>6.7620000000000013E-2</x:v>
      </x:c>
      <x:c r="AD160" s="21"/>
      <x:c r="AE160" s="21">
        <x:f t="shared" si="151"/>
        <x:v>0.51519999999999999</x:v>
      </x:c>
      <x:c r="AF160" s="21"/>
      <x:c r="AG160" s="19" t="s">
        <x:v>78</x:v>
      </x:c>
      <x:c r="AH160" t="s">
        <x:v>78</x:v>
      </x:c>
      <x:c r="AI160" t="s">
        <x:v>78</x:v>
      </x:c>
      <x:c r="AJ160" s="19"/>
      <x:c r="AK160" s="19" t="s">
        <x:v>78</x:v>
      </x:c>
      <x:c r="AL160" t="s">
        <x:v>78</x:v>
      </x:c>
      <x:c r="AM160" s="19" t="s">
        <x:v>78</x:v>
      </x:c>
      <x:c r="AN160" s="21"/>
      <x:c r="AO160" s="21"/>
      <x:c r="AP160" s="21"/>
      <x:c r="AQ160" s="21"/>
      <x:c r="AR160" s="21"/>
      <x:c r="AS160" s="21"/>
      <x:c r="AT160" s="21"/>
      <x:c r="AU160" s="21"/>
      <x:c r="AV160" s="21"/>
      <x:c r="AW160" t="s">
        <x:v>78</x:v>
      </x:c>
      <x:c r="AX160" s="19"/>
      <x:c r="AY160" s="21"/>
      <x:c r="AZ160" s="21"/>
      <x:c r="BA160" s="21"/>
      <x:c r="BB160" s="21"/>
      <x:c r="BC160" s="21"/>
      <x:c r="BD160" s="21"/>
      <x:c r="BE160" s="21"/>
      <x:c r="BF160" s="21"/>
      <x:c r="BG160" s="21"/>
      <x:c r="BH160" t="s">
        <x:v>81</x:v>
      </x:c>
      <x:c r="BI160" s="18">
        <x:v>113</x:v>
      </x:c>
      <x:c r="BJ160" s="18">
        <x:v>16</x:v>
      </x:c>
      <x:c r="BK160" s="18">
        <x:v>46</x:v>
      </x:c>
      <x:c r="BL160" s="18">
        <x:v>22</x:v>
      </x:c>
      <x:c r="BM160" s="18">
        <x:v>44</x:v>
      </x:c>
      <x:c r="BN160" s="18">
        <x:v>35</x:v>
      </x:c>
      <x:c r="BO160" s="22">
        <x:v>113.279444444444</x:v>
      </x:c>
      <x:c r="BP160" s="22">
        <x:v>22.7430555555556</x:v>
      </x:c>
      <x:c r="BQ160" s="18">
        <x:v>55</x:v>
      </x:c>
      <x:c r="BR160" s="18">
        <x:v>1210.83</x:v>
      </x:c>
      <x:c r="BS160" s="18">
        <x:v>83.075999999999993</x:v>
      </x:c>
      <x:c r="BT160" s="18">
        <x:v>2.569</x:v>
      </x:c>
      <x:c r="BU160" s="18">
        <x:v>42.375</x:v>
      </x:c>
      <x:c r="BV160" s="18">
        <x:v>4.6349999999999998</x:v>
      </x:c>
      <x:c r="BW160" s="18">
        <x:v>1169.826</x:v>
      </x:c>
      <x:c r="BX160" s="18">
        <x:v>0.77500000000000002</x:v>
      </x:c>
      <x:c r="BY160" s="18">
        <x:v>81.787999999999997</x:v>
      </x:c>
      <x:c r="BZ160" s="18">
        <x:v>81.787999999999997</x:v>
      </x:c>
      <x:c r="CA160" s="23">
        <x:f t="shared" si="126"/>
        <x:v>94.152799999999999</x:v>
      </x:c>
      <x:c r="CB160" s="23">
        <x:f t="shared" si="127"/>
        <x:v>115.40480000000002</x:v>
      </x:c>
      <x:c r="CC160" s="23">
        <x:f t="shared" si="128"/>
        <x:v>103.04</x:v>
      </x:c>
      <x:c r="CD160" s="23">
        <x:f t="shared" si="129"/>
        <x:v>111.57300000000002</x:v>
      </x:c>
      <x:c r="CE160" s="23">
        <x:f t="shared" si="130"/>
        <x:v>33.810000000000009</x:v>
      </x:c>
      <x:c r="CF160" s="23">
        <x:f t="shared" si="131"/>
        <x:v>6.7620000000000013E-2</x:v>
      </x:c>
      <x:c r="CG160" s="23">
        <x:f t="shared" si="132"/>
        <x:v>0</x:v>
      </x:c>
      <x:c r="CH160" s="23">
        <x:f t="shared" si="133"/>
        <x:v>0.51519999999999999</x:v>
      </x:c>
      <x:c r="CI160" s="23">
        <x:f t="shared" si="134"/>
        <x:v>0</x:v>
      </x:c>
      <x:c r="CJ160" s="24" t="s">
        <x:v>381</x:v>
      </x:c>
      <x:c r="CK160" s="25">
        <x:v>92.5</x:v>
      </x:c>
      <x:c r="CL160" s="26" t="s">
        <x:v>127</x:v>
      </x:c>
      <x:c r="CM160" s="26">
        <x:v>69.540000000000006</x:v>
      </x:c>
      <x:c r="CN160" s="27" t="s">
        <x:v>124</x:v>
      </x:c>
      <x:c r="CO160" s="27">
        <x:v>99.8</x:v>
      </x:c>
      <x:c r="CP160" s="27">
        <x:v>99.6</x:v>
      </x:c>
      <x:c r="CQ160" s="26">
        <x:f t="shared" si="135"/>
        <x:v>7.0614599999999959</x:v>
      </x:c>
      <x:c r="CR160" s="26">
        <x:f t="shared" si="136"/>
        <x:v>35.152302080000005</x:v>
      </x:c>
      <x:c r="CS160" s="26">
        <x:f t="shared" si="137"/>
        <x:v>103.04</x:v>
      </x:c>
      <x:c r="CT160" s="26">
        <x:f t="shared" si="155"/>
        <x:v>0.22314600000000023</x:v>
      </x:c>
      <x:c r="CU160" s="26">
        <x:f t="shared" si="156"/>
        <x:v>0.13524000000000017</x:v>
      </x:c>
      <x:c r="CV160" s="26">
        <x:f t="shared" si="157"/>
        <x:v>2.704800000000003E-4</x:v>
      </x:c>
      <x:c r="CW160" s="26">
        <x:f t="shared" si="158"/>
        <x:v>0</x:v>
      </x:c>
      <x:c r="CX160" s="26">
        <x:f t="shared" si="138"/>
        <x:v>0.51519999999999999</x:v>
      </x:c>
      <x:c r="CY160" s="26">
        <x:f t="shared" si="139"/>
        <x:v>0</x:v>
      </x:c>
    </x:row>
    <x:row r="161">
      <x:c r="A161" s="18">
        <x:v>2022</x:v>
      </x:c>
      <x:c r="B161" t="s">
        <x:v>382</x:v>
      </x:c>
      <x:c r="C161" t="s">
        <x:v>383</x:v>
      </x:c>
      <x:c r="D161" t="s">
        <x:v>384</x:v>
      </x:c>
      <x:c r="E161" s="18">
        <x:v>440606</x:v>
      </x:c>
      <x:c r="F161" t="s">
        <x:v>379</x:v>
      </x:c>
      <x:c r="G161" t="s">
        <x:v>362</x:v>
      </x:c>
      <x:c r="H161" s="18">
        <x:v>4411</x:v>
      </x:c>
      <x:c r="I161" t="s">
        <x:v>102</x:v>
      </x:c>
      <x:c r="J161" t="s">
        <x:v>385</x:v>
      </x:c>
      <x:c r="K161" t="s">
        <x:v>72</x:v>
      </x:c>
      <x:c r="L161" s="18">
        <x:v>5.9</x:v>
      </x:c>
      <x:c r="M161" t="s">
        <x:v>73</x:v>
      </x:c>
      <x:c r="N161" s="18">
        <x:v>42.78</x:v>
      </x:c>
      <x:c r="O161" t="s">
        <x:v>88</x:v>
      </x:c>
      <x:c r="P161" s="18">
        <x:v>15</x:v>
      </x:c>
      <x:c r="Q161" s="19" t="s">
        <x:v>96</x:v>
      </x:c>
      <x:c r="R161" s="18">
        <x:v>3985.29</x:v>
      </x:c>
      <x:c r="S161" t="s">
        <x:v>76</x:v>
      </x:c>
      <x:c r="T161" s="19">
        <x:f t="shared" si="148"/>
        <x:v>3985.29</x:v>
      </x:c>
      <x:c r="U161" s="20">
        <x:v>60</x:v>
      </x:c>
      <x:c r="V161" t="s">
        <x:v>77</x:v>
      </x:c>
      <x:c r="W161" s="19" t="s">
        <x:v>78</x:v>
      </x:c>
      <x:c r="X161" s="21" t="n">
        <x:f>2*U161*T161*10000/1000000000</x:f>
        <x:v>4.782348</x:v>
      </x:c>
      <x:c r="Y161" s="21" t="n">
        <x:f>4.1*T161*10000/1000000</x:f>
        <x:v>163.39688999999996</x:v>
      </x:c>
      <x:c r="Z161" s="21" t="n">
        <x:f>1.3*T161*10000/1000000</x:f>
        <x:v>51.80877000000001</x:v>
      </x:c>
      <x:c r="AA161" s="21" t="n">
        <x:f>0.03*T161*10000/1000000</x:f>
        <x:v>1.1955869999999997</x:v>
      </x:c>
      <x:c r="AB161" s="21" t="n">
        <x:f>0.03*T161*10000/1000000</x:f>
        <x:v>1.1955869999999997</x:v>
      </x:c>
      <x:c r="AC161" s="21"/>
      <x:c r="AD161" s="21"/>
      <x:c r="AE161" s="21" t="n">
        <x:f>0.02*T161*10000/1000000</x:f>
        <x:v>0.797058</x:v>
      </x:c>
      <x:c r="AF161" s="21"/>
      <x:c r="AG161" s="19" t="s">
        <x:v>78</x:v>
      </x:c>
      <x:c r="AH161" t="s">
        <x:v>78</x:v>
      </x:c>
      <x:c r="AI161" t="s">
        <x:v>78</x:v>
      </x:c>
      <x:c r="AJ161" s="19"/>
      <x:c r="AK161" s="19" t="s">
        <x:v>78</x:v>
      </x:c>
      <x:c r="AL161" t="s">
        <x:v>78</x:v>
      </x:c>
      <x:c r="AM161" s="19" t="s">
        <x:v>78</x:v>
      </x:c>
      <x:c r="AN161" s="21"/>
      <x:c r="AO161" s="21"/>
      <x:c r="AP161" s="21"/>
      <x:c r="AQ161" s="21"/>
      <x:c r="AR161" s="21"/>
      <x:c r="AS161" s="21"/>
      <x:c r="AT161" s="21"/>
      <x:c r="AU161" s="21"/>
      <x:c r="AV161" s="21"/>
      <x:c r="AW161" t="s">
        <x:v>78</x:v>
      </x:c>
      <x:c r="AX161" s="19"/>
      <x:c r="AY161" s="21"/>
      <x:c r="AZ161" s="21"/>
      <x:c r="BA161" s="21"/>
      <x:c r="BB161" s="21"/>
      <x:c r="BC161" s="21"/>
      <x:c r="BD161" s="21"/>
      <x:c r="BE161" s="21"/>
      <x:c r="BF161" s="21"/>
      <x:c r="BG161" s="21"/>
      <x:c r="BH161" t="s">
        <x:v>81</x:v>
      </x:c>
      <x:c r="BI161" s="18">
        <x:v>113</x:v>
      </x:c>
      <x:c r="BJ161" s="18">
        <x:v>12</x:v>
      </x:c>
      <x:c r="BK161" s="18">
        <x:v>2.2999999999999998</x:v>
      </x:c>
      <x:c r="BL161" s="18">
        <x:v>22</x:v>
      </x:c>
      <x:c r="BM161" s="18">
        <x:v>44</x:v>
      </x:c>
      <x:c r="BN161" s="18">
        <x:v>46.82</x:v>
      </x:c>
      <x:c r="BO161" s="22">
        <x:v>113.200638888889</x:v>
      </x:c>
      <x:c r="BP161" s="22">
        <x:v>22.7463388888889</x:v>
      </x:c>
      <x:c r="BQ161" s="18">
        <x:v>30</x:v>
      </x:c>
      <x:c r="BR161" s="18">
        <x:v>83198.880000000005</x:v>
      </x:c>
      <x:c r="BS161" s="18">
        <x:v>4.782</x:v>
      </x:c>
      <x:c r="BT161" s="18">
        <x:v>4.0000000000000001E-3</x:v>
      </x:c>
      <x:c r="BU161" s="18">
        <x:v>34.274000000000001</x:v>
      </x:c>
      <x:c r="BV161" s="18">
        <x:v>7.2229999999999999</x:v>
      </x:c>
      <x:c r="BW161" s="18">
        <x:v>4.141</x:v>
      </x:c>
      <x:c r="BX161" s="18">
        <x:v>3.9E-2</x:v>
      </x:c>
      <x:c r="BY161" s="18">
        <x:v>6695.2870000000003</x:v>
      </x:c>
      <x:c r="BZ161" s="18">
        <x:v>6695.2870000000003</x:v>
      </x:c>
      <x:c r="CA161" s="23">
        <x:f t="shared" si="126"/>
        <x:v>4.7823479999999998</x:v>
      </x:c>
      <x:c r="CB161" s="23">
        <x:f t="shared" si="127"/>
        <x:v>163.39688999999996</x:v>
      </x:c>
      <x:c r="CC161" s="23">
        <x:f t="shared" si="128"/>
        <x:v>51.80877000000001</x:v>
      </x:c>
      <x:c r="CD161" s="23">
        <x:f t="shared" si="129"/>
        <x:v>1.1955869999999997</x:v>
      </x:c>
      <x:c r="CE161" s="23">
        <x:f t="shared" si="130"/>
        <x:v>1.1955869999999997</x:v>
      </x:c>
      <x:c r="CF161" s="23">
        <x:f t="shared" si="131"/>
        <x:v>0</x:v>
      </x:c>
      <x:c r="CG161" s="23">
        <x:f t="shared" si="132"/>
        <x:v>0</x:v>
      </x:c>
      <x:c r="CH161" s="23">
        <x:f t="shared" si="133"/>
        <x:v>0.79705800000000004</x:v>
      </x:c>
      <x:c r="CI161" s="23">
        <x:f t="shared" si="134"/>
        <x:v>0</x:v>
      </x:c>
      <x:c r="CJ161" s="24" t="s">
        <x:v>78</x:v>
      </x:c>
      <x:c r="CK161" s="25">
        <x:v>0</x:v>
      </x:c>
      <x:c r="CL161" s="26" t="s">
        <x:v>78</x:v>
      </x:c>
      <x:c r="CM161" s="26" t="n">
        <x:f>(1-BV161/BU161)*100</x:f>
        <x:v>78.92571628639786</x:v>
      </x:c>
      <x:c r="CN161" s="27" t="s">
        <x:v>78</x:v>
      </x:c>
      <x:c r="CO161" s="27">
        <x:v>0</x:v>
      </x:c>
      <x:c r="CP161" s="27">
        <x:v>0</x:v>
      </x:c>
      <x:c r="CQ161" s="26">
        <x:f t="shared" si="135"/>
        <x:v>4.7823479999999998</x:v>
      </x:c>
      <x:c r="CR161" s="26">
        <x:f t="shared" si="136"/>
        <x:v>34.434724177802394</x:v>
      </x:c>
      <x:c r="CS161" s="26">
        <x:f t="shared" si="137"/>
        <x:v>51.80877000000001</x:v>
      </x:c>
      <x:c r="CT161" s="26">
        <x:f t="shared" si="155"/>
        <x:v>1.1955869999999997</x:v>
      </x:c>
      <x:c r="CU161" s="26">
        <x:f t="shared" si="156"/>
        <x:v>1.1955869999999997</x:v>
      </x:c>
      <x:c r="CV161" s="26">
        <x:f t="shared" si="157"/>
        <x:v>0</x:v>
      </x:c>
      <x:c r="CW161" s="26">
        <x:f t="shared" si="158"/>
        <x:v>0</x:v>
      </x:c>
      <x:c r="CX161" s="26">
        <x:f t="shared" si="138"/>
        <x:v>0.79705800000000004</x:v>
      </x:c>
      <x:c r="CY161" s="26">
        <x:f t="shared" si="139"/>
        <x:v>0</x:v>
      </x:c>
    </x:row>
    <x:row r="162">
      <x:c r="A162" s="18">
        <x:v>2022</x:v>
      </x:c>
      <x:c r="B162" t="s">
        <x:v>382</x:v>
      </x:c>
      <x:c r="C162" t="s">
        <x:v>383</x:v>
      </x:c>
      <x:c r="D162" t="s">
        <x:v>384</x:v>
      </x:c>
      <x:c r="E162" s="18">
        <x:v>440606</x:v>
      </x:c>
      <x:c r="F162" t="s">
        <x:v>379</x:v>
      </x:c>
      <x:c r="G162" t="s">
        <x:v>362</x:v>
      </x:c>
      <x:c r="H162" s="18">
        <x:v>4411</x:v>
      </x:c>
      <x:c r="I162" t="s">
        <x:v>102</x:v>
      </x:c>
      <x:c r="J162" t="s">
        <x:v>385</x:v>
      </x:c>
      <x:c r="K162" t="s">
        <x:v>72</x:v>
      </x:c>
      <x:c r="L162" s="18">
        <x:v>5.9</x:v>
      </x:c>
      <x:c r="M162" t="s">
        <x:v>73</x:v>
      </x:c>
      <x:c r="N162" s="18">
        <x:v>42.78</x:v>
      </x:c>
      <x:c r="O162" t="s">
        <x:v>88</x:v>
      </x:c>
      <x:c r="P162" s="18">
        <x:v>15</x:v>
      </x:c>
      <x:c r="Q162" s="19" t="s">
        <x:v>96</x:v>
      </x:c>
      <x:c r="R162" s="18">
        <x:v>4560.4660000000003</x:v>
      </x:c>
      <x:c r="S162" t="s">
        <x:v>76</x:v>
      </x:c>
      <x:c r="T162" s="19">
        <x:f t="shared" si="148"/>
        <x:v>4560.4660000000003</x:v>
      </x:c>
      <x:c r="U162" s="20">
        <x:v>60</x:v>
      </x:c>
      <x:c r="V162" t="s">
        <x:v>77</x:v>
      </x:c>
      <x:c r="W162" s="19" t="s">
        <x:v>78</x:v>
      </x:c>
      <x:c r="X162" s="21" t="n">
        <x:f>2*U162*T162*10000/1000000000</x:f>
        <x:v>5.4725592</x:v>
      </x:c>
      <x:c r="Y162" s="21" t="n">
        <x:f>4.1*T162*10000/1000000</x:f>
        <x:v>186.979106</x:v>
      </x:c>
      <x:c r="Z162" s="21" t="n">
        <x:f>1.3*T162*10000/1000000</x:f>
        <x:v>59.286058</x:v>
      </x:c>
      <x:c r="AA162" s="21" t="n">
        <x:f>0.03*T162*10000/1000000</x:f>
        <x:v>1.3681398</x:v>
      </x:c>
      <x:c r="AB162" s="21" t="n">
        <x:f>0.03*T162*10000/1000000</x:f>
        <x:v>1.3681398</x:v>
      </x:c>
      <x:c r="AC162" s="21"/>
      <x:c r="AD162" s="21"/>
      <x:c r="AE162" s="21" t="n">
        <x:f>0.02*T162*10000/1000000</x:f>
        <x:v>0.9120932</x:v>
      </x:c>
      <x:c r="AF162" s="21"/>
      <x:c r="AG162" s="19" t="s">
        <x:v>78</x:v>
      </x:c>
      <x:c r="AH162" t="s">
        <x:v>78</x:v>
      </x:c>
      <x:c r="AI162" t="s">
        <x:v>78</x:v>
      </x:c>
      <x:c r="AJ162" s="19"/>
      <x:c r="AK162" s="19" t="s">
        <x:v>78</x:v>
      </x:c>
      <x:c r="AL162" t="s">
        <x:v>78</x:v>
      </x:c>
      <x:c r="AM162" s="19" t="s">
        <x:v>78</x:v>
      </x:c>
      <x:c r="AN162" s="21"/>
      <x:c r="AO162" s="21"/>
      <x:c r="AP162" s="21"/>
      <x:c r="AQ162" s="21"/>
      <x:c r="AR162" s="21"/>
      <x:c r="AS162" s="21"/>
      <x:c r="AT162" s="21"/>
      <x:c r="AU162" s="21"/>
      <x:c r="AV162" s="21"/>
      <x:c r="AW162" t="s">
        <x:v>78</x:v>
      </x:c>
      <x:c r="AX162" s="19"/>
      <x:c r="AY162" s="21"/>
      <x:c r="AZ162" s="21"/>
      <x:c r="BA162" s="21"/>
      <x:c r="BB162" s="21"/>
      <x:c r="BC162" s="21"/>
      <x:c r="BD162" s="21"/>
      <x:c r="BE162" s="21"/>
      <x:c r="BF162" s="21"/>
      <x:c r="BG162" s="21"/>
      <x:c r="BH162" t="s">
        <x:v>79</x:v>
      </x:c>
      <x:c r="BI162" s="18">
        <x:v>113</x:v>
      </x:c>
      <x:c r="BJ162" s="18">
        <x:v>12</x:v>
      </x:c>
      <x:c r="BK162" s="18">
        <x:v>2.2999999999999998</x:v>
      </x:c>
      <x:c r="BL162" s="18">
        <x:v>22</x:v>
      </x:c>
      <x:c r="BM162" s="18">
        <x:v>44</x:v>
      </x:c>
      <x:c r="BN162" s="18">
        <x:v>46.82</x:v>
      </x:c>
      <x:c r="BO162" s="22">
        <x:v>113.200638888889</x:v>
      </x:c>
      <x:c r="BP162" s="22">
        <x:v>22.7463388888889</x:v>
      </x:c>
      <x:c r="BQ162" s="18">
        <x:v>30</x:v>
      </x:c>
      <x:c r="BR162" s="18">
        <x:v>95206.524999999994</x:v>
      </x:c>
      <x:c r="BS162" s="18">
        <x:v>5.4729999999999999</x:v>
      </x:c>
      <x:c r="BT162" s="18">
        <x:v>4.0000000000000001E-3</x:v>
      </x:c>
      <x:c r="BU162" s="18">
        <x:v>39.22</x:v>
      </x:c>
      <x:c r="BV162" s="18">
        <x:v>14.37</x:v>
      </x:c>
      <x:c r="BW162" s="18">
        <x:v>4.7380000000000004</x:v>
      </x:c>
      <x:c r="BX162" s="18">
        <x:v>0.107</x:v>
      </x:c>
      <x:c r="BY162" s="18">
        <x:v>7661.5829999999996</x:v>
      </x:c>
      <x:c r="BZ162" s="18">
        <x:v>7661.5829999999996</x:v>
      </x:c>
      <x:c r="CA162" s="23">
        <x:f t="shared" si="126"/>
        <x:v>5.4725592000000001</x:v>
      </x:c>
      <x:c r="CB162" s="23">
        <x:f t="shared" si="127"/>
        <x:v>186.979106</x:v>
      </x:c>
      <x:c r="CC162" s="23">
        <x:f t="shared" si="128"/>
        <x:v>59.286057999999997</x:v>
      </x:c>
      <x:c r="CD162" s="23">
        <x:f t="shared" si="129"/>
        <x:v>1.3681398</x:v>
      </x:c>
      <x:c r="CE162" s="23">
        <x:f t="shared" si="130"/>
        <x:v>1.3681398</x:v>
      </x:c>
      <x:c r="CF162" s="23">
        <x:f t="shared" si="131"/>
        <x:v>0</x:v>
      </x:c>
      <x:c r="CG162" s="23">
        <x:f t="shared" si="132"/>
        <x:v>0</x:v>
      </x:c>
      <x:c r="CH162" s="23">
        <x:f t="shared" si="133"/>
        <x:v>0.91209320000000005</x:v>
      </x:c>
      <x:c r="CI162" s="23">
        <x:f t="shared" si="134"/>
        <x:v>0</x:v>
      </x:c>
      <x:c r="CJ162" s="24" t="s">
        <x:v>78</x:v>
      </x:c>
      <x:c r="CK162" s="25">
        <x:v>0</x:v>
      </x:c>
      <x:c r="CL162" s="26" t="s">
        <x:v>78</x:v>
      </x:c>
      <x:c r="CM162" s="26" t="n">
        <x:f>(1-BV162/BU162)*100</x:f>
        <x:v>63.360530341662425</x:v>
      </x:c>
      <x:c r="CN162" s="27" t="s">
        <x:v>78</x:v>
      </x:c>
      <x:c r="CO162" s="27">
        <x:v>0</x:v>
      </x:c>
      <x:c r="CP162" s="27">
        <x:v>0</x:v>
      </x:c>
      <x:c r="CQ162" s="26">
        <x:f t="shared" si="135"/>
        <x:v>5.4725592000000001</x:v>
      </x:c>
      <x:c r="CR162" s="26">
        <x:f t="shared" si="136"/>
        <x:v>68.508152810300857</x:v>
      </x:c>
      <x:c r="CS162" s="26">
        <x:f t="shared" si="137"/>
        <x:v>59.286057999999997</x:v>
      </x:c>
      <x:c r="CT162" s="26">
        <x:f t="shared" si="155"/>
        <x:v>1.3681398</x:v>
      </x:c>
      <x:c r="CU162" s="26">
        <x:f t="shared" si="156"/>
        <x:v>1.3681398</x:v>
      </x:c>
      <x:c r="CV162" s="26">
        <x:f t="shared" si="157"/>
        <x:v>0</x:v>
      </x:c>
      <x:c r="CW162" s="26">
        <x:f t="shared" si="158"/>
        <x:v>0</x:v>
      </x:c>
      <x:c r="CX162" s="26">
        <x:f t="shared" si="138"/>
        <x:v>0.91209320000000005</x:v>
      </x:c>
      <x:c r="CY162" s="26">
        <x:f t="shared" si="139"/>
        <x:v>0</x:v>
      </x:c>
    </x:row>
    <x:row r="163">
      <x:c r="A163" s="18">
        <x:v>2022</x:v>
      </x:c>
      <x:c r="B163" t="s">
        <x:v>382</x:v>
      </x:c>
      <x:c r="C163" t="s">
        <x:v>383</x:v>
      </x:c>
      <x:c r="D163" t="s">
        <x:v>384</x:v>
      </x:c>
      <x:c r="E163" s="18">
        <x:v>440606</x:v>
      </x:c>
      <x:c r="F163" t="s">
        <x:v>379</x:v>
      </x:c>
      <x:c r="G163" t="s">
        <x:v>362</x:v>
      </x:c>
      <x:c r="H163" s="18">
        <x:v>4411</x:v>
      </x:c>
      <x:c r="I163" t="s">
        <x:v>102</x:v>
      </x:c>
      <x:c r="J163" t="s">
        <x:v>385</x:v>
      </x:c>
      <x:c r="K163" t="s">
        <x:v>72</x:v>
      </x:c>
      <x:c r="L163" s="18">
        <x:v>4.75</x:v>
      </x:c>
      <x:c r="M163" t="s">
        <x:v>73</x:v>
      </x:c>
      <x:c r="N163" s="18">
        <x:v>43.02</x:v>
      </x:c>
      <x:c r="O163" t="s">
        <x:v>88</x:v>
      </x:c>
      <x:c r="P163" s="18">
        <x:v>15</x:v>
      </x:c>
      <x:c r="Q163" s="19" t="s">
        <x:v>96</x:v>
      </x:c>
      <x:c r="R163" s="18">
        <x:v>3355.9859999999999</x:v>
      </x:c>
      <x:c r="S163" t="s">
        <x:v>76</x:v>
      </x:c>
      <x:c r="T163" s="19">
        <x:f t="shared" si="148"/>
        <x:v>3355.9859999999999</x:v>
      </x:c>
      <x:c r="U163" s="20">
        <x:v>60</x:v>
      </x:c>
      <x:c r="V163" t="s">
        <x:v>77</x:v>
      </x:c>
      <x:c r="W163" s="19" t="s">
        <x:v>78</x:v>
      </x:c>
      <x:c r="X163" s="21" t="n">
        <x:f>2*U163*T163*10000/1000000000</x:f>
        <x:v>4.0271832</x:v>
      </x:c>
      <x:c r="Y163" s="21" t="n">
        <x:f>4.1*T163*10000/1000000</x:f>
        <x:v>137.595426</x:v>
      </x:c>
      <x:c r="Z163" s="21" t="n">
        <x:f>1.3*T163*10000/1000000</x:f>
        <x:v>43.627818</x:v>
      </x:c>
      <x:c r="AA163" s="21" t="n">
        <x:f>0.03*T163*10000/1000000</x:f>
        <x:v>1.0067958</x:v>
      </x:c>
      <x:c r="AB163" s="21" t="n">
        <x:f>0.03*T163*10000/1000000</x:f>
        <x:v>1.0067958</x:v>
      </x:c>
      <x:c r="AC163" s="21"/>
      <x:c r="AD163" s="21"/>
      <x:c r="AE163" s="21" t="n">
        <x:f>0.02*T163*10000/1000000</x:f>
        <x:v>0.6711971999999999</x:v>
      </x:c>
      <x:c r="AF163" s="21"/>
      <x:c r="AG163" s="19" t="s">
        <x:v>78</x:v>
      </x:c>
      <x:c r="AH163" t="s">
        <x:v>78</x:v>
      </x:c>
      <x:c r="AI163" t="s">
        <x:v>78</x:v>
      </x:c>
      <x:c r="AJ163" s="19"/>
      <x:c r="AK163" s="19" t="s">
        <x:v>78</x:v>
      </x:c>
      <x:c r="AL163" t="s">
        <x:v>78</x:v>
      </x:c>
      <x:c r="AM163" s="19" t="s">
        <x:v>78</x:v>
      </x:c>
      <x:c r="AN163" s="21"/>
      <x:c r="AO163" s="21"/>
      <x:c r="AP163" s="21"/>
      <x:c r="AQ163" s="21"/>
      <x:c r="AR163" s="21"/>
      <x:c r="AS163" s="21"/>
      <x:c r="AT163" s="21"/>
      <x:c r="AU163" s="21"/>
      <x:c r="AV163" s="21"/>
      <x:c r="AW163" t="s">
        <x:v>78</x:v>
      </x:c>
      <x:c r="AX163" s="19"/>
      <x:c r="AY163" s="21"/>
      <x:c r="AZ163" s="21"/>
      <x:c r="BA163" s="21"/>
      <x:c r="BB163" s="21"/>
      <x:c r="BC163" s="21"/>
      <x:c r="BD163" s="21"/>
      <x:c r="BE163" s="21"/>
      <x:c r="BF163" s="21"/>
      <x:c r="BG163" s="21"/>
      <x:c r="BH163" t="s">
        <x:v>82</x:v>
      </x:c>
      <x:c r="BI163" s="18">
        <x:v>113</x:v>
      </x:c>
      <x:c r="BJ163" s="18">
        <x:v>12</x:v>
      </x:c>
      <x:c r="BK163" s="18">
        <x:v>2.2999999999999998</x:v>
      </x:c>
      <x:c r="BL163" s="18">
        <x:v>22</x:v>
      </x:c>
      <x:c r="BM163" s="18">
        <x:v>44</x:v>
      </x:c>
      <x:c r="BN163" s="18">
        <x:v>46.82</x:v>
      </x:c>
      <x:c r="BO163" s="22">
        <x:v>113.200638888889</x:v>
      </x:c>
      <x:c r="BP163" s="22">
        <x:v>22.7463388888889</x:v>
      </x:c>
      <x:c r="BQ163" s="18">
        <x:v>30</x:v>
      </x:c>
      <x:c r="BR163" s="18">
        <x:v>70061.195000000007</x:v>
      </x:c>
      <x:c r="BS163" s="18">
        <x:v>4.0270000000000001</x:v>
      </x:c>
      <x:c r="BT163" s="18">
        <x:v>7.2999999999999995E-2</x:v>
      </x:c>
      <x:c r="BU163" s="18">
        <x:v>28.861000000000001</x:v>
      </x:c>
      <x:c r="BV163" s="18">
        <x:v>7.8419999999999996</x:v>
      </x:c>
      <x:c r="BW163" s="18">
        <x:v>3.4870000000000001</x:v>
      </x:c>
      <x:c r="BX163" s="18">
        <x:v>6.3E-2</x:v>
      </x:c>
      <x:c r="BY163" s="18">
        <x:v>5638.0559999999996</x:v>
      </x:c>
      <x:c r="BZ163" s="18">
        <x:v>5638.0559999999996</x:v>
      </x:c>
      <x:c r="CA163" s="23">
        <x:f t="shared" si="126"/>
        <x:v>4.0271831999999996</x:v>
      </x:c>
      <x:c r="CB163" s="23">
        <x:f t="shared" si="127"/>
        <x:v>137.595426</x:v>
      </x:c>
      <x:c r="CC163" s="23">
        <x:f t="shared" si="128"/>
        <x:v>43.627817999999998</x:v>
      </x:c>
      <x:c r="CD163" s="23">
        <x:f t="shared" si="129"/>
        <x:v>1.0067957999999999</x:v>
      </x:c>
      <x:c r="CE163" s="23">
        <x:f t="shared" si="130"/>
        <x:v>1.0067957999999999</x:v>
      </x:c>
      <x:c r="CF163" s="23">
        <x:f t="shared" si="131"/>
        <x:v>0</x:v>
      </x:c>
      <x:c r="CG163" s="23">
        <x:f t="shared" si="132"/>
        <x:v>0</x:v>
      </x:c>
      <x:c r="CH163" s="23">
        <x:f t="shared" si="133"/>
        <x:v>0.67119719999999994</x:v>
      </x:c>
      <x:c r="CI163" s="23">
        <x:f t="shared" si="134"/>
        <x:v>0</x:v>
      </x:c>
      <x:c r="CJ163" s="24" t="s">
        <x:v>78</x:v>
      </x:c>
      <x:c r="CK163" s="25">
        <x:v>0</x:v>
      </x:c>
      <x:c r="CL163" s="26" t="s">
        <x:v>78</x:v>
      </x:c>
      <x:c r="CM163" s="26" t="n">
        <x:f>(1-BV163/BU163)*100</x:f>
        <x:v>72.82838432486747</x:v>
      </x:c>
      <x:c r="CN163" s="27" t="s">
        <x:v>78</x:v>
      </x:c>
      <x:c r="CO163" s="27">
        <x:v>0</x:v>
      </x:c>
      <x:c r="CP163" s="27">
        <x:v>0</x:v>
      </x:c>
      <x:c r="CQ163" s="26">
        <x:f t="shared" si="135"/>
        <x:v>4.0271831999999996</x:v>
      </x:c>
      <x:c r="CR163" s="26">
        <x:f t="shared" si="136"/>
        <x:v>37.386900339281382</x:v>
      </x:c>
      <x:c r="CS163" s="26">
        <x:f t="shared" si="137"/>
        <x:v>43.627817999999998</x:v>
      </x:c>
      <x:c r="CT163" s="26">
        <x:f t="shared" si="155"/>
        <x:v>1.0067957999999999</x:v>
      </x:c>
      <x:c r="CU163" s="26">
        <x:f t="shared" si="156"/>
        <x:v>1.0067957999999999</x:v>
      </x:c>
      <x:c r="CV163" s="26">
        <x:f t="shared" si="157"/>
        <x:v>0</x:v>
      </x:c>
      <x:c r="CW163" s="26">
        <x:f t="shared" si="158"/>
        <x:v>0</x:v>
      </x:c>
      <x:c r="CX163" s="26">
        <x:f t="shared" si="138"/>
        <x:v>0.67119719999999994</x:v>
      </x:c>
      <x:c r="CY163" s="26">
        <x:f t="shared" si="139"/>
        <x:v>0</x:v>
      </x:c>
    </x:row>
    <x:row r="164">
      <x:c r="A164" s="18">
        <x:v>2022</x:v>
      </x:c>
      <x:c r="B164" t="s">
        <x:v>386</x:v>
      </x:c>
      <x:c r="C164" t="s">
        <x:v>387</x:v>
      </x:c>
      <x:c r="D164" t="s">
        <x:v>388</x:v>
      </x:c>
      <x:c r="E164" s="18">
        <x:v>440606</x:v>
      </x:c>
      <x:c r="F164" t="s">
        <x:v>379</x:v>
      </x:c>
      <x:c r="G164" t="s">
        <x:v>362</x:v>
      </x:c>
      <x:c r="H164" s="18">
        <x:v>4430</x:v>
      </x:c>
      <x:c r="I164" t="s">
        <x:v>389</x:v>
      </x:c>
      <x:c r="J164" t="s">
        <x:v>78</x:v>
      </x:c>
      <x:c r="K164" t="s">
        <x:v>109</x:v>
      </x:c>
      <x:c r="L164" s="20">
        <x:v>1.2</x:v>
      </x:c>
      <x:c r="M164" t="s">
        <x:v>110</x:v>
      </x:c>
      <x:c r="N164" s="18">
        <x:v>75</x:v>
      </x:c>
      <x:c r="O164" t="s">
        <x:v>88</x:v>
      </x:c>
      <x:c r="P164" s="18">
        <x:v>4</x:v>
      </x:c>
      <x:c r="Q164" s="19" t="s">
        <x:v>111</x:v>
      </x:c>
      <x:c r="R164" s="18">
        <x:v>51025.120000000003</x:v>
      </x:c>
      <x:c r="S164" t="s">
        <x:v>112</x:v>
      </x:c>
      <x:c r="T164" s="19" t="n">
        <x:f t="shared" ref="T164:T173" si="159">R164</x:f>
        <x:v>51025.12</x:v>
      </x:c>
      <x:c r="U164" s="20">
        <x:v>0.3</x:v>
      </x:c>
      <x:c r="V164" t="s">
        <x:v>113</x:v>
      </x:c>
      <x:c r="W164" s="20">
        <x:v>12</x:v>
      </x:c>
      <x:c r="X164" s="21" t="n">
        <x:f t="shared" ref="X164:X171" si="160">2*U164/100*(1-0.15)*T164</x:f>
        <x:v>260.228112</x:v>
      </x:c>
      <x:c r="Y164" s="21" t="n">
        <x:f t="shared" ref="Y164:Y169" si="161">8.96*T164/1000</x:f>
        <x:v>457.1850752000001</x:v>
      </x:c>
      <x:c r="Z164" s="21" t="n">
        <x:f t="shared" ref="Z164:Z171" si="162">2*T164/1000</x:f>
        <x:v>102.05024</x:v>
      </x:c>
      <x:c r="AA164" s="21" t="n">
        <x:f>W164/100*(1-0.25)*0.23*T164</x:f>
        <x:v>1056.219984</x:v>
      </x:c>
      <x:c r="AB164" s="21" t="n">
        <x:f>W164/100*(1-0.25)*0.06*T164</x:f>
        <x:v>275.535648</x:v>
      </x:c>
      <x:c r="AC164" s="21" t="n">
        <x:f t="shared" ref="AC164:AC169" si="163">0.002*AB164</x:f>
        <x:v>0.5510712959999999</x:v>
      </x:c>
      <x:c r="AD164" s="21"/>
      <x:c r="AE164" s="21" t="n">
        <x:f t="shared" ref="AE164:AE171" si="164">0.04*T164/1000</x:f>
        <x:v>2.0410048</x:v>
      </x:c>
      <x:c r="AF164" s="21"/>
      <x:c r="AG164" s="19" t="s">
        <x:v>78</x:v>
      </x:c>
      <x:c r="AH164" t="s">
        <x:v>78</x:v>
      </x:c>
      <x:c r="AI164" t="s">
        <x:v>78</x:v>
      </x:c>
      <x:c r="AJ164" s="19"/>
      <x:c r="AK164" s="19" t="s">
        <x:v>78</x:v>
      </x:c>
      <x:c r="AL164" t="s">
        <x:v>78</x:v>
      </x:c>
      <x:c r="AM164" s="19" t="s">
        <x:v>78</x:v>
      </x:c>
      <x:c r="AN164" s="21"/>
      <x:c r="AO164" s="21"/>
      <x:c r="AP164" s="21"/>
      <x:c r="AQ164" s="21"/>
      <x:c r="AR164" s="21"/>
      <x:c r="AS164" s="21"/>
      <x:c r="AT164" s="21"/>
      <x:c r="AU164" s="21"/>
      <x:c r="AV164" s="21"/>
      <x:c r="AW164" t="s">
        <x:v>78</x:v>
      </x:c>
      <x:c r="AX164" s="19"/>
      <x:c r="AY164" s="21"/>
      <x:c r="AZ164" s="21"/>
      <x:c r="BA164" s="21"/>
      <x:c r="BB164" s="21"/>
      <x:c r="BC164" s="21"/>
      <x:c r="BD164" s="21"/>
      <x:c r="BE164" s="21"/>
      <x:c r="BF164" s="21"/>
      <x:c r="BG164" s="21"/>
      <x:c r="BH164" t="s">
        <x:v>81</x:v>
      </x:c>
      <x:c r="BI164" s="18">
        <x:v>113</x:v>
      </x:c>
      <x:c r="BJ164" s="18">
        <x:v>10</x:v>
      </x:c>
      <x:c r="BK164" s="18">
        <x:v>53</x:v>
      </x:c>
      <x:c r="BL164" s="18">
        <x:v>22</x:v>
      </x:c>
      <x:c r="BM164" s="18">
        <x:v>47</x:v>
      </x:c>
      <x:c r="BN164" s="18">
        <x:v>33</x:v>
      </x:c>
      <x:c r="BO164" s="22">
        <x:v>113.181388888889</x:v>
      </x:c>
      <x:c r="BP164" s="22">
        <x:v>22.7925</x:v>
      </x:c>
      <x:c r="BQ164" s="18">
        <x:v>30</x:v>
      </x:c>
      <x:c r="BR164" s="18">
        <x:v>36748.29</x:v>
      </x:c>
      <x:c r="BS164" s="18">
        <x:v>260.22800000000001</x:v>
      </x:c>
      <x:c r="BT164" s="18">
        <x:v>0.68400000000000005</x:v>
      </x:c>
      <x:c r="BU164" s="18">
        <x:v>112.76600000000001</x:v>
      </x:c>
      <x:c r="BV164" s="18">
        <x:v>7.7789999999999999</x:v>
      </x:c>
      <x:c r="BW164" s="18">
        <x:v>5467.8519999999999</x:v>
      </x:c>
      <x:c r="BX164" s="18">
        <x:v>1.2529999999999999</x:v>
      </x:c>
      <x:c r="BY164" s="18">
        <x:v>602.096</x:v>
      </x:c>
      <x:c r="BZ164" s="18">
        <x:v>602.096</x:v>
      </x:c>
      <x:c r="CA164" s="23">
        <x:f t="shared" si="126"/>
        <x:v>260.22811200000001</x:v>
      </x:c>
      <x:c r="CB164" s="23">
        <x:f t="shared" si="127"/>
        <x:v>457.18507520000009</x:v>
      </x:c>
      <x:c r="CC164" s="23">
        <x:f t="shared" si="128"/>
        <x:v>102.05024</x:v>
      </x:c>
      <x:c r="CD164" s="23">
        <x:f t="shared" si="129"/>
        <x:v>1056.2199840000001</x:v>
      </x:c>
      <x:c r="CE164" s="23">
        <x:f t="shared" si="130"/>
        <x:v>275.53564799999998</x:v>
      </x:c>
      <x:c r="CF164" s="23">
        <x:f t="shared" si="131"/>
        <x:v>0.55107129599999993</x:v>
      </x:c>
      <x:c r="CG164" s="23">
        <x:f t="shared" si="132"/>
        <x:v>0</x:v>
      </x:c>
      <x:c r="CH164" s="23">
        <x:f t="shared" si="133"/>
        <x:v>2.0410048000000001</x:v>
      </x:c>
      <x:c r="CI164" s="23">
        <x:f t="shared" si="134"/>
        <x:v>0</x:v>
      </x:c>
      <x:c r="CJ164" s="24" t="s">
        <x:v>180</x:v>
      </x:c>
      <x:c r="CK164" s="29">
        <x:v>85.8</x:v>
      </x:c>
      <x:c r="CL164" s="26" t="s">
        <x:v>97</x:v>
      </x:c>
      <x:c r="CM164" s="28">
        <x:v>75</x:v>
      </x:c>
      <x:c r="CN164" s="30" t="s">
        <x:v>357</x:v>
      </x:c>
      <x:c r="CO164" s="27">
        <x:v>99.8</x:v>
      </x:c>
      <x:c r="CP164" s="27">
        <x:v>99.6</x:v>
      </x:c>
      <x:c r="CQ164" s="26">
        <x:f t="shared" si="135"/>
        <x:v>36.952391904000002</x:v>
      </x:c>
      <x:c r="CR164" s="26">
        <x:f t="shared" si="136"/>
        <x:v>114.29626880000002</x:v>
      </x:c>
      <x:c r="CS164" s="26">
        <x:f t="shared" si="137"/>
        <x:v>102.05024</x:v>
      </x:c>
      <x:c r="CT164" s="26">
        <x:f t="shared" si="155"/>
        <x:v>2.1124399680000021</x:v>
      </x:c>
      <x:c r="CU164" s="26">
        <x:f t="shared" si="156"/>
        <x:v>1.102142592000001</x:v>
      </x:c>
      <x:c r="CV164" s="26">
        <x:f t="shared" si="157"/>
        <x:v>2.2042851840000017E-3</x:v>
      </x:c>
      <x:c r="CW164" s="26">
        <x:f t="shared" si="158"/>
        <x:v>0</x:v>
      </x:c>
      <x:c r="CX164" s="26">
        <x:f t="shared" si="138"/>
        <x:v>2.0410048000000001</x:v>
      </x:c>
      <x:c r="CY164" s="26">
        <x:f t="shared" si="139"/>
        <x:v>0</x:v>
      </x:c>
    </x:row>
    <x:row r="165">
      <x:c r="A165" s="18">
        <x:v>2022</x:v>
      </x:c>
      <x:c r="B165" t="s">
        <x:v>386</x:v>
      </x:c>
      <x:c r="C165" t="s">
        <x:v>387</x:v>
      </x:c>
      <x:c r="D165" t="s">
        <x:v>388</x:v>
      </x:c>
      <x:c r="E165" s="18">
        <x:v>440606</x:v>
      </x:c>
      <x:c r="F165" t="s">
        <x:v>379</x:v>
      </x:c>
      <x:c r="G165" t="s">
        <x:v>362</x:v>
      </x:c>
      <x:c r="H165" s="18">
        <x:v>4430</x:v>
      </x:c>
      <x:c r="I165" t="s">
        <x:v>389</x:v>
      </x:c>
      <x:c r="J165" t="s">
        <x:v>78</x:v>
      </x:c>
      <x:c r="K165" t="s">
        <x:v>109</x:v>
      </x:c>
      <x:c r="L165" s="20">
        <x:v>1.2</x:v>
      </x:c>
      <x:c r="M165" t="s">
        <x:v>110</x:v>
      </x:c>
      <x:c r="N165" s="18">
        <x:v>75</x:v>
      </x:c>
      <x:c r="O165" t="s">
        <x:v>88</x:v>
      </x:c>
      <x:c r="P165" s="18">
        <x:v>4</x:v>
      </x:c>
      <x:c r="Q165" s="19" t="s">
        <x:v>111</x:v>
      </x:c>
      <x:c r="R165" s="18">
        <x:v>50009.35</x:v>
      </x:c>
      <x:c r="S165" t="s">
        <x:v>112</x:v>
      </x:c>
      <x:c r="T165" s="19">
        <x:f t="shared" si="159"/>
        <x:v>50009.35</x:v>
      </x:c>
      <x:c r="U165" s="20">
        <x:v>0.3</x:v>
      </x:c>
      <x:c r="V165" t="s">
        <x:v>113</x:v>
      </x:c>
      <x:c r="W165" s="20">
        <x:v>12</x:v>
      </x:c>
      <x:c r="X165" s="21">
        <x:f t="shared" si="160"/>
        <x:v>255.047685</x:v>
      </x:c>
      <x:c r="Y165" s="21">
        <x:f t="shared" si="161"/>
        <x:v>448.083776</x:v>
      </x:c>
      <x:c r="Z165" s="21">
        <x:f t="shared" si="162"/>
        <x:v>100.0187</x:v>
      </x:c>
      <x:c r="AA165" s="21" t="n">
        <x:f>W165/100*(1-0.25)*0.23*T165</x:f>
        <x:v>1035.1935449999999</x:v>
      </x:c>
      <x:c r="AB165" s="21" t="n">
        <x:f>W165/100*(1-0.25)*0.06*T165</x:f>
        <x:v>270.05048999999997</x:v>
      </x:c>
      <x:c r="AC165" s="21">
        <x:f t="shared" si="163"/>
        <x:v>0.54010097999999995</x:v>
      </x:c>
      <x:c r="AD165" s="21"/>
      <x:c r="AE165" s="21">
        <x:f t="shared" si="164"/>
        <x:v>2.0003739999999999</x:v>
      </x:c>
      <x:c r="AF165" s="21"/>
      <x:c r="AG165" s="19" t="s">
        <x:v>78</x:v>
      </x:c>
      <x:c r="AH165" t="s">
        <x:v>78</x:v>
      </x:c>
      <x:c r="AI165" t="s">
        <x:v>78</x:v>
      </x:c>
      <x:c r="AJ165" s="19"/>
      <x:c r="AK165" s="19" t="s">
        <x:v>78</x:v>
      </x:c>
      <x:c r="AL165" t="s">
        <x:v>78</x:v>
      </x:c>
      <x:c r="AM165" s="19" t="s">
        <x:v>78</x:v>
      </x:c>
      <x:c r="AN165" s="21"/>
      <x:c r="AO165" s="21"/>
      <x:c r="AP165" s="21"/>
      <x:c r="AQ165" s="21"/>
      <x:c r="AR165" s="21"/>
      <x:c r="AS165" s="21"/>
      <x:c r="AT165" s="21"/>
      <x:c r="AU165" s="21"/>
      <x:c r="AV165" s="21"/>
      <x:c r="AW165" t="s">
        <x:v>78</x:v>
      </x:c>
      <x:c r="AX165" s="19"/>
      <x:c r="AY165" s="21"/>
      <x:c r="AZ165" s="21"/>
      <x:c r="BA165" s="21"/>
      <x:c r="BB165" s="21"/>
      <x:c r="BC165" s="21"/>
      <x:c r="BD165" s="21"/>
      <x:c r="BE165" s="21"/>
      <x:c r="BF165" s="21"/>
      <x:c r="BG165" s="21"/>
      <x:c r="BH165" t="s">
        <x:v>81</x:v>
      </x:c>
      <x:c r="BI165" s="18">
        <x:v>113</x:v>
      </x:c>
      <x:c r="BJ165" s="18">
        <x:v>10</x:v>
      </x:c>
      <x:c r="BK165" s="18">
        <x:v>53</x:v>
      </x:c>
      <x:c r="BL165" s="18">
        <x:v>22</x:v>
      </x:c>
      <x:c r="BM165" s="18">
        <x:v>47</x:v>
      </x:c>
      <x:c r="BN165" s="18">
        <x:v>33</x:v>
      </x:c>
      <x:c r="BO165" s="22">
        <x:v>113.181388888889</x:v>
      </x:c>
      <x:c r="BP165" s="22">
        <x:v>22.7925</x:v>
      </x:c>
      <x:c r="BQ165" s="18">
        <x:v>30</x:v>
      </x:c>
      <x:c r="BR165" s="18">
        <x:v>36748.29</x:v>
      </x:c>
      <x:c r="BS165" s="18">
        <x:v>255.048</x:v>
      </x:c>
      <x:c r="BT165" s="18">
        <x:v>0.68400000000000005</x:v>
      </x:c>
      <x:c r="BU165" s="18">
        <x:v>110.521</x:v>
      </x:c>
      <x:c r="BV165" s="18">
        <x:v>7.7789999999999999</x:v>
      </x:c>
      <x:c r="BW165" s="18">
        <x:v>5359.0020000000004</x:v>
      </x:c>
      <x:c r="BX165" s="18">
        <x:v>1.2529999999999999</x:v>
      </x:c>
      <x:c r="BY165" s="18">
        <x:v>590.11</x:v>
      </x:c>
      <x:c r="BZ165" s="18">
        <x:v>590.11</x:v>
      </x:c>
      <x:c r="CA165" s="23">
        <x:f t="shared" si="126"/>
        <x:v>255.047685</x:v>
      </x:c>
      <x:c r="CB165" s="23">
        <x:f t="shared" si="127"/>
        <x:v>448.083776</x:v>
      </x:c>
      <x:c r="CC165" s="23">
        <x:f t="shared" si="128"/>
        <x:v>100.0187</x:v>
      </x:c>
      <x:c r="CD165" s="23">
        <x:f t="shared" si="129"/>
        <x:v>1035.1935449999999</x:v>
      </x:c>
      <x:c r="CE165" s="23">
        <x:f t="shared" si="130"/>
        <x:v>270.05048999999997</x:v>
      </x:c>
      <x:c r="CF165" s="23">
        <x:f t="shared" si="131"/>
        <x:v>0.54010097999999995</x:v>
      </x:c>
      <x:c r="CG165" s="23">
        <x:f t="shared" si="132"/>
        <x:v>0</x:v>
      </x:c>
      <x:c r="CH165" s="23">
        <x:f t="shared" si="133"/>
        <x:v>2.0003739999999999</x:v>
      </x:c>
      <x:c r="CI165" s="23">
        <x:f t="shared" si="134"/>
        <x:v>0</x:v>
      </x:c>
      <x:c r="CJ165" s="24" t="s">
        <x:v>180</x:v>
      </x:c>
      <x:c r="CK165" s="29">
        <x:v>85.8</x:v>
      </x:c>
      <x:c r="CL165" s="26" t="s">
        <x:v>97</x:v>
      </x:c>
      <x:c r="CM165" s="28">
        <x:v>75</x:v>
      </x:c>
      <x:c r="CN165" s="30" t="s">
        <x:v>357</x:v>
      </x:c>
      <x:c r="CO165" s="27">
        <x:v>99.8</x:v>
      </x:c>
      <x:c r="CP165" s="27">
        <x:v>99.6</x:v>
      </x:c>
      <x:c r="CQ165" s="26">
        <x:f t="shared" si="135"/>
        <x:v>36.216771270000002</x:v>
      </x:c>
      <x:c r="CR165" s="26">
        <x:f t="shared" si="136"/>
        <x:v>112.020944</x:v>
      </x:c>
      <x:c r="CS165" s="26">
        <x:f t="shared" si="137"/>
        <x:v>100.0187</x:v>
      </x:c>
      <x:c r="CT165" s="26">
        <x:f t="shared" si="155"/>
        <x:v>2.0703870900000014</x:v>
      </x:c>
      <x:c r="CU165" s="26">
        <x:f t="shared" si="156"/>
        <x:v>1.0802019600000008</x:v>
      </x:c>
      <x:c r="CV165" s="26">
        <x:f t="shared" si="157"/>
        <x:v>2.1604039200000019E-3</x:v>
      </x:c>
      <x:c r="CW165" s="26">
        <x:f t="shared" si="158"/>
        <x:v>0</x:v>
      </x:c>
      <x:c r="CX165" s="26">
        <x:f t="shared" si="138"/>
        <x:v>2.0003739999999999</x:v>
      </x:c>
      <x:c r="CY165" s="26">
        <x:f t="shared" si="139"/>
        <x:v>0</x:v>
      </x:c>
    </x:row>
    <x:row r="166">
      <x:c r="A166" s="18">
        <x:v>2022</x:v>
      </x:c>
      <x:c r="B166" t="s">
        <x:v>386</x:v>
      </x:c>
      <x:c r="C166" t="s">
        <x:v>387</x:v>
      </x:c>
      <x:c r="D166" t="s">
        <x:v>388</x:v>
      </x:c>
      <x:c r="E166" s="18">
        <x:v>440606</x:v>
      </x:c>
      <x:c r="F166" t="s">
        <x:v>379</x:v>
      </x:c>
      <x:c r="G166" t="s">
        <x:v>362</x:v>
      </x:c>
      <x:c r="H166" s="18">
        <x:v>4430</x:v>
      </x:c>
      <x:c r="I166" t="s">
        <x:v>389</x:v>
      </x:c>
      <x:c r="J166" t="s">
        <x:v>78</x:v>
      </x:c>
      <x:c r="K166" t="s">
        <x:v>109</x:v>
      </x:c>
      <x:c r="L166" s="20">
        <x:v>1.2</x:v>
      </x:c>
      <x:c r="M166" t="s">
        <x:v>125</x:v>
      </x:c>
      <x:c r="N166" s="18">
        <x:v>75</x:v>
      </x:c>
      <x:c r="O166" t="s">
        <x:v>88</x:v>
      </x:c>
      <x:c r="P166" s="18">
        <x:v>4</x:v>
      </x:c>
      <x:c r="Q166" s="19" t="s">
        <x:v>111</x:v>
      </x:c>
      <x:c r="R166" s="18">
        <x:v>25992.915000000001</x:v>
      </x:c>
      <x:c r="S166" t="s">
        <x:v>112</x:v>
      </x:c>
      <x:c r="T166" s="19">
        <x:f t="shared" si="159"/>
        <x:v>25992.915000000001</x:v>
      </x:c>
      <x:c r="U166" s="20">
        <x:v>0.3</x:v>
      </x:c>
      <x:c r="V166" t="s">
        <x:v>113</x:v>
      </x:c>
      <x:c r="W166" s="20">
        <x:v>12</x:v>
      </x:c>
      <x:c r="X166" s="21">
        <x:f t="shared" si="160"/>
        <x:v>132.56386650000002</x:v>
      </x:c>
      <x:c r="Y166" s="21">
        <x:f t="shared" si="161"/>
        <x:v>232.89651840000002</x:v>
      </x:c>
      <x:c r="Z166" s="21">
        <x:f t="shared" si="162"/>
        <x:v>51.98583</x:v>
      </x:c>
      <x:c r="AA166" s="21" t="n">
        <x:f>W166/100*(1-0.44)*0.29*T166</x:f>
        <x:v>506.54992752000004</x:v>
      </x:c>
      <x:c r="AB166" s="21" t="n">
        <x:f>W166/100*(1-0.44)*0.07*T166</x:f>
        <x:v>122.27067216000002</x:v>
      </x:c>
      <x:c r="AC166" s="21">
        <x:f t="shared" si="163"/>
        <x:v>0.24454134432000005</x:v>
      </x:c>
      <x:c r="AD166" s="21"/>
      <x:c r="AE166" s="21">
        <x:f t="shared" si="164"/>
        <x:v>1.0397166</x:v>
      </x:c>
      <x:c r="AF166" s="21"/>
      <x:c r="AG166" s="19" t="s">
        <x:v>78</x:v>
      </x:c>
      <x:c r="AH166" t="s">
        <x:v>78</x:v>
      </x:c>
      <x:c r="AI166" t="s">
        <x:v>78</x:v>
      </x:c>
      <x:c r="AJ166" s="19"/>
      <x:c r="AK166" s="19" t="s">
        <x:v>78</x:v>
      </x:c>
      <x:c r="AL166" t="s">
        <x:v>78</x:v>
      </x:c>
      <x:c r="AM166" s="19" t="s">
        <x:v>78</x:v>
      </x:c>
      <x:c r="AN166" s="21"/>
      <x:c r="AO166" s="21"/>
      <x:c r="AP166" s="21"/>
      <x:c r="AQ166" s="21"/>
      <x:c r="AR166" s="21"/>
      <x:c r="AS166" s="21"/>
      <x:c r="AT166" s="21"/>
      <x:c r="AU166" s="21"/>
      <x:c r="AV166" s="21"/>
      <x:c r="AW166" t="s">
        <x:v>78</x:v>
      </x:c>
      <x:c r="AX166" s="19"/>
      <x:c r="AY166" s="21"/>
      <x:c r="AZ166" s="21"/>
      <x:c r="BA166" s="21"/>
      <x:c r="BB166" s="21"/>
      <x:c r="BC166" s="21"/>
      <x:c r="BD166" s="21"/>
      <x:c r="BE166" s="21"/>
      <x:c r="BF166" s="21"/>
      <x:c r="BG166" s="21"/>
      <x:c r="BH166" t="s">
        <x:v>79</x:v>
      </x:c>
      <x:c r="BI166" s="18">
        <x:v>113</x:v>
      </x:c>
      <x:c r="BJ166" s="18">
        <x:v>10</x:v>
      </x:c>
      <x:c r="BK166" s="18">
        <x:v>53</x:v>
      </x:c>
      <x:c r="BL166" s="18">
        <x:v>22</x:v>
      </x:c>
      <x:c r="BM166" s="18">
        <x:v>47</x:v>
      </x:c>
      <x:c r="BN166" s="18">
        <x:v>33</x:v>
      </x:c>
      <x:c r="BO166" s="22">
        <x:v>113.181388888889</x:v>
      </x:c>
      <x:c r="BP166" s="22">
        <x:v>22.7925</x:v>
      </x:c>
      <x:c r="BQ166" s="18">
        <x:v>30</x:v>
      </x:c>
      <x:c r="BR166" s="18">
        <x:v>28348.11</x:v>
      </x:c>
      <x:c r="BS166" s="18">
        <x:v>116.968</x:v>
      </x:c>
      <x:c r="BT166" s="18">
        <x:v>1.2270000000000001</x:v>
      </x:c>
      <x:c r="BU166" s="18">
        <x:v>24.693000000000001</x:v>
      </x:c>
      <x:c r="BV166" s="18">
        <x:v>5.2489999999999997</x:v>
      </x:c>
      <x:c r="BW166" s="18">
        <x:v>1618.8389999999999</x:v>
      </x:c>
      <x:c r="BX166" s="18">
        <x:v>0.66300000000000003</x:v>
      </x:c>
      <x:c r="BY166" s="18">
        <x:v>743.39700000000005</x:v>
      </x:c>
      <x:c r="BZ166" s="18">
        <x:v>743.39700000000005</x:v>
      </x:c>
      <x:c r="CA166" s="23">
        <x:f t="shared" si="126"/>
        <x:v>132.56386650000002</x:v>
      </x:c>
      <x:c r="CB166" s="23">
        <x:f t="shared" si="127"/>
        <x:v>232.89651840000002</x:v>
      </x:c>
      <x:c r="CC166" s="23">
        <x:f t="shared" si="128"/>
        <x:v>51.98583</x:v>
      </x:c>
      <x:c r="CD166" s="23">
        <x:f t="shared" si="129"/>
        <x:v>506.54992752000004</x:v>
      </x:c>
      <x:c r="CE166" s="23">
        <x:f t="shared" si="130"/>
        <x:v>122.27067216000002</x:v>
      </x:c>
      <x:c r="CF166" s="23">
        <x:f t="shared" si="131"/>
        <x:v>0.24454134432000005</x:v>
      </x:c>
      <x:c r="CG166" s="23">
        <x:f t="shared" si="132"/>
        <x:v>0</x:v>
      </x:c>
      <x:c r="CH166" s="23">
        <x:f t="shared" si="133"/>
        <x:v>1.0397166</x:v>
      </x:c>
      <x:c r="CI166" s="23">
        <x:f t="shared" si="134"/>
        <x:v>0</x:v>
      </x:c>
      <x:c r="CJ166" s="24" t="s">
        <x:v>180</x:v>
      </x:c>
      <x:c r="CK166" s="29">
        <x:v>85.8</x:v>
      </x:c>
      <x:c r="CL166" s="26" t="s">
        <x:v>97</x:v>
      </x:c>
      <x:c r="CM166" s="28">
        <x:v>75</x:v>
      </x:c>
      <x:c r="CN166" s="30" t="s">
        <x:v>357</x:v>
      </x:c>
      <x:c r="CO166" s="27">
        <x:v>99.8</x:v>
      </x:c>
      <x:c r="CP166" s="27">
        <x:v>99.6</x:v>
      </x:c>
      <x:c r="CQ166" s="26">
        <x:f t="shared" si="135"/>
        <x:v>18.824069043000005</x:v>
      </x:c>
      <x:c r="CR166" s="26">
        <x:f t="shared" si="136"/>
        <x:v>58.224129600000005</x:v>
      </x:c>
      <x:c r="CS166" s="26">
        <x:f t="shared" si="137"/>
        <x:v>51.98583</x:v>
      </x:c>
      <x:c r="CT166" s="26">
        <x:f t="shared" si="155"/>
        <x:v>1.013099855040001</x:v>
      </x:c>
      <x:c r="CU166" s="26">
        <x:f t="shared" si="156"/>
        <x:v>0.48908268864000048</x:v>
      </x:c>
      <x:c r="CV166" s="26">
        <x:f t="shared" si="157"/>
        <x:v>9.781653772800011E-4</x:v>
      </x:c>
      <x:c r="CW166" s="26">
        <x:f t="shared" si="158"/>
        <x:v>0</x:v>
      </x:c>
      <x:c r="CX166" s="26">
        <x:f t="shared" si="138"/>
        <x:v>1.0397166</x:v>
      </x:c>
      <x:c r="CY166" s="26">
        <x:f t="shared" si="139"/>
        <x:v>0</x:v>
      </x:c>
    </x:row>
    <x:row r="167">
      <x:c r="A167" s="18">
        <x:v>2022</x:v>
      </x:c>
      <x:c r="B167" t="s">
        <x:v>386</x:v>
      </x:c>
      <x:c r="C167" t="s">
        <x:v>387</x:v>
      </x:c>
      <x:c r="D167" t="s">
        <x:v>388</x:v>
      </x:c>
      <x:c r="E167" s="18">
        <x:v>440606</x:v>
      </x:c>
      <x:c r="F167" t="s">
        <x:v>379</x:v>
      </x:c>
      <x:c r="G167" t="s">
        <x:v>362</x:v>
      </x:c>
      <x:c r="H167" s="18">
        <x:v>4430</x:v>
      </x:c>
      <x:c r="I167" t="s">
        <x:v>389</x:v>
      </x:c>
      <x:c r="J167" t="s">
        <x:v>78</x:v>
      </x:c>
      <x:c r="K167" t="s">
        <x:v>109</x:v>
      </x:c>
      <x:c r="L167" s="20">
        <x:v>1.2</x:v>
      </x:c>
      <x:c r="M167" t="s">
        <x:v>125</x:v>
      </x:c>
      <x:c r="N167" s="18">
        <x:v>75</x:v>
      </x:c>
      <x:c r="O167" t="s">
        <x:v>88</x:v>
      </x:c>
      <x:c r="P167" s="18">
        <x:v>4</x:v>
      </x:c>
      <x:c r="Q167" s="19" t="s">
        <x:v>111</x:v>
      </x:c>
      <x:c r="R167" s="18">
        <x:v>25992.915000000001</x:v>
      </x:c>
      <x:c r="S167" t="s">
        <x:v>112</x:v>
      </x:c>
      <x:c r="T167" s="19">
        <x:f t="shared" si="159"/>
        <x:v>25992.915000000001</x:v>
      </x:c>
      <x:c r="U167" s="20">
        <x:v>0.3</x:v>
      </x:c>
      <x:c r="V167" t="s">
        <x:v>113</x:v>
      </x:c>
      <x:c r="W167" s="20">
        <x:v>12</x:v>
      </x:c>
      <x:c r="X167" s="21">
        <x:f t="shared" si="160"/>
        <x:v>132.56386650000002</x:v>
      </x:c>
      <x:c r="Y167" s="21">
        <x:f t="shared" si="161"/>
        <x:v>232.89651840000002</x:v>
      </x:c>
      <x:c r="Z167" s="21">
        <x:f t="shared" si="162"/>
        <x:v>51.98583</x:v>
      </x:c>
      <x:c r="AA167" s="21" t="n">
        <x:f>W167/100*(1-0.44)*0.29*T167</x:f>
        <x:v>506.54992752000004</x:v>
      </x:c>
      <x:c r="AB167" s="21" t="n">
        <x:f>W167/100*(1-0.44)*0.07*T167</x:f>
        <x:v>122.27067216000002</x:v>
      </x:c>
      <x:c r="AC167" s="21">
        <x:f t="shared" si="163"/>
        <x:v>0.24454134432000005</x:v>
      </x:c>
      <x:c r="AD167" s="21"/>
      <x:c r="AE167" s="21">
        <x:f t="shared" si="164"/>
        <x:v>1.0397166</x:v>
      </x:c>
      <x:c r="AF167" s="21"/>
      <x:c r="AG167" s="19" t="s">
        <x:v>78</x:v>
      </x:c>
      <x:c r="AH167" t="s">
        <x:v>78</x:v>
      </x:c>
      <x:c r="AI167" t="s">
        <x:v>78</x:v>
      </x:c>
      <x:c r="AJ167" s="19"/>
      <x:c r="AK167" s="19" t="s">
        <x:v>78</x:v>
      </x:c>
      <x:c r="AL167" t="s">
        <x:v>78</x:v>
      </x:c>
      <x:c r="AM167" s="19" t="s">
        <x:v>78</x:v>
      </x:c>
      <x:c r="AN167" s="21"/>
      <x:c r="AO167" s="21"/>
      <x:c r="AP167" s="21"/>
      <x:c r="AQ167" s="21"/>
      <x:c r="AR167" s="21"/>
      <x:c r="AS167" s="21"/>
      <x:c r="AT167" s="21"/>
      <x:c r="AU167" s="21"/>
      <x:c r="AV167" s="21"/>
      <x:c r="AW167" t="s">
        <x:v>78</x:v>
      </x:c>
      <x:c r="AX167" s="19"/>
      <x:c r="AY167" s="21"/>
      <x:c r="AZ167" s="21"/>
      <x:c r="BA167" s="21"/>
      <x:c r="BB167" s="21"/>
      <x:c r="BC167" s="21"/>
      <x:c r="BD167" s="21"/>
      <x:c r="BE167" s="21"/>
      <x:c r="BF167" s="21"/>
      <x:c r="BG167" s="21"/>
      <x:c r="BH167" t="s">
        <x:v>79</x:v>
      </x:c>
      <x:c r="BI167" s="18">
        <x:v>113</x:v>
      </x:c>
      <x:c r="BJ167" s="18">
        <x:v>10</x:v>
      </x:c>
      <x:c r="BK167" s="18">
        <x:v>53</x:v>
      </x:c>
      <x:c r="BL167" s="18">
        <x:v>22</x:v>
      </x:c>
      <x:c r="BM167" s="18">
        <x:v>47</x:v>
      </x:c>
      <x:c r="BN167" s="18">
        <x:v>33</x:v>
      </x:c>
      <x:c r="BO167" s="22">
        <x:v>113.181388888889</x:v>
      </x:c>
      <x:c r="BP167" s="22">
        <x:v>22.7925</x:v>
      </x:c>
      <x:c r="BQ167" s="18">
        <x:v>30</x:v>
      </x:c>
      <x:c r="BR167" s="18">
        <x:v>28348.11</x:v>
      </x:c>
      <x:c r="BS167" s="18">
        <x:v>116.968</x:v>
      </x:c>
      <x:c r="BT167" s="18">
        <x:v>1.2270000000000001</x:v>
      </x:c>
      <x:c r="BU167" s="18">
        <x:v>24.693000000000001</x:v>
      </x:c>
      <x:c r="BV167" s="18">
        <x:v>5.2489999999999997</x:v>
      </x:c>
      <x:c r="BW167" s="18">
        <x:v>1618.8389999999999</x:v>
      </x:c>
      <x:c r="BX167" s="18">
        <x:v>0.66300000000000003</x:v>
      </x:c>
      <x:c r="BY167" s="18">
        <x:v>743.39700000000005</x:v>
      </x:c>
      <x:c r="BZ167" s="18">
        <x:v>743.39700000000005</x:v>
      </x:c>
      <x:c r="CA167" s="23">
        <x:f t="shared" si="126"/>
        <x:v>132.56386650000002</x:v>
      </x:c>
      <x:c r="CB167" s="23">
        <x:f t="shared" si="127"/>
        <x:v>232.89651840000002</x:v>
      </x:c>
      <x:c r="CC167" s="23">
        <x:f t="shared" si="128"/>
        <x:v>51.98583</x:v>
      </x:c>
      <x:c r="CD167" s="23">
        <x:f t="shared" si="129"/>
        <x:v>506.54992752000004</x:v>
      </x:c>
      <x:c r="CE167" s="23">
        <x:f t="shared" si="130"/>
        <x:v>122.27067216000002</x:v>
      </x:c>
      <x:c r="CF167" s="23">
        <x:f t="shared" si="131"/>
        <x:v>0.24454134432000005</x:v>
      </x:c>
      <x:c r="CG167" s="23">
        <x:f t="shared" si="132"/>
        <x:v>0</x:v>
      </x:c>
      <x:c r="CH167" s="23">
        <x:f t="shared" si="133"/>
        <x:v>1.0397166</x:v>
      </x:c>
      <x:c r="CI167" s="23">
        <x:f t="shared" si="134"/>
        <x:v>0</x:v>
      </x:c>
      <x:c r="CJ167" s="24" t="s">
        <x:v>180</x:v>
      </x:c>
      <x:c r="CK167" s="29">
        <x:v>85.8</x:v>
      </x:c>
      <x:c r="CL167" s="26" t="s">
        <x:v>97</x:v>
      </x:c>
      <x:c r="CM167" s="28">
        <x:v>75</x:v>
      </x:c>
      <x:c r="CN167" s="30" t="s">
        <x:v>357</x:v>
      </x:c>
      <x:c r="CO167" s="27">
        <x:v>99.8</x:v>
      </x:c>
      <x:c r="CP167" s="27">
        <x:v>99.6</x:v>
      </x:c>
      <x:c r="CQ167" s="26">
        <x:f t="shared" si="135"/>
        <x:v>18.824069043000005</x:v>
      </x:c>
      <x:c r="CR167" s="26">
        <x:f t="shared" si="136"/>
        <x:v>58.224129600000005</x:v>
      </x:c>
      <x:c r="CS167" s="26">
        <x:f t="shared" si="137"/>
        <x:v>51.98583</x:v>
      </x:c>
      <x:c r="CT167" s="26">
        <x:f t="shared" si="155"/>
        <x:v>1.013099855040001</x:v>
      </x:c>
      <x:c r="CU167" s="26">
        <x:f t="shared" si="156"/>
        <x:v>0.48908268864000048</x:v>
      </x:c>
      <x:c r="CV167" s="26">
        <x:f t="shared" si="157"/>
        <x:v>9.781653772800011E-4</x:v>
      </x:c>
      <x:c r="CW167" s="26">
        <x:f t="shared" si="158"/>
        <x:v>0</x:v>
      </x:c>
      <x:c r="CX167" s="26">
        <x:f t="shared" si="138"/>
        <x:v>1.0397166</x:v>
      </x:c>
      <x:c r="CY167" s="26">
        <x:f t="shared" si="139"/>
        <x:v>0</x:v>
      </x:c>
    </x:row>
    <x:row r="168" ht="15" customHeight="1">
      <x:c r="A168" s="18">
        <x:v>2022</x:v>
      </x:c>
      <x:c r="B168" t="s">
        <x:v>390</x:v>
      </x:c>
      <x:c r="C168" t="s">
        <x:v>391</x:v>
      </x:c>
      <x:c r="D168" t="s">
        <x:v>392</x:v>
      </x:c>
      <x:c r="E168" s="18">
        <x:v>440606</x:v>
      </x:c>
      <x:c r="F168" t="s">
        <x:v>379</x:v>
      </x:c>
      <x:c r="G168" t="s">
        <x:v>362</x:v>
      </x:c>
      <x:c r="H168" s="18">
        <x:v>1713</x:v>
      </x:c>
      <x:c r="I168" t="s">
        <x:v>162</x:v>
      </x:c>
      <x:c r="J168" t="s">
        <x:v>393</x:v>
      </x:c>
      <x:c r="K168" t="s">
        <x:v>109</x:v>
      </x:c>
      <x:c r="L168" s="20">
        <x:v>0.6</x:v>
      </x:c>
      <x:c r="M168" t="s">
        <x:v>125</x:v>
      </x:c>
      <x:c r="N168" s="18">
        <x:v>35</x:v>
      </x:c>
      <x:c r="O168" t="s">
        <x:v>74</x:v>
      </x:c>
      <x:c r="P168" s="18">
        <x:v>4</x:v>
      </x:c>
      <x:c r="Q168" s="19" t="s">
        <x:v>111</x:v>
      </x:c>
      <x:c r="R168" s="18">
        <x:v>20106</x:v>
      </x:c>
      <x:c r="S168" t="s">
        <x:v>112</x:v>
      </x:c>
      <x:c r="T168" s="19">
        <x:f t="shared" si="159"/>
        <x:v>20106</x:v>
      </x:c>
      <x:c r="U168" s="20">
        <x:v>0.37</x:v>
      </x:c>
      <x:c r="V168" t="s">
        <x:v>113</x:v>
      </x:c>
      <x:c r="W168" s="20">
        <x:v>17.739999999999998</x:v>
      </x:c>
      <x:c r="X168" s="21">
        <x:f t="shared" si="160"/>
        <x:v>126.46674000000002</x:v>
      </x:c>
      <x:c r="Y168" s="21">
        <x:f t="shared" si="161"/>
        <x:v>180.14976000000001</x:v>
      </x:c>
      <x:c r="Z168" s="21">
        <x:f t="shared" si="162"/>
        <x:v>40.212000000000003</x:v>
      </x:c>
      <x:c r="AA168" s="21" t="n">
        <x:f>W168/100*(1-0.44)*0.29*T168</x:f>
        <x:v>579.24903456</x:v>
      </x:c>
      <x:c r="AB168" s="21" t="n">
        <x:f>W168/100*(1-0.44)*0.07*T168</x:f>
        <x:v>139.81873248000002</x:v>
      </x:c>
      <x:c r="AC168" s="21">
        <x:f t="shared" si="163"/>
        <x:v>0.27963746496000003</x:v>
      </x:c>
      <x:c r="AD168" s="21"/>
      <x:c r="AE168" s="21">
        <x:f t="shared" si="164"/>
        <x:v>0.80423999999999995</x:v>
      </x:c>
      <x:c r="AF168" s="21"/>
      <x:c r="AG168" s="19" t="s">
        <x:v>78</x:v>
      </x:c>
      <x:c r="AH168" t="s">
        <x:v>78</x:v>
      </x:c>
      <x:c r="AI168" t="s">
        <x:v>78</x:v>
      </x:c>
      <x:c r="AJ168" s="19"/>
      <x:c r="AK168" s="19" t="s">
        <x:v>78</x:v>
      </x:c>
      <x:c r="AL168" t="s">
        <x:v>78</x:v>
      </x:c>
      <x:c r="AM168" s="19" t="s">
        <x:v>78</x:v>
      </x:c>
      <x:c r="AN168" s="21"/>
      <x:c r="AO168" s="21"/>
      <x:c r="AP168" s="21"/>
      <x:c r="AQ168" s="21"/>
      <x:c r="AR168" s="21"/>
      <x:c r="AS168" s="21"/>
      <x:c r="AT168" s="21"/>
      <x:c r="AU168" s="21"/>
      <x:c r="AV168" s="21"/>
      <x:c r="AW168" t="s">
        <x:v>78</x:v>
      </x:c>
      <x:c r="AX168" s="19"/>
      <x:c r="AY168" s="21"/>
      <x:c r="AZ168" s="21"/>
      <x:c r="BA168" s="21"/>
      <x:c r="BB168" s="21"/>
      <x:c r="BC168" s="21"/>
      <x:c r="BD168" s="21"/>
      <x:c r="BE168" s="21"/>
      <x:c r="BF168" s="21"/>
      <x:c r="BG168" s="21"/>
      <x:c r="BH168" t="s">
        <x:v>81</x:v>
      </x:c>
      <x:c r="BI168" s="18">
        <x:v>113</x:v>
      </x:c>
      <x:c r="BJ168" s="18">
        <x:v>10</x:v>
      </x:c>
      <x:c r="BK168" s="18">
        <x:v>53</x:v>
      </x:c>
      <x:c r="BL168" s="18">
        <x:v>22</x:v>
      </x:c>
      <x:c r="BM168" s="18">
        <x:v>52</x:v>
      </x:c>
      <x:c r="BN168" s="18">
        <x:v>37</x:v>
      </x:c>
      <x:c r="BO168" s="22">
        <x:v>113.181388888889</x:v>
      </x:c>
      <x:c r="BP168" s="22">
        <x:v>22.876944444444401</x:v>
      </x:c>
      <x:c r="BQ168" s="18">
        <x:v>30</x:v>
      </x:c>
      <x:c r="BR168" s="18">
        <x:v>19867.3</x:v>
      </x:c>
      <x:c r="BS168" s="18">
        <x:v>111.58799999999999</x:v>
      </x:c>
      <x:c r="BT168" s="18">
        <x:v>1.2989999999999999</x:v>
      </x:c>
      <x:c r="BU168" s="18">
        <x:v>66.149000000000001</x:v>
      </x:c>
      <x:c r="BV168" s="18">
        <x:v>4.5880000000000001</x:v>
      </x:c>
      <x:c r="BW168" s="18">
        <x:v>1851.171</x:v>
      </x:c>
      <x:c r="BX168" s="18">
        <x:v>0.755</x:v>
      </x:c>
      <x:c r="BY168" s="18">
        <x:v>575.03200000000004</x:v>
      </x:c>
      <x:c r="BZ168" s="18">
        <x:v>575.03200000000004</x:v>
      </x:c>
      <x:c r="CA168" s="23">
        <x:f t="shared" si="126"/>
        <x:v>126.46674000000002</x:v>
      </x:c>
      <x:c r="CB168" s="23">
        <x:f t="shared" si="127"/>
        <x:v>180.14976000000001</x:v>
      </x:c>
      <x:c r="CC168" s="23">
        <x:f t="shared" si="128"/>
        <x:v>40.212000000000003</x:v>
      </x:c>
      <x:c r="CD168" s="23">
        <x:f t="shared" si="129"/>
        <x:v>579.24903456000004</x:v>
      </x:c>
      <x:c r="CE168" s="23">
        <x:f t="shared" si="130"/>
        <x:v>139.81873248000002</x:v>
      </x:c>
      <x:c r="CF168" s="23">
        <x:f t="shared" si="131"/>
        <x:v>0.27963746496000003</x:v>
      </x:c>
      <x:c r="CG168" s="23">
        <x:f t="shared" si="132"/>
        <x:v>0</x:v>
      </x:c>
      <x:c r="CH168" s="23">
        <x:f t="shared" si="133"/>
        <x:v>0.80423999999999995</x:v>
      </x:c>
      <x:c r="CI168" s="23">
        <x:f t="shared" si="134"/>
        <x:v>0</x:v>
      </x:c>
      <x:c r="CJ168" s="24" t="s">
        <x:v>381</x:v>
      </x:c>
      <x:c r="CK168" s="25">
        <x:v>80</x:v>
      </x:c>
      <x:c r="CL168" s="26" t="s">
        <x:v>127</x:v>
      </x:c>
      <x:c r="CM168" s="26">
        <x:v>50</x:v>
      </x:c>
      <x:c r="CN168" s="27" t="s">
        <x:v>394</x:v>
      </x:c>
      <x:c r="CO168" s="27">
        <x:v>99.4</x:v>
      </x:c>
      <x:c r="CP168" s="27">
        <x:v>98.3</x:v>
      </x:c>
      <x:c r="CQ168" s="26">
        <x:f t="shared" si="135"/>
        <x:v>25.293347999999998</x:v>
      </x:c>
      <x:c r="CR168" s="26">
        <x:f t="shared" si="136"/>
        <x:v>90.074880000000007</x:v>
      </x:c>
      <x:c r="CS168" s="26">
        <x:f t="shared" si="137"/>
        <x:v>40.212000000000003</x:v>
      </x:c>
      <x:c r="CT168" s="26">
        <x:f t="shared" si="155"/>
        <x:v>3.4754942073599389</x:v>
      </x:c>
      <x:c r="CU168" s="26">
        <x:f t="shared" si="156"/>
        <x:v>2.3769184521600026</x:v>
      </x:c>
      <x:c r="CV168" s="26">
        <x:f t="shared" si="157"/>
        <x:v>4.7538369043200043E-3</x:v>
      </x:c>
      <x:c r="CW168" s="26">
        <x:f t="shared" si="158"/>
        <x:v>0</x:v>
      </x:c>
      <x:c r="CX168" s="26">
        <x:f t="shared" si="138"/>
        <x:v>0.80423999999999995</x:v>
      </x:c>
      <x:c r="CY168" s="26">
        <x:f t="shared" si="139"/>
        <x:v>0</x:v>
      </x:c>
    </x:row>
    <x:row r="169">
      <x:c r="A169" s="18">
        <x:v>2022</x:v>
      </x:c>
      <x:c r="B169" t="s">
        <x:v>390</x:v>
      </x:c>
      <x:c r="C169" t="s">
        <x:v>391</x:v>
      </x:c>
      <x:c r="D169" t="s">
        <x:v>392</x:v>
      </x:c>
      <x:c r="E169" s="18">
        <x:v>440606</x:v>
      </x:c>
      <x:c r="F169" t="s">
        <x:v>379</x:v>
      </x:c>
      <x:c r="G169" t="s">
        <x:v>362</x:v>
      </x:c>
      <x:c r="H169" s="18">
        <x:v>1713</x:v>
      </x:c>
      <x:c r="I169" t="s">
        <x:v>162</x:v>
      </x:c>
      <x:c r="J169" t="s">
        <x:v>393</x:v>
      </x:c>
      <x:c r="K169" t="s">
        <x:v>109</x:v>
      </x:c>
      <x:c r="L169" s="20">
        <x:v>0.6</x:v>
      </x:c>
      <x:c r="M169" t="s">
        <x:v>125</x:v>
      </x:c>
      <x:c r="N169" s="18">
        <x:v>35</x:v>
      </x:c>
      <x:c r="O169" t="s">
        <x:v>74</x:v>
      </x:c>
      <x:c r="P169" s="18">
        <x:v>4</x:v>
      </x:c>
      <x:c r="Q169" s="19" t="s">
        <x:v>111</x:v>
      </x:c>
      <x:c r="R169" s="18">
        <x:v>10053</x:v>
      </x:c>
      <x:c r="S169" t="s">
        <x:v>112</x:v>
      </x:c>
      <x:c r="T169" s="19">
        <x:f t="shared" si="159"/>
        <x:v>10053</x:v>
      </x:c>
      <x:c r="U169" s="20">
        <x:v>0.37</x:v>
      </x:c>
      <x:c r="V169" t="s">
        <x:v>113</x:v>
      </x:c>
      <x:c r="W169" s="20">
        <x:v>17.739999999999998</x:v>
      </x:c>
      <x:c r="X169" s="21">
        <x:f t="shared" si="160"/>
        <x:v>63.233370000000008</x:v>
      </x:c>
      <x:c r="Y169" s="21">
        <x:f t="shared" si="161"/>
        <x:v>90.074880000000007</x:v>
      </x:c>
      <x:c r="Z169" s="21">
        <x:f t="shared" si="162"/>
        <x:v>20.106000000000002</x:v>
      </x:c>
      <x:c r="AA169" s="21" t="n">
        <x:f>W169/100*(1-0.44)*0.29*T169</x:f>
        <x:v>289.62451728</x:v>
      </x:c>
      <x:c r="AB169" s="21" t="n">
        <x:f>W169/100*(1-0.44)*0.07*T169</x:f>
        <x:v>69.90936624000001</x:v>
      </x:c>
      <x:c r="AC169" s="21">
        <x:f t="shared" si="163"/>
        <x:v>0.13981873248000001</x:v>
      </x:c>
      <x:c r="AD169" s="21"/>
      <x:c r="AE169" s="21">
        <x:f t="shared" si="164"/>
        <x:v>0.40211999999999998</x:v>
      </x:c>
      <x:c r="AF169" s="21"/>
      <x:c r="AG169" s="19" t="s">
        <x:v>78</x:v>
      </x:c>
      <x:c r="AH169" t="s">
        <x:v>78</x:v>
      </x:c>
      <x:c r="AI169" t="s">
        <x:v>78</x:v>
      </x:c>
      <x:c r="AJ169" s="19"/>
      <x:c r="AK169" s="19" t="s">
        <x:v>78</x:v>
      </x:c>
      <x:c r="AL169" t="s">
        <x:v>78</x:v>
      </x:c>
      <x:c r="AM169" s="19" t="s">
        <x:v>78</x:v>
      </x:c>
      <x:c r="AN169" s="21"/>
      <x:c r="AO169" s="21"/>
      <x:c r="AP169" s="21"/>
      <x:c r="AQ169" s="21"/>
      <x:c r="AR169" s="21"/>
      <x:c r="AS169" s="21"/>
      <x:c r="AT169" s="21"/>
      <x:c r="AU169" s="21"/>
      <x:c r="AV169" s="21"/>
      <x:c r="AW169" t="s">
        <x:v>78</x:v>
      </x:c>
      <x:c r="AX169" s="19"/>
      <x:c r="AY169" s="21"/>
      <x:c r="AZ169" s="21"/>
      <x:c r="BA169" s="21"/>
      <x:c r="BB169" s="21"/>
      <x:c r="BC169" s="21"/>
      <x:c r="BD169" s="21"/>
      <x:c r="BE169" s="21"/>
      <x:c r="BF169" s="21"/>
      <x:c r="BG169" s="21"/>
      <x:c r="BH169" t="s">
        <x:v>81</x:v>
      </x:c>
      <x:c r="BI169" s="18">
        <x:v>113</x:v>
      </x:c>
      <x:c r="BJ169" s="18">
        <x:v>10</x:v>
      </x:c>
      <x:c r="BK169" s="18">
        <x:v>53</x:v>
      </x:c>
      <x:c r="BL169" s="18">
        <x:v>22</x:v>
      </x:c>
      <x:c r="BM169" s="18">
        <x:v>52</x:v>
      </x:c>
      <x:c r="BN169" s="18">
        <x:v>37</x:v>
      </x:c>
      <x:c r="BO169" s="22">
        <x:v>113.181388888889</x:v>
      </x:c>
      <x:c r="BP169" s="22">
        <x:v>22.876944444444401</x:v>
      </x:c>
      <x:c r="BQ169" s="18">
        <x:v>30</x:v>
      </x:c>
      <x:c r="BR169" s="18">
        <x:v>19867.3</x:v>
      </x:c>
      <x:c r="BS169" s="18">
        <x:v>55.793999999999997</x:v>
      </x:c>
      <x:c r="BT169" s="18">
        <x:v>1.2989999999999999</x:v>
      </x:c>
      <x:c r="BU169" s="18">
        <x:v>33.073999999999998</x:v>
      </x:c>
      <x:c r="BV169" s="18">
        <x:v>4.5880000000000001</x:v>
      </x:c>
      <x:c r="BW169" s="18">
        <x:v>925.58600000000001</x:v>
      </x:c>
      <x:c r="BX169" s="18">
        <x:v>0.755</x:v>
      </x:c>
      <x:c r="BY169" s="18">
        <x:v>287.51600000000002</x:v>
      </x:c>
      <x:c r="BZ169" s="18">
        <x:v>287.51600000000002</x:v>
      </x:c>
      <x:c r="CA169" s="23">
        <x:f t="shared" si="126"/>
        <x:v>63.233370000000008</x:v>
      </x:c>
      <x:c r="CB169" s="23">
        <x:f t="shared" si="127"/>
        <x:v>90.074880000000007</x:v>
      </x:c>
      <x:c r="CC169" s="23">
        <x:f t="shared" si="128"/>
        <x:v>20.106000000000002</x:v>
      </x:c>
      <x:c r="CD169" s="23">
        <x:f t="shared" si="129"/>
        <x:v>289.62451728000002</x:v>
      </x:c>
      <x:c r="CE169" s="23">
        <x:f t="shared" si="130"/>
        <x:v>69.909366240000011</x:v>
      </x:c>
      <x:c r="CF169" s="23">
        <x:f t="shared" si="131"/>
        <x:v>0.13981873248000001</x:v>
      </x:c>
      <x:c r="CG169" s="23">
        <x:f t="shared" si="132"/>
        <x:v>0</x:v>
      </x:c>
      <x:c r="CH169" s="23">
        <x:f t="shared" si="133"/>
        <x:v>0.40211999999999998</x:v>
      </x:c>
      <x:c r="CI169" s="23">
        <x:f t="shared" si="134"/>
        <x:v>0</x:v>
      </x:c>
      <x:c r="CJ169" s="24" t="s">
        <x:v>381</x:v>
      </x:c>
      <x:c r="CK169" s="25">
        <x:v>80</x:v>
      </x:c>
      <x:c r="CL169" s="26" t="s">
        <x:v>127</x:v>
      </x:c>
      <x:c r="CM169" s="26">
        <x:v>50</x:v>
      </x:c>
      <x:c r="CN169" s="27" t="s">
        <x:v>394</x:v>
      </x:c>
      <x:c r="CO169" s="27">
        <x:v>99.4</x:v>
      </x:c>
      <x:c r="CP169" s="27">
        <x:v>98.3</x:v>
      </x:c>
      <x:c r="CQ169" s="26">
        <x:f t="shared" si="135"/>
        <x:v>12.646673999999999</x:v>
      </x:c>
      <x:c r="CR169" s="26">
        <x:f t="shared" si="136"/>
        <x:v>45.037440000000004</x:v>
      </x:c>
      <x:c r="CS169" s="26">
        <x:f t="shared" si="137"/>
        <x:v>20.106000000000002</x:v>
      </x:c>
      <x:c r="CT169" s="26">
        <x:f t="shared" si="155"/>
        <x:v>1.7377471036799694</x:v>
      </x:c>
      <x:c r="CU169" s="26">
        <x:f t="shared" si="156"/>
        <x:v>1.1884592260800013</x:v>
      </x:c>
      <x:c r="CV169" s="26">
        <x:f t="shared" si="157"/>
        <x:v>2.3769184521600021E-3</x:v>
      </x:c>
      <x:c r="CW169" s="26">
        <x:f t="shared" si="158"/>
        <x:v>0</x:v>
      </x:c>
      <x:c r="CX169" s="26">
        <x:f t="shared" si="138"/>
        <x:v>0.40211999999999998</x:v>
      </x:c>
      <x:c r="CY169" s="26">
        <x:f t="shared" si="139"/>
        <x:v>0</x:v>
      </x:c>
    </x:row>
    <x:row r="170">
      <x:c r="A170" s="18">
        <x:v>2022</x:v>
      </x:c>
      <x:c r="B170" t="s">
        <x:v>395</x:v>
      </x:c>
      <x:c r="C170" t="s">
        <x:v>396</x:v>
      </x:c>
      <x:c r="D170" t="s">
        <x:v>397</x:v>
      </x:c>
      <x:c r="E170" s="18">
        <x:v>440606</x:v>
      </x:c>
      <x:c r="F170" t="s">
        <x:v>379</x:v>
      </x:c>
      <x:c r="G170" t="s">
        <x:v>362</x:v>
      </x:c>
      <x:c r="H170" s="18">
        <x:v>4411</x:v>
      </x:c>
      <x:c r="I170" t="s">
        <x:v>102</x:v>
      </x:c>
      <x:c r="J170" t="s">
        <x:v>78</x:v>
      </x:c>
      <x:c r="K170" t="s">
        <x:v>109</x:v>
      </x:c>
      <x:c r="L170" s="20">
        <x:v>32</x:v>
      </x:c>
      <x:c r="M170" t="s">
        <x:v>110</x:v>
      </x:c>
      <x:c r="N170" s="18">
        <x:v>1065</x:v>
      </x:c>
      <x:c r="O170" t="s">
        <x:v>88</x:v>
      </x:c>
      <x:c r="P170" s="18">
        <x:v>4</x:v>
      </x:c>
      <x:c r="Q170" s="19" t="s">
        <x:v>111</x:v>
      </x:c>
      <x:c r="R170" s="18">
        <x:v>830106</x:v>
      </x:c>
      <x:c r="S170" t="s">
        <x:v>112</x:v>
      </x:c>
      <x:c r="T170" s="19">
        <x:f t="shared" si="159"/>
        <x:v>830106</x:v>
      </x:c>
      <x:c r="U170" s="20">
        <x:v>0.39</x:v>
      </x:c>
      <x:c r="V170" t="s">
        <x:v>113</x:v>
      </x:c>
      <x:c r="W170" s="20">
        <x:v>6.21</x:v>
      </x:c>
      <x:c r="X170" s="21">
        <x:f t="shared" si="160"/>
        <x:v>5503.6027800000002</x:v>
      </x:c>
      <x:c r="Y170" s="21" t="n">
        <x:f>7.21*T170/1000</x:f>
        <x:v>5985.06426</x:v>
      </x:c>
      <x:c r="Z170" s="21">
        <x:f t="shared" si="162"/>
        <x:v>1660.212</x:v>
      </x:c>
      <x:c r="AA170" s="21" t="n">
        <x:f>W170/100*(1-0.25)*0.23*T170</x:f>
        <x:v>8892.302998500001</x:v>
      </x:c>
      <x:c r="AB170" s="21" t="n">
        <x:f>W170/100*(1-0.25)*0.06*T170</x:f>
        <x:v>2319.731217</x:v>
      </x:c>
      <x:c r="AC170" s="21" t="n">
        <x:f t="shared" ref="AC170:AC171" si="165">0.002*AB170</x:f>
        <x:v>4.639462434</x:v>
      </x:c>
      <x:c r="AD170" s="21"/>
      <x:c r="AE170" s="21">
        <x:f t="shared" si="164"/>
        <x:v>33.204239999999999</x:v>
      </x:c>
      <x:c r="AF170" s="21"/>
      <x:c r="AG170" s="19" t="s">
        <x:v>78</x:v>
      </x:c>
      <x:c r="AH170" t="s">
        <x:v>78</x:v>
      </x:c>
      <x:c r="AI170" t="s">
        <x:v>78</x:v>
      </x:c>
      <x:c r="AJ170" s="19"/>
      <x:c r="AK170" s="19" t="s">
        <x:v>78</x:v>
      </x:c>
      <x:c r="AL170" t="s">
        <x:v>78</x:v>
      </x:c>
      <x:c r="AM170" s="19" t="s">
        <x:v>78</x:v>
      </x:c>
      <x:c r="AN170" s="21"/>
      <x:c r="AO170" s="21"/>
      <x:c r="AP170" s="21"/>
      <x:c r="AQ170" s="21"/>
      <x:c r="AR170" s="21"/>
      <x:c r="AS170" s="21"/>
      <x:c r="AT170" s="21"/>
      <x:c r="AU170" s="21"/>
      <x:c r="AV170" s="21"/>
      <x:c r="AW170" t="s">
        <x:v>78</x:v>
      </x:c>
      <x:c r="AX170" s="19"/>
      <x:c r="AY170" s="21"/>
      <x:c r="AZ170" s="21"/>
      <x:c r="BA170" s="21"/>
      <x:c r="BB170" s="21"/>
      <x:c r="BC170" s="21"/>
      <x:c r="BD170" s="21"/>
      <x:c r="BE170" s="21"/>
      <x:c r="BF170" s="21"/>
      <x:c r="BG170" s="21"/>
      <x:c r="BH170" t="s">
        <x:v>81</x:v>
      </x:c>
      <x:c r="BI170" s="18">
        <x:v>113</x:v>
      </x:c>
      <x:c r="BJ170" s="18">
        <x:v>21</x:v>
      </x:c>
      <x:c r="BK170" s="18">
        <x:v>21</x:v>
      </x:c>
      <x:c r="BL170" s="18">
        <x:v>22</x:v>
      </x:c>
      <x:c r="BM170" s="18">
        <x:v>48</x:v>
      </x:c>
      <x:c r="BN170" s="18">
        <x:v>11</x:v>
      </x:c>
      <x:c r="BO170" s="22">
        <x:v>113.355833333333</x:v>
      </x:c>
      <x:c r="BP170" s="22">
        <x:v>22.803055555555598</x:v>
      </x:c>
      <x:c r="BQ170" s="18">
        <x:v>210</x:v>
      </x:c>
      <x:c r="BR170" s="18">
        <x:v>401190.39</x:v>
      </x:c>
      <x:c r="BS170" s="18">
        <x:v>5516.5519999999997</x:v>
      </x:c>
      <x:c r="BT170" s="18">
        <x:v>59.110999999999997</x:v>
      </x:c>
      <x:c r="BU170" s="18">
        <x:v>1685.115</x:v>
      </x:c>
      <x:c r="BV170" s="18">
        <x:v>146.13</x:v>
      </x:c>
      <x:c r="BW170" s="18">
        <x:v>84114.641000000003</x:v>
      </x:c>
      <x:c r="BX170" s="18">
        <x:v>6.5119999999999996</x:v>
      </x:c>
      <x:c r="BY170" s="18">
        <x:v>9795.2510000000002</x:v>
      </x:c>
      <x:c r="BZ170" s="18">
        <x:v>9795.2510000000002</x:v>
      </x:c>
      <x:c r="CA170" s="23">
        <x:f t="shared" si="126"/>
        <x:v>5503.6027800000002</x:v>
      </x:c>
      <x:c r="CB170" s="23">
        <x:f t="shared" si="127"/>
        <x:v>5985.0642600000001</x:v>
      </x:c>
      <x:c r="CC170" s="23">
        <x:f t="shared" si="128"/>
        <x:v>1660.212</x:v>
      </x:c>
      <x:c r="CD170" s="23">
        <x:f t="shared" si="129"/>
        <x:v>8892.3029985000012</x:v>
      </x:c>
      <x:c r="CE170" s="23">
        <x:f t="shared" si="130"/>
        <x:v>2319.731217</x:v>
      </x:c>
      <x:c r="CF170" s="23">
        <x:f t="shared" si="131"/>
        <x:v>4.6394624340000004</x:v>
      </x:c>
      <x:c r="CG170" s="23">
        <x:f t="shared" si="132"/>
        <x:v>0</x:v>
      </x:c>
      <x:c r="CH170" s="23">
        <x:f t="shared" si="133"/>
        <x:v>33.204239999999999</x:v>
      </x:c>
      <x:c r="CI170" s="23">
        <x:f t="shared" si="134"/>
        <x:v>0</x:v>
      </x:c>
      <x:c r="CJ170" s="24" t="s">
        <x:v>180</x:v>
      </x:c>
      <x:c r="CK170" s="29">
        <x:v>93.69</x:v>
      </x:c>
      <x:c r="CL170" s="26" t="s">
        <x:v>97</x:v>
      </x:c>
      <x:c r="CM170" s="28">
        <x:v>70</x:v>
      </x:c>
      <x:c r="CN170" s="30" t="s">
        <x:v>132</x:v>
      </x:c>
      <x:c r="CO170" s="27">
        <x:v>99.4</x:v>
      </x:c>
      <x:c r="CP170" s="27">
        <x:v>98.3</x:v>
      </x:c>
      <x:c r="CQ170" s="26">
        <x:f t="shared" si="135"/>
        <x:v>347.27733541800023</x:v>
      </x:c>
      <x:c r="CR170" s="26">
        <x:f t="shared" si="136"/>
        <x:v>1795.5192780000002</x:v>
      </x:c>
      <x:c r="CS170" s="26">
        <x:f t="shared" si="137"/>
        <x:v>1660.212</x:v>
      </x:c>
      <x:c r="CT170" s="26">
        <x:f t="shared" si="155"/>
        <x:v>53.353817990999069</x:v>
      </x:c>
      <x:c r="CU170" s="26">
        <x:f t="shared" si="156"/>
        <x:v>39.435430689000036</x:v>
      </x:c>
      <x:c r="CV170" s="26">
        <x:f t="shared" si="157"/>
        <x:v>7.8870861378000076E-2</x:v>
      </x:c>
      <x:c r="CW170" s="26">
        <x:f t="shared" si="158"/>
        <x:v>0</x:v>
      </x:c>
      <x:c r="CX170" s="26">
        <x:f t="shared" si="138"/>
        <x:v>33.204239999999999</x:v>
      </x:c>
      <x:c r="CY170" s="26">
        <x:f t="shared" si="139"/>
        <x:v>0</x:v>
      </x:c>
    </x:row>
    <x:row r="171">
      <x:c r="A171" s="18">
        <x:v>2022</x:v>
      </x:c>
      <x:c r="B171" t="s">
        <x:v>395</x:v>
      </x:c>
      <x:c r="C171" t="s">
        <x:v>396</x:v>
      </x:c>
      <x:c r="D171" t="s">
        <x:v>397</x:v>
      </x:c>
      <x:c r="E171" s="18">
        <x:v>440606</x:v>
      </x:c>
      <x:c r="F171" t="s">
        <x:v>379</x:v>
      </x:c>
      <x:c r="G171" t="s">
        <x:v>362</x:v>
      </x:c>
      <x:c r="H171" s="18">
        <x:v>4411</x:v>
      </x:c>
      <x:c r="I171" t="s">
        <x:v>102</x:v>
      </x:c>
      <x:c r="J171" t="s">
        <x:v>78</x:v>
      </x:c>
      <x:c r="K171" t="s">
        <x:v>109</x:v>
      </x:c>
      <x:c r="L171" s="20">
        <x:v>32</x:v>
      </x:c>
      <x:c r="M171" t="s">
        <x:v>110</x:v>
      </x:c>
      <x:c r="N171" s="18">
        <x:v>1065</x:v>
      </x:c>
      <x:c r="O171" t="s">
        <x:v>88</x:v>
      </x:c>
      <x:c r="P171" s="18">
        <x:v>4</x:v>
      </x:c>
      <x:c r="Q171" s="19" t="s">
        <x:v>111</x:v>
      </x:c>
      <x:c r="R171" s="18">
        <x:v>650175</x:v>
      </x:c>
      <x:c r="S171" t="s">
        <x:v>112</x:v>
      </x:c>
      <x:c r="T171" s="19">
        <x:f t="shared" si="159"/>
        <x:v>650175</x:v>
      </x:c>
      <x:c r="U171" s="20">
        <x:v>0.39</x:v>
      </x:c>
      <x:c r="V171" t="s">
        <x:v>113</x:v>
      </x:c>
      <x:c r="W171" s="20">
        <x:v>6.26</x:v>
      </x:c>
      <x:c r="X171" s="21">
        <x:f t="shared" si="160"/>
        <x:v>4310.6602499999999</x:v>
      </x:c>
      <x:c r="Y171" s="21" t="n">
        <x:f>7.21*T171/1000</x:f>
        <x:v>4687.76175</x:v>
      </x:c>
      <x:c r="Z171" s="21">
        <x:f t="shared" si="162"/>
        <x:v>1300.3499999999999</x:v>
      </x:c>
      <x:c r="AA171" s="21" t="n">
        <x:f>W171/100*(1-0.25)*0.23*T171</x:f>
        <x:v>7020.914737500002</x:v>
      </x:c>
      <x:c r="AB171" s="21" t="n">
        <x:f>W171/100*(1-0.25)*0.06*T171</x:f>
        <x:v>1831.542975</x:v>
      </x:c>
      <x:c r="AC171" s="21">
        <x:f t="shared" si="165"/>
        <x:v>3.6630859500000001</x:v>
      </x:c>
      <x:c r="AD171" s="21"/>
      <x:c r="AE171" s="21">
        <x:f t="shared" si="164"/>
        <x:v>26.007000000000001</x:v>
      </x:c>
      <x:c r="AF171" s="21"/>
      <x:c r="AG171" s="19" t="s">
        <x:v>78</x:v>
      </x:c>
      <x:c r="AH171" t="s">
        <x:v>78</x:v>
      </x:c>
      <x:c r="AI171" t="s">
        <x:v>78</x:v>
      </x:c>
      <x:c r="AJ171" s="19"/>
      <x:c r="AK171" s="19" t="s">
        <x:v>78</x:v>
      </x:c>
      <x:c r="AL171" t="s">
        <x:v>78</x:v>
      </x:c>
      <x:c r="AM171" s="19" t="s">
        <x:v>78</x:v>
      </x:c>
      <x:c r="AN171" s="21"/>
      <x:c r="AO171" s="21"/>
      <x:c r="AP171" s="21"/>
      <x:c r="AQ171" s="21"/>
      <x:c r="AR171" s="21"/>
      <x:c r="AS171" s="21"/>
      <x:c r="AT171" s="21"/>
      <x:c r="AU171" s="21"/>
      <x:c r="AV171" s="21"/>
      <x:c r="AW171" t="s">
        <x:v>78</x:v>
      </x:c>
      <x:c r="AX171" s="19"/>
      <x:c r="AY171" s="21"/>
      <x:c r="AZ171" s="21"/>
      <x:c r="BA171" s="21"/>
      <x:c r="BB171" s="21"/>
      <x:c r="BC171" s="21"/>
      <x:c r="BD171" s="21"/>
      <x:c r="BE171" s="21"/>
      <x:c r="BF171" s="21"/>
      <x:c r="BG171" s="21"/>
      <x:c r="BH171" t="s">
        <x:v>79</x:v>
      </x:c>
      <x:c r="BI171" s="18">
        <x:v>113</x:v>
      </x:c>
      <x:c r="BJ171" s="18">
        <x:v>21</x:v>
      </x:c>
      <x:c r="BK171" s="18">
        <x:v>21</x:v>
      </x:c>
      <x:c r="BL171" s="18">
        <x:v>22</x:v>
      </x:c>
      <x:c r="BM171" s="18">
        <x:v>48</x:v>
      </x:c>
      <x:c r="BN171" s="18">
        <x:v>11</x:v>
      </x:c>
      <x:c r="BO171" s="22">
        <x:v>113.355833333333</x:v>
      </x:c>
      <x:c r="BP171" s="22">
        <x:v>22.803055555555598</x:v>
      </x:c>
      <x:c r="BQ171" s="18">
        <x:v>210</x:v>
      </x:c>
      <x:c r="BR171" s="18">
        <x:v>336560.99300000002</x:v>
      </x:c>
      <x:c r="BS171" s="18">
        <x:v>4210.0129999999999</x:v>
      </x:c>
      <x:c r="BT171" s="18">
        <x:v>54.741</x:v>
      </x:c>
      <x:c r="BU171" s="18">
        <x:v>1319.855</x:v>
      </x:c>
      <x:c r="BV171" s="18">
        <x:v>138.655</x:v>
      </x:c>
      <x:c r="BW171" s="18">
        <x:v>65882.232999999993</x:v>
      </x:c>
      <x:c r="BX171" s="18">
        <x:v>5.5979999999999999</x:v>
      </x:c>
      <x:c r="BY171" s="18">
        <x:v>7672.0649999999996</x:v>
      </x:c>
      <x:c r="BZ171" s="18">
        <x:v>7672.0649999999996</x:v>
      </x:c>
      <x:c r="CA171" s="23">
        <x:f t="shared" si="126"/>
        <x:v>4310.6602499999999</x:v>
      </x:c>
      <x:c r="CB171" s="23">
        <x:f t="shared" si="127"/>
        <x:v>4687.7617499999997</x:v>
      </x:c>
      <x:c r="CC171" s="23">
        <x:f t="shared" si="128"/>
        <x:v>1300.3499999999999</x:v>
      </x:c>
      <x:c r="CD171" s="23">
        <x:f t="shared" si="129"/>
        <x:v>7020.914737500002</x:v>
      </x:c>
      <x:c r="CE171" s="23">
        <x:f t="shared" si="130"/>
        <x:v>1831.5429750000001</x:v>
      </x:c>
      <x:c r="CF171" s="23">
        <x:f t="shared" si="131"/>
        <x:v>3.6630859500000001</x:v>
      </x:c>
      <x:c r="CG171" s="23">
        <x:f t="shared" si="132"/>
        <x:v>0</x:v>
      </x:c>
      <x:c r="CH171" s="23">
        <x:f t="shared" si="133"/>
        <x:v>26.007000000000001</x:v>
      </x:c>
      <x:c r="CI171" s="23">
        <x:f t="shared" si="134"/>
        <x:v>0</x:v>
      </x:c>
      <x:c r="CJ171" s="24" t="s">
        <x:v>180</x:v>
      </x:c>
      <x:c r="CK171" s="29">
        <x:v>93.69</x:v>
      </x:c>
      <x:c r="CL171" s="26" t="s">
        <x:v>97</x:v>
      </x:c>
      <x:c r="CM171" s="28">
        <x:v>70</x:v>
      </x:c>
      <x:c r="CN171" s="30" t="s">
        <x:v>132</x:v>
      </x:c>
      <x:c r="CO171" s="27">
        <x:v>99.4</x:v>
      </x:c>
      <x:c r="CP171" s="27">
        <x:v>98.3</x:v>
      </x:c>
      <x:c r="CQ171" s="26">
        <x:f t="shared" si="135"/>
        <x:v>272.00266177500021</x:v>
      </x:c>
      <x:c r="CR171" s="26">
        <x:f t="shared" si="136"/>
        <x:v>1406.3285250000001</x:v>
      </x:c>
      <x:c r="CS171" s="26">
        <x:f t="shared" si="137"/>
        <x:v>1300.3499999999999</x:v>
      </x:c>
      <x:c r="CT171" s="26">
        <x:f t="shared" si="155"/>
        <x:v>42.125488424999268</x:v>
      </x:c>
      <x:c r="CU171" s="26">
        <x:f t="shared" si="156"/>
        <x:v>31.136230575000027</x:v>
      </x:c>
      <x:c r="CV171" s="26">
        <x:f t="shared" si="157"/>
        <x:v>6.2272461150000055E-2</x:v>
      </x:c>
      <x:c r="CW171" s="26">
        <x:f t="shared" si="158"/>
        <x:v>0</x:v>
      </x:c>
      <x:c r="CX171" s="26">
        <x:f t="shared" si="138"/>
        <x:v>26.007000000000001</x:v>
      </x:c>
      <x:c r="CY171" s="26">
        <x:f t="shared" si="139"/>
        <x:v>0</x:v>
      </x:c>
    </x:row>
    <x:row r="172">
      <x:c r="A172" s="18">
        <x:v>2022</x:v>
      </x:c>
      <x:c r="B172" t="s">
        <x:v>398</x:v>
      </x:c>
      <x:c r="C172" t="s">
        <x:v>399</x:v>
      </x:c>
      <x:c r="D172" t="s">
        <x:v>400</x:v>
      </x:c>
      <x:c r="E172" s="18">
        <x:v>440607</x:v>
      </x:c>
      <x:c r="F172" t="s">
        <x:v>401</x:v>
      </x:c>
      <x:c r="G172" t="s">
        <x:v>362</x:v>
      </x:c>
      <x:c r="H172" s="18">
        <x:v>4411</x:v>
      </x:c>
      <x:c r="I172" t="s">
        <x:v>102</x:v>
      </x:c>
      <x:c r="J172" t="s">
        <x:v>78</x:v>
      </x:c>
      <x:c r="K172" t="s">
        <x:v>80</x:v>
      </x:c>
      <x:c r="L172" s="18">
        <x:v>5.9</x:v>
      </x:c>
      <x:c r="M172" t="s">
        <x:v>78</x:v>
      </x:c>
      <x:c r="N172" s="18">
        <x:v>43.8</x:v>
      </x:c>
      <x:c r="O172" t="s">
        <x:v>88</x:v>
      </x:c>
      <x:c r="P172" s="18">
        <x:v>15</x:v>
      </x:c>
      <x:c r="Q172" s="19" t="s">
        <x:v>96</x:v>
      </x:c>
      <x:c r="R172" s="18">
        <x:v>2943.3719999999998</x:v>
      </x:c>
      <x:c r="S172" t="s">
        <x:v>76</x:v>
      </x:c>
      <x:c r="T172" s="19">
        <x:f t="shared" si="159"/>
        <x:v>2943.3719999999998</x:v>
      </x:c>
      <x:c r="U172" s="20">
        <x:v>20</x:v>
      </x:c>
      <x:c r="V172" t="s">
        <x:v>77</x:v>
      </x:c>
      <x:c r="W172" s="19" t="s">
        <x:v>78</x:v>
      </x:c>
      <x:c r="X172" s="21" t="n">
        <x:f>2*U172*T172*10000/1000000000</x:f>
        <x:v>1.1773488</x:v>
      </x:c>
      <x:c r="Y172" s="21" t="n">
        <x:f>4.1*T172*10000/1000000</x:f>
        <x:v>120.67825199999997</x:v>
      </x:c>
      <x:c r="Z172" s="21" t="n">
        <x:f>1.3*T172*10000/1000000</x:f>
        <x:v>38.263836</x:v>
      </x:c>
      <x:c r="AA172" s="21" t="n">
        <x:f>0.03*T172*10000/1000000</x:f>
        <x:v>0.8830116</x:v>
      </x:c>
      <x:c r="AB172" s="21" t="n">
        <x:f>0.03*T172*10000/1000000</x:f>
        <x:v>0.8830116</x:v>
      </x:c>
      <x:c r="AC172" s="21"/>
      <x:c r="AD172" s="21"/>
      <x:c r="AE172" s="21" t="n">
        <x:f>0.02*T172*10000/1000000</x:f>
        <x:v>0.5886743999999999</x:v>
      </x:c>
      <x:c r="AF172" s="21"/>
      <x:c r="AG172" s="19" t="s">
        <x:v>78</x:v>
      </x:c>
      <x:c r="AH172" t="s">
        <x:v>78</x:v>
      </x:c>
      <x:c r="AI172" t="s">
        <x:v>78</x:v>
      </x:c>
      <x:c r="AJ172" s="19"/>
      <x:c r="AK172" s="19" t="s">
        <x:v>78</x:v>
      </x:c>
      <x:c r="AL172" t="s">
        <x:v>78</x:v>
      </x:c>
      <x:c r="AM172" s="19" t="s">
        <x:v>78</x:v>
      </x:c>
      <x:c r="AN172" s="21"/>
      <x:c r="AO172" s="21"/>
      <x:c r="AP172" s="21"/>
      <x:c r="AQ172" s="21"/>
      <x:c r="AR172" s="21"/>
      <x:c r="AS172" s="21"/>
      <x:c r="AT172" s="21"/>
      <x:c r="AU172" s="21"/>
      <x:c r="AV172" s="21"/>
      <x:c r="AW172" t="s">
        <x:v>78</x:v>
      </x:c>
      <x:c r="AX172" s="19"/>
      <x:c r="AY172" s="21"/>
      <x:c r="AZ172" s="21"/>
      <x:c r="BA172" s="21"/>
      <x:c r="BB172" s="21"/>
      <x:c r="BC172" s="21"/>
      <x:c r="BD172" s="21"/>
      <x:c r="BE172" s="21"/>
      <x:c r="BF172" s="21"/>
      <x:c r="BG172" s="21"/>
      <x:c r="BH172" t="s">
        <x:v>81</x:v>
      </x:c>
      <x:c r="BI172" s="18">
        <x:v>112</x:v>
      </x:c>
      <x:c r="BJ172" s="18">
        <x:v>59</x:v>
      </x:c>
      <x:c r="BK172" s="18">
        <x:v>27.38</x:v>
      </x:c>
      <x:c r="BL172" s="18">
        <x:v>23</x:v>
      </x:c>
      <x:c r="BM172" s="18">
        <x:v>15</x:v>
      </x:c>
      <x:c r="BN172" s="18">
        <x:v>32.26</x:v>
      </x:c>
      <x:c r="BO172" s="22">
        <x:v>112.990938888889</x:v>
      </x:c>
      <x:c r="BP172" s="22">
        <x:v>23.258961111111098</x:v>
      </x:c>
      <x:c r="BQ172" s="18">
        <x:v>40</x:v>
      </x:c>
      <x:c r="BR172" s="18">
        <x:v>72466</x:v>
      </x:c>
      <x:c r="BS172" s="18">
        <x:v>2.5999999999999999E-2</x:v>
      </x:c>
      <x:c r="BT172" s="18">
        <x:v>2.5999999999999999E-2</x:v>
      </x:c>
      <x:c r="BU172" s="18">
        <x:v>13.738</x:v>
      </x:c>
      <x:c r="BV172" s="18">
        <x:v>13.738</x:v>
      </x:c>
      <x:c r="BW172" s="18">
        <x:v>0.34499999999999997</x:v>
      </x:c>
      <x:c r="BX172" s="18">
        <x:v>0.34499999999999997</x:v>
      </x:c>
      <x:c r="BY172" t="s">
        <x:v>78</x:v>
      </x:c>
      <x:c r="BZ172" t="s">
        <x:v>78</x:v>
      </x:c>
      <x:c r="CA172" s="23">
        <x:f t="shared" si="126"/>
        <x:v>1.1773488000000001</x:v>
      </x:c>
      <x:c r="CB172" s="23">
        <x:f t="shared" si="127"/>
        <x:v>120.67825199999997</x:v>
      </x:c>
      <x:c r="CC172" s="23">
        <x:f t="shared" si="128"/>
        <x:v>38.263835999999998</x:v>
      </x:c>
      <x:c r="CD172" s="23">
        <x:f t="shared" si="129"/>
        <x:v>0.88301160000000001</x:v>
      </x:c>
      <x:c r="CE172" s="23">
        <x:f t="shared" si="130"/>
        <x:v>0.88301160000000001</x:v>
      </x:c>
      <x:c r="CF172" s="23">
        <x:f t="shared" si="131"/>
        <x:v>0</x:v>
      </x:c>
      <x:c r="CG172" s="23">
        <x:f t="shared" si="132"/>
        <x:v>0</x:v>
      </x:c>
      <x:c r="CH172" s="23">
        <x:f t="shared" si="133"/>
        <x:v>0.58867439999999993</x:v>
      </x:c>
      <x:c r="CI172" s="23">
        <x:f t="shared" si="134"/>
        <x:v>0</x:v>
      </x:c>
      <x:c r="CJ172" s="24" t="s">
        <x:v>78</x:v>
      </x:c>
      <x:c r="CK172" s="25">
        <x:v>0</x:v>
      </x:c>
      <x:c r="CL172" s="26" t="s">
        <x:v>78</x:v>
      </x:c>
      <x:c r="CM172" s="26">
        <x:v>42</x:v>
      </x:c>
      <x:c r="CN172" s="27" t="s">
        <x:v>78</x:v>
      </x:c>
      <x:c r="CO172" s="27">
        <x:v>0</x:v>
      </x:c>
      <x:c r="CP172" s="27">
        <x:v>0</x:v>
      </x:c>
      <x:c r="CQ172" s="26">
        <x:f t="shared" si="135"/>
        <x:v>1.1773488000000001</x:v>
      </x:c>
      <x:c r="CR172" s="26">
        <x:f t="shared" si="136"/>
        <x:v>69.993386159999986</x:v>
      </x:c>
      <x:c r="CS172" s="26">
        <x:f t="shared" si="137"/>
        <x:v>38.263835999999998</x:v>
      </x:c>
      <x:c r="CT172" s="26">
        <x:f t="shared" si="155"/>
        <x:v>0.88301160000000001</x:v>
      </x:c>
      <x:c r="CU172" s="26">
        <x:f t="shared" si="156"/>
        <x:v>0.88301160000000001</x:v>
      </x:c>
      <x:c r="CV172" s="26">
        <x:f t="shared" si="157"/>
        <x:v>0</x:v>
      </x:c>
      <x:c r="CW172" s="26">
        <x:f t="shared" si="158"/>
        <x:v>0</x:v>
      </x:c>
      <x:c r="CX172" s="26">
        <x:f t="shared" si="138"/>
        <x:v>0.58867439999999993</x:v>
      </x:c>
      <x:c r="CY172" s="26">
        <x:f t="shared" si="139"/>
        <x:v>0</x:v>
      </x:c>
    </x:row>
    <x:row r="173">
      <x:c r="A173" s="18">
        <x:v>2022</x:v>
      </x:c>
      <x:c r="B173" t="s">
        <x:v>398</x:v>
      </x:c>
      <x:c r="C173" t="s">
        <x:v>399</x:v>
      </x:c>
      <x:c r="D173" t="s">
        <x:v>400</x:v>
      </x:c>
      <x:c r="E173" s="18">
        <x:v>440607</x:v>
      </x:c>
      <x:c r="F173" t="s">
        <x:v>401</x:v>
      </x:c>
      <x:c r="G173" t="s">
        <x:v>362</x:v>
      </x:c>
      <x:c r="H173" s="18">
        <x:v>4411</x:v>
      </x:c>
      <x:c r="I173" t="s">
        <x:v>102</x:v>
      </x:c>
      <x:c r="J173" t="s">
        <x:v>78</x:v>
      </x:c>
      <x:c r="K173" t="s">
        <x:v>80</x:v>
      </x:c>
      <x:c r="L173" s="18">
        <x:v>5.9</x:v>
      </x:c>
      <x:c r="M173" t="s">
        <x:v>78</x:v>
      </x:c>
      <x:c r="N173" s="18">
        <x:v>43.8</x:v>
      </x:c>
      <x:c r="O173" t="s">
        <x:v>88</x:v>
      </x:c>
      <x:c r="P173" s="18">
        <x:v>15</x:v>
      </x:c>
      <x:c r="Q173" s="19" t="s">
        <x:v>96</x:v>
      </x:c>
      <x:c r="R173" s="18">
        <x:v>4350.4610000000002</x:v>
      </x:c>
      <x:c r="S173" t="s">
        <x:v>76</x:v>
      </x:c>
      <x:c r="T173" s="19">
        <x:f t="shared" si="159"/>
        <x:v>4350.4610000000002</x:v>
      </x:c>
      <x:c r="U173" s="20">
        <x:v>20</x:v>
      </x:c>
      <x:c r="V173" t="s">
        <x:v>77</x:v>
      </x:c>
      <x:c r="W173" s="19" t="s">
        <x:v>78</x:v>
      </x:c>
      <x:c r="X173" s="21" t="n">
        <x:f>2*U173*T173*10000/1000000000</x:f>
        <x:v>1.7401844</x:v>
      </x:c>
      <x:c r="Y173" s="21" t="n">
        <x:f>4.1*T173*10000/1000000</x:f>
        <x:v>178.368901</x:v>
      </x:c>
      <x:c r="Z173" s="21" t="n">
        <x:f>1.3*T173*10000/1000000</x:f>
        <x:v>56.55599300000001</x:v>
      </x:c>
      <x:c r="AA173" s="21" t="n">
        <x:f>0.03*T173*10000/1000000</x:f>
        <x:v>1.3051383</x:v>
      </x:c>
      <x:c r="AB173" s="21" t="n">
        <x:f>0.03*T173*10000/1000000</x:f>
        <x:v>1.3051383</x:v>
      </x:c>
      <x:c r="AC173" s="21"/>
      <x:c r="AD173" s="21"/>
      <x:c r="AE173" s="21" t="n">
        <x:f>0.02*T173*10000/1000000</x:f>
        <x:v>0.8700922000000002</x:v>
      </x:c>
      <x:c r="AF173" s="21"/>
      <x:c r="AG173" s="19" t="s">
        <x:v>78</x:v>
      </x:c>
      <x:c r="AH173" t="s">
        <x:v>78</x:v>
      </x:c>
      <x:c r="AI173" t="s">
        <x:v>78</x:v>
      </x:c>
      <x:c r="AJ173" s="19"/>
      <x:c r="AK173" s="19" t="s">
        <x:v>78</x:v>
      </x:c>
      <x:c r="AL173" t="s">
        <x:v>78</x:v>
      </x:c>
      <x:c r="AM173" s="19" t="s">
        <x:v>78</x:v>
      </x:c>
      <x:c r="AN173" s="21"/>
      <x:c r="AO173" s="21"/>
      <x:c r="AP173" s="21"/>
      <x:c r="AQ173" s="21"/>
      <x:c r="AR173" s="21"/>
      <x:c r="AS173" s="21"/>
      <x:c r="AT173" s="21"/>
      <x:c r="AU173" s="21"/>
      <x:c r="AV173" s="21"/>
      <x:c r="AW173" t="s">
        <x:v>78</x:v>
      </x:c>
      <x:c r="AX173" s="19"/>
      <x:c r="AY173" s="21"/>
      <x:c r="AZ173" s="21"/>
      <x:c r="BA173" s="21"/>
      <x:c r="BB173" s="21"/>
      <x:c r="BC173" s="21"/>
      <x:c r="BD173" s="21"/>
      <x:c r="BE173" s="21"/>
      <x:c r="BF173" s="21"/>
      <x:c r="BG173" s="21"/>
      <x:c r="BH173" t="s">
        <x:v>79</x:v>
      </x:c>
      <x:c r="BI173" s="18">
        <x:v>112</x:v>
      </x:c>
      <x:c r="BJ173" s="18">
        <x:v>59</x:v>
      </x:c>
      <x:c r="BK173" s="18">
        <x:v>25.76</x:v>
      </x:c>
      <x:c r="BL173" s="18">
        <x:v>23</x:v>
      </x:c>
      <x:c r="BM173" s="18">
        <x:v>15</x:v>
      </x:c>
      <x:c r="BN173" s="18">
        <x:v>31.36</x:v>
      </x:c>
      <x:c r="BO173" s="22">
        <x:v>112.990488888889</x:v>
      </x:c>
      <x:c r="BP173" s="22">
        <x:v>23.258711111111101</x:v>
      </x:c>
      <x:c r="BQ173" s="18">
        <x:v>40</x:v>
      </x:c>
      <x:c r="BR173" s="18">
        <x:v>92653</x:v>
      </x:c>
      <x:c r="BS173" s="18">
        <x:v>3.9E-2</x:v>
      </x:c>
      <x:c r="BT173" s="18">
        <x:v>3.9E-2</x:v>
      </x:c>
      <x:c r="BU173" s="18">
        <x:v>18.638999999999999</x:v>
      </x:c>
      <x:c r="BV173" s="18">
        <x:v>18.638999999999999</x:v>
      </x:c>
      <x:c r="BW173" s="18">
        <x:v>0.85199999999999998</x:v>
      </x:c>
      <x:c r="BX173" s="18">
        <x:v>0.85199999999999998</x:v>
      </x:c>
      <x:c r="BY173" t="s">
        <x:v>78</x:v>
      </x:c>
      <x:c r="BZ173" t="s">
        <x:v>78</x:v>
      </x:c>
      <x:c r="CA173" s="23">
        <x:f t="shared" si="126"/>
        <x:v>1.7401844</x:v>
      </x:c>
      <x:c r="CB173" s="23">
        <x:f t="shared" si="127"/>
        <x:v>178.36890099999999</x:v>
      </x:c>
      <x:c r="CC173" s="23">
        <x:f t="shared" si="128"/>
        <x:v>56.555993000000008</x:v>
      </x:c>
      <x:c r="CD173" s="23">
        <x:f t="shared" si="129"/>
        <x:v>1.3051383000000001</x:v>
      </x:c>
      <x:c r="CE173" s="23">
        <x:f t="shared" si="130"/>
        <x:v>1.3051383000000001</x:v>
      </x:c>
      <x:c r="CF173" s="23">
        <x:f t="shared" si="131"/>
        <x:v>0</x:v>
      </x:c>
      <x:c r="CG173" s="23">
        <x:f t="shared" si="132"/>
        <x:v>0</x:v>
      </x:c>
      <x:c r="CH173" s="23">
        <x:f t="shared" si="133"/>
        <x:v>0.8700922000000002</x:v>
      </x:c>
      <x:c r="CI173" s="23">
        <x:f t="shared" si="134"/>
        <x:v>0</x:v>
      </x:c>
      <x:c r="CJ173" s="24" t="s">
        <x:v>78</x:v>
      </x:c>
      <x:c r="CK173" s="25">
        <x:v>0</x:v>
      </x:c>
      <x:c r="CL173" s="26" t="s">
        <x:v>78</x:v>
      </x:c>
      <x:c r="CM173" s="26">
        <x:v>42</x:v>
      </x:c>
      <x:c r="CN173" s="27" t="s">
        <x:v>78</x:v>
      </x:c>
      <x:c r="CO173" s="27">
        <x:v>0</x:v>
      </x:c>
      <x:c r="CP173" s="27">
        <x:v>0</x:v>
      </x:c>
      <x:c r="CQ173" s="26">
        <x:f t="shared" si="135"/>
        <x:v>1.7401844</x:v>
      </x:c>
      <x:c r="CR173" s="26">
        <x:f t="shared" si="136"/>
        <x:v>103.45396258000001</x:v>
      </x:c>
      <x:c r="CS173" s="26">
        <x:f t="shared" si="137"/>
        <x:v>56.555993000000008</x:v>
      </x:c>
      <x:c r="CT173" s="26">
        <x:f t="shared" si="155"/>
        <x:v>1.3051383000000001</x:v>
      </x:c>
      <x:c r="CU173" s="26">
        <x:f t="shared" si="156"/>
        <x:v>1.3051383000000001</x:v>
      </x:c>
      <x:c r="CV173" s="26">
        <x:f t="shared" si="157"/>
        <x:v>0</x:v>
      </x:c>
      <x:c r="CW173" s="26">
        <x:f t="shared" si="158"/>
        <x:v>0</x:v>
      </x:c>
      <x:c r="CX173" s="26">
        <x:f t="shared" si="138"/>
        <x:v>0.8700922000000002</x:v>
      </x:c>
      <x:c r="CY173" s="26">
        <x:f t="shared" si="139"/>
        <x:v>0</x:v>
      </x:c>
    </x:row>
    <x:row r="174">
      <x:c r="A174" s="18">
        <x:v>2022</x:v>
      </x:c>
      <x:c r="B174" t="s">
        <x:v>402</x:v>
      </x:c>
      <x:c r="C174" t="s">
        <x:v>403</x:v>
      </x:c>
      <x:c r="D174" t="s">
        <x:v>404</x:v>
      </x:c>
      <x:c r="E174" s="18">
        <x:v>440607</x:v>
      </x:c>
      <x:c r="F174" t="s">
        <x:v>401</x:v>
      </x:c>
      <x:c r="G174" t="s">
        <x:v>362</x:v>
      </x:c>
      <x:c r="H174" s="18">
        <x:v>4412</x:v>
      </x:c>
      <x:c r="I174" t="s">
        <x:v>108</x:v>
      </x:c>
      <x:c r="J174" t="s">
        <x:v>405</x:v>
      </x:c>
      <x:c r="K174" t="s">
        <x:v>109</x:v>
      </x:c>
      <x:c r="L174" s="20">
        <x:v>0.57999999999999996</x:v>
      </x:c>
      <x:c r="M174" t="s">
        <x:v>125</x:v>
      </x:c>
      <x:c r="N174" s="18">
        <x:v>75</x:v>
      </x:c>
      <x:c r="O174" t="s">
        <x:v>74</x:v>
      </x:c>
      <x:c r="P174" s="18">
        <x:v>4</x:v>
      </x:c>
      <x:c r="Q174" s="19" t="s">
        <x:v>111</x:v>
      </x:c>
      <x:c r="R174" s="18">
        <x:v>126643</x:v>
      </x:c>
      <x:c r="S174" t="s">
        <x:v>112</x:v>
      </x:c>
      <x:c r="T174" s="19" t="n">
        <x:f t="shared" ref="T174:T183" si="166">R174</x:f>
        <x:v>126643</x:v>
      </x:c>
      <x:c r="U174" s="20">
        <x:v>0.49</x:v>
      </x:c>
      <x:c r="V174" t="s">
        <x:v>113</x:v>
      </x:c>
      <x:c r="W174" s="20">
        <x:v>17.25</x:v>
      </x:c>
      <x:c r="X174" s="21" t="n">
        <x:f t="shared" ref="X174:X182" si="167">2*U174/100*(1-0.15)*T174</x:f>
        <x:v>1054.93619</x:v>
      </x:c>
      <x:c r="Y174" s="21" t="n">
        <x:f t="shared" ref="Y174:Y180" si="168">8.96*T174/1000</x:f>
        <x:v>1134.72128</x:v>
      </x:c>
      <x:c r="Z174" s="21" t="n">
        <x:f t="shared" ref="Z174:Z182" si="169">2*T174/1000</x:f>
        <x:v>253.286</x:v>
      </x:c>
      <x:c r="AA174" s="21" t="n">
        <x:f t="shared" ref="AA174:AA180" si="170">W174/100*(1-0.44)*0.29*T174</x:f>
        <x:v>3547.7770020000003</x:v>
      </x:c>
      <x:c r="AB174" s="21" t="n">
        <x:f t="shared" ref="AB174:AB180" si="171">W174/100*(1-0.44)*0.07*T174</x:f>
        <x:v>856.3599660000001</x:v>
      </x:c>
      <x:c r="AC174" s="21" t="n">
        <x:f t="shared" ref="AC174:AC180" si="172">0.002*AB174</x:f>
        <x:v>1.7127199320000002</x:v>
      </x:c>
      <x:c r="AD174" s="21"/>
      <x:c r="AE174" s="21" t="n">
        <x:f t="shared" ref="AE174:AE182" si="173">0.04*T174/1000</x:f>
        <x:v>5.065720000000001</x:v>
      </x:c>
      <x:c r="AF174" s="21"/>
      <x:c r="AG174" s="19" t="s">
        <x:v>78</x:v>
      </x:c>
      <x:c r="AH174" t="s">
        <x:v>78</x:v>
      </x:c>
      <x:c r="AI174" t="s">
        <x:v>78</x:v>
      </x:c>
      <x:c r="AJ174" s="19"/>
      <x:c r="AK174" s="19" t="s">
        <x:v>78</x:v>
      </x:c>
      <x:c r="AL174" t="s">
        <x:v>78</x:v>
      </x:c>
      <x:c r="AM174" s="19" t="s">
        <x:v>78</x:v>
      </x:c>
      <x:c r="AN174" s="21"/>
      <x:c r="AO174" s="21"/>
      <x:c r="AP174" s="21"/>
      <x:c r="AQ174" s="21"/>
      <x:c r="AR174" s="21"/>
      <x:c r="AS174" s="21"/>
      <x:c r="AT174" s="21"/>
      <x:c r="AU174" s="21"/>
      <x:c r="AV174" s="21"/>
      <x:c r="AW174" t="s">
        <x:v>78</x:v>
      </x:c>
      <x:c r="AX174" s="19"/>
      <x:c r="AY174" s="21"/>
      <x:c r="AZ174" s="21"/>
      <x:c r="BA174" s="21"/>
      <x:c r="BB174" s="21"/>
      <x:c r="BC174" s="21"/>
      <x:c r="BD174" s="21"/>
      <x:c r="BE174" s="21"/>
      <x:c r="BF174" s="21"/>
      <x:c r="BG174" s="21"/>
      <x:c r="BH174" t="s">
        <x:v>81</x:v>
      </x:c>
      <x:c r="BI174" s="18">
        <x:v>112</x:v>
      </x:c>
      <x:c r="BJ174" s="18">
        <x:v>56</x:v>
      </x:c>
      <x:c r="BK174" s="18">
        <x:v>7.4</x:v>
      </x:c>
      <x:c r="BL174" s="18">
        <x:v>23</x:v>
      </x:c>
      <x:c r="BM174" s="18">
        <x:v>26</x:v>
      </x:c>
      <x:c r="BN174" s="18">
        <x:v>38.619999999999997</x:v>
      </x:c>
      <x:c r="BO174" s="22">
        <x:v>112.93538888888899</x:v>
      </x:c>
      <x:c r="BP174" s="22">
        <x:v>23.4440611111111</x:v>
      </x:c>
      <x:c r="BQ174" s="18">
        <x:v>80</x:v>
      </x:c>
      <x:c r="BR174" s="18">
        <x:v>79932.194000000003</x:v>
      </x:c>
      <x:c r="BS174" s="18">
        <x:v>279.24799999999999</x:v>
      </x:c>
      <x:c r="BT174" s="18">
        <x:v>6.8869999999999996</x:v>
      </x:c>
      <x:c r="BU174" s="18">
        <x:v>120.31100000000001</x:v>
      </x:c>
      <x:c r="BV174" s="18">
        <x:v>13.882999999999999</x:v>
      </x:c>
      <x:c r="BW174" s="18">
        <x:v>11338.031000000001</x:v>
      </x:c>
      <x:c r="BX174" s="18">
        <x:v>1.8069999999999999</x:v>
      </x:c>
      <x:c r="BY174" s="18">
        <x:v>3621.99</x:v>
      </x:c>
      <x:c r="BZ174" s="18">
        <x:v>3621.99</x:v>
      </x:c>
      <x:c r="CA174" s="23">
        <x:f t="shared" si="126"/>
        <x:v>1054.9361899999999</x:v>
      </x:c>
      <x:c r="CB174" s="23">
        <x:f t="shared" si="127"/>
        <x:v>1134.72128</x:v>
      </x:c>
      <x:c r="CC174" s="23">
        <x:f t="shared" si="128"/>
        <x:v>253.286</x:v>
      </x:c>
      <x:c r="CD174" s="23">
        <x:f t="shared" si="129"/>
        <x:v>3547.7770020000003</x:v>
      </x:c>
      <x:c r="CE174" s="23">
        <x:f t="shared" si="130"/>
        <x:v>856.3599660000001</x:v>
      </x:c>
      <x:c r="CF174" s="23">
        <x:f t="shared" si="131"/>
        <x:v>1.7127199320000002</x:v>
      </x:c>
      <x:c r="CG174" s="23">
        <x:f t="shared" si="132"/>
        <x:v>0</x:v>
      </x:c>
      <x:c r="CH174" s="23">
        <x:f t="shared" si="133"/>
        <x:v>5.0657200000000007</x:v>
      </x:c>
      <x:c r="CI174" s="23">
        <x:f t="shared" si="134"/>
        <x:v>0</x:v>
      </x:c>
      <x:c r="CJ174" s="24" t="s">
        <x:v>180</x:v>
      </x:c>
      <x:c r="CK174" s="29">
        <x:v>79.569999999999993</x:v>
      </x:c>
      <x:c r="CL174" s="26" t="s">
        <x:v>97</x:v>
      </x:c>
      <x:c r="CM174" s="28">
        <x:v>65</x:v>
      </x:c>
      <x:c r="CN174" s="30" t="s">
        <x:v>357</x:v>
      </x:c>
      <x:c r="CO174" s="27">
        <x:v>99.8</x:v>
      </x:c>
      <x:c r="CP174" s="27">
        <x:v>99.6</x:v>
      </x:c>
      <x:c r="CQ174" s="26">
        <x:f t="shared" si="135"/>
        <x:v>215.523463617</x:v>
      </x:c>
      <x:c r="CR174" s="26">
        <x:f t="shared" si="136"/>
        <x:v>397.15244799999999</x:v>
      </x:c>
      <x:c r="CS174" s="26">
        <x:f t="shared" si="137"/>
        <x:v>253.286</x:v>
      </x:c>
      <x:c r="CT174" s="26">
        <x:f t="shared" si="155"/>
        <x:v>7.0955540040000065</x:v>
      </x:c>
      <x:c r="CU174" s="26">
        <x:f t="shared" si="156"/>
        <x:v>3.4254398640000034</x:v>
      </x:c>
      <x:c r="CV174" s="26">
        <x:f t="shared" si="157"/>
        <x:v>6.8508797280000065E-3</x:v>
      </x:c>
      <x:c r="CW174" s="26">
        <x:f t="shared" si="158"/>
        <x:v>0</x:v>
      </x:c>
      <x:c r="CX174" s="26">
        <x:f t="shared" si="138"/>
        <x:v>5.0657200000000007</x:v>
      </x:c>
      <x:c r="CY174" s="26">
        <x:f t="shared" si="139"/>
        <x:v>0</x:v>
      </x:c>
    </x:row>
    <x:row r="175">
      <x:c r="A175" s="18">
        <x:v>2022</x:v>
      </x:c>
      <x:c r="B175" t="s">
        <x:v>402</x:v>
      </x:c>
      <x:c r="C175" t="s">
        <x:v>403</x:v>
      </x:c>
      <x:c r="D175" t="s">
        <x:v>404</x:v>
      </x:c>
      <x:c r="E175" s="18">
        <x:v>440607</x:v>
      </x:c>
      <x:c r="F175" t="s">
        <x:v>401</x:v>
      </x:c>
      <x:c r="G175" t="s">
        <x:v>362</x:v>
      </x:c>
      <x:c r="H175" s="18">
        <x:v>4412</x:v>
      </x:c>
      <x:c r="I175" t="s">
        <x:v>108</x:v>
      </x:c>
      <x:c r="J175" t="s">
        <x:v>405</x:v>
      </x:c>
      <x:c r="K175" t="s">
        <x:v>109</x:v>
      </x:c>
      <x:c r="L175" s="20">
        <x:v>1</x:v>
      </x:c>
      <x:c r="M175" t="s">
        <x:v>125</x:v>
      </x:c>
      <x:c r="N175" s="18">
        <x:v>130</x:v>
      </x:c>
      <x:c r="O175" t="s">
        <x:v>74</x:v>
      </x:c>
      <x:c r="P175" s="18">
        <x:v>4</x:v>
      </x:c>
      <x:c r="Q175" s="19" t="s">
        <x:v>111</x:v>
      </x:c>
      <x:c r="R175" s="18">
        <x:v>153109</x:v>
      </x:c>
      <x:c r="S175" t="s">
        <x:v>112</x:v>
      </x:c>
      <x:c r="T175" s="19">
        <x:f t="shared" si="166"/>
        <x:v>153109</x:v>
      </x:c>
      <x:c r="U175" s="20">
        <x:v>0.49</x:v>
      </x:c>
      <x:c r="V175" t="s">
        <x:v>113</x:v>
      </x:c>
      <x:c r="W175" s="20">
        <x:v>17.25</x:v>
      </x:c>
      <x:c r="X175" s="21">
        <x:f t="shared" si="167"/>
        <x:v>1275.3979699999998</x:v>
      </x:c>
      <x:c r="Y175" s="21">
        <x:f t="shared" si="168"/>
        <x:v>1371.8566400000002</x:v>
      </x:c>
      <x:c r="Z175" s="21">
        <x:f t="shared" si="169"/>
        <x:v>306.21800000000002</x:v>
      </x:c>
      <x:c r="AA175" s="21">
        <x:f t="shared" si="170"/>
        <x:v>4289.1955260000004</x:v>
      </x:c>
      <x:c r="AB175" s="21">
        <x:f t="shared" si="171"/>
        <x:v>1035.3230580000002</x:v>
      </x:c>
      <x:c r="AC175" s="21">
        <x:f t="shared" si="172"/>
        <x:v>2.0706461160000003</x:v>
      </x:c>
      <x:c r="AD175" s="21"/>
      <x:c r="AE175" s="21">
        <x:f t="shared" si="173"/>
        <x:v>6.1243600000000002</x:v>
      </x:c>
      <x:c r="AF175" s="21"/>
      <x:c r="AG175" s="19" t="s">
        <x:v>78</x:v>
      </x:c>
      <x:c r="AH175" t="s">
        <x:v>78</x:v>
      </x:c>
      <x:c r="AI175" t="s">
        <x:v>78</x:v>
      </x:c>
      <x:c r="AJ175" s="19"/>
      <x:c r="AK175" s="19" t="s">
        <x:v>78</x:v>
      </x:c>
      <x:c r="AL175" t="s">
        <x:v>78</x:v>
      </x:c>
      <x:c r="AM175" s="19" t="s">
        <x:v>78</x:v>
      </x:c>
      <x:c r="AN175" s="21"/>
      <x:c r="AO175" s="21"/>
      <x:c r="AP175" s="21"/>
      <x:c r="AQ175" s="21"/>
      <x:c r="AR175" s="21"/>
      <x:c r="AS175" s="21"/>
      <x:c r="AT175" s="21"/>
      <x:c r="AU175" s="21"/>
      <x:c r="AV175" s="21"/>
      <x:c r="AW175" t="s">
        <x:v>78</x:v>
      </x:c>
      <x:c r="AX175" s="19"/>
      <x:c r="AY175" s="21"/>
      <x:c r="AZ175" s="21"/>
      <x:c r="BA175" s="21"/>
      <x:c r="BB175" s="21"/>
      <x:c r="BC175" s="21"/>
      <x:c r="BD175" s="21"/>
      <x:c r="BE175" s="21"/>
      <x:c r="BF175" s="21"/>
      <x:c r="BG175" s="21"/>
      <x:c r="BH175" t="s">
        <x:v>81</x:v>
      </x:c>
      <x:c r="BI175" s="18">
        <x:v>112</x:v>
      </x:c>
      <x:c r="BJ175" s="18">
        <x:v>56</x:v>
      </x:c>
      <x:c r="BK175" s="18">
        <x:v>7.4</x:v>
      </x:c>
      <x:c r="BL175" s="18">
        <x:v>23</x:v>
      </x:c>
      <x:c r="BM175" s="18">
        <x:v>26</x:v>
      </x:c>
      <x:c r="BN175" s="18">
        <x:v>38.619999999999997</x:v>
      </x:c>
      <x:c r="BO175" s="22">
        <x:v>112.93538888888899</x:v>
      </x:c>
      <x:c r="BP175" s="22">
        <x:v>23.4440611111111</x:v>
      </x:c>
      <x:c r="BQ175" s="18">
        <x:v>80</x:v>
      </x:c>
      <x:c r="BR175" s="18">
        <x:v>96615.466</x:v>
      </x:c>
      <x:c r="BS175" s="18">
        <x:v>337.60500000000002</x:v>
      </x:c>
      <x:c r="BT175" s="18">
        <x:v>8.4179999999999993</x:v>
      </x:c>
      <x:c r="BU175" s="18">
        <x:v>145.45400000000001</x:v>
      </x:c>
      <x:c r="BV175" s="18">
        <x:v>16.968</x:v>
      </x:c>
      <x:c r="BW175" s="18">
        <x:v>13707.466</x:v>
      </x:c>
      <x:c r="BX175" s="18">
        <x:v>2.2090000000000001</x:v>
      </x:c>
      <x:c r="BY175" s="18">
        <x:v>4378.9170000000004</x:v>
      </x:c>
      <x:c r="BZ175" s="18">
        <x:v>4378.9170000000004</x:v>
      </x:c>
      <x:c r="CA175" s="23">
        <x:f t="shared" si="126"/>
        <x:v>1275.3979699999998</x:v>
      </x:c>
      <x:c r="CB175" s="23">
        <x:f t="shared" si="127"/>
        <x:v>1371.8566400000002</x:v>
      </x:c>
      <x:c r="CC175" s="23">
        <x:f t="shared" si="128"/>
        <x:v>306.21800000000002</x:v>
      </x:c>
      <x:c r="CD175" s="23">
        <x:f t="shared" si="129"/>
        <x:v>4289.1955260000004</x:v>
      </x:c>
      <x:c r="CE175" s="23">
        <x:f t="shared" si="130"/>
        <x:v>1035.3230580000002</x:v>
      </x:c>
      <x:c r="CF175" s="23">
        <x:f t="shared" si="131"/>
        <x:v>2.0706461160000003</x:v>
      </x:c>
      <x:c r="CG175" s="23">
        <x:f t="shared" si="132"/>
        <x:v>0</x:v>
      </x:c>
      <x:c r="CH175" s="23">
        <x:f t="shared" si="133"/>
        <x:v>6.1243600000000002</x:v>
      </x:c>
      <x:c r="CI175" s="23">
        <x:f t="shared" si="134"/>
        <x:v>0</x:v>
      </x:c>
      <x:c r="CJ175" s="24" t="s">
        <x:v>180</x:v>
      </x:c>
      <x:c r="CK175" s="29">
        <x:v>79.569999999999993</x:v>
      </x:c>
      <x:c r="CL175" s="26" t="s">
        <x:v>97</x:v>
      </x:c>
      <x:c r="CM175" s="28">
        <x:v>65</x:v>
      </x:c>
      <x:c r="CN175" s="30" t="s">
        <x:v>357</x:v>
      </x:c>
      <x:c r="CO175" s="27">
        <x:v>99.8</x:v>
      </x:c>
      <x:c r="CP175" s="27">
        <x:v>99.6</x:v>
      </x:c>
      <x:c r="CQ175" s="26">
        <x:f t="shared" si="135"/>
        <x:v>260.56380527099998</x:v>
      </x:c>
      <x:c r="CR175" s="26">
        <x:f t="shared" si="136"/>
        <x:v>480.14982400000002</x:v>
      </x:c>
      <x:c r="CS175" s="26">
        <x:f t="shared" si="137"/>
        <x:v>306.21800000000002</x:v>
      </x:c>
      <x:c r="CT175" s="26">
        <x:f t="shared" si="155"/>
        <x:v>8.5783910520000077</x:v>
      </x:c>
      <x:c r="CU175" s="26">
        <x:f t="shared" si="156"/>
        <x:v>4.1412922320000041</x:v>
      </x:c>
      <x:c r="CV175" s="26">
        <x:f t="shared" si="157"/>
        <x:v>8.2825844640000076E-3</x:v>
      </x:c>
      <x:c r="CW175" s="26">
        <x:f t="shared" si="158"/>
        <x:v>0</x:v>
      </x:c>
      <x:c r="CX175" s="26">
        <x:f t="shared" si="138"/>
        <x:v>6.1243600000000002</x:v>
      </x:c>
      <x:c r="CY175" s="26">
        <x:f t="shared" si="139"/>
        <x:v>0</x:v>
      </x:c>
    </x:row>
    <x:row r="176">
      <x:c r="A176" s="18">
        <x:v>2022</x:v>
      </x:c>
      <x:c r="B176" t="s">
        <x:v>402</x:v>
      </x:c>
      <x:c r="C176" t="s">
        <x:v>403</x:v>
      </x:c>
      <x:c r="D176" t="s">
        <x:v>404</x:v>
      </x:c>
      <x:c r="E176" s="18">
        <x:v>440607</x:v>
      </x:c>
      <x:c r="F176" t="s">
        <x:v>401</x:v>
      </x:c>
      <x:c r="G176" t="s">
        <x:v>362</x:v>
      </x:c>
      <x:c r="H176" s="18">
        <x:v>4412</x:v>
      </x:c>
      <x:c r="I176" t="s">
        <x:v>108</x:v>
      </x:c>
      <x:c r="J176" t="s">
        <x:v>405</x:v>
      </x:c>
      <x:c r="K176" t="s">
        <x:v>109</x:v>
      </x:c>
      <x:c r="L176" s="20">
        <x:v>0.46</x:v>
      </x:c>
      <x:c r="M176" t="s">
        <x:v>125</x:v>
      </x:c>
      <x:c r="N176" s="18">
        <x:v>60</x:v>
      </x:c>
      <x:c r="O176" t="s">
        <x:v>74</x:v>
      </x:c>
      <x:c r="P176" s="18">
        <x:v>4</x:v>
      </x:c>
      <x:c r="Q176" s="19" t="s">
        <x:v>111</x:v>
      </x:c>
      <x:c r="R176" s="18">
        <x:v>75013</x:v>
      </x:c>
      <x:c r="S176" t="s">
        <x:v>112</x:v>
      </x:c>
      <x:c r="T176" s="19">
        <x:f t="shared" si="166"/>
        <x:v>75013</x:v>
      </x:c>
      <x:c r="U176" s="20">
        <x:v>0.49</x:v>
      </x:c>
      <x:c r="V176" t="s">
        <x:v>113</x:v>
      </x:c>
      <x:c r="W176" s="20">
        <x:v>17.25</x:v>
      </x:c>
      <x:c r="X176" s="21">
        <x:f t="shared" si="167"/>
        <x:v>624.8582899999999</x:v>
      </x:c>
      <x:c r="Y176" s="21">
        <x:f t="shared" si="168"/>
        <x:v>672.11648000000014</x:v>
      </x:c>
      <x:c r="Z176" s="21">
        <x:f t="shared" si="169"/>
        <x:v>150.02600000000001</x:v>
      </x:c>
      <x:c r="AA176" s="21">
        <x:f t="shared" si="170"/>
        <x:v>2101.414182</x:v>
      </x:c>
      <x:c r="AB176" s="21">
        <x:f t="shared" si="171"/>
        <x:v>507.23790600000007</x:v>
      </x:c>
      <x:c r="AC176" s="21">
        <x:f t="shared" si="172"/>
        <x:v>1.0144758120000001</x:v>
      </x:c>
      <x:c r="AD176" s="21"/>
      <x:c r="AE176" s="21">
        <x:f t="shared" si="173"/>
        <x:v>3.0005199999999999</x:v>
      </x:c>
      <x:c r="AF176" s="21"/>
      <x:c r="AG176" s="19" t="s">
        <x:v>78</x:v>
      </x:c>
      <x:c r="AH176" t="s">
        <x:v>78</x:v>
      </x:c>
      <x:c r="AI176" t="s">
        <x:v>78</x:v>
      </x:c>
      <x:c r="AJ176" s="19"/>
      <x:c r="AK176" s="19" t="s">
        <x:v>78</x:v>
      </x:c>
      <x:c r="AL176" t="s">
        <x:v>78</x:v>
      </x:c>
      <x:c r="AM176" s="19" t="s">
        <x:v>78</x:v>
      </x:c>
      <x:c r="AN176" s="21"/>
      <x:c r="AO176" s="21"/>
      <x:c r="AP176" s="21"/>
      <x:c r="AQ176" s="21"/>
      <x:c r="AR176" s="21"/>
      <x:c r="AS176" s="21"/>
      <x:c r="AT176" s="21"/>
      <x:c r="AU176" s="21"/>
      <x:c r="AV176" s="21"/>
      <x:c r="AW176" t="s">
        <x:v>78</x:v>
      </x:c>
      <x:c r="AX176" s="19"/>
      <x:c r="AY176" s="21"/>
      <x:c r="AZ176" s="21"/>
      <x:c r="BA176" s="21"/>
      <x:c r="BB176" s="21"/>
      <x:c r="BC176" s="21"/>
      <x:c r="BD176" s="21"/>
      <x:c r="BE176" s="21"/>
      <x:c r="BF176" s="21"/>
      <x:c r="BG176" s="21"/>
      <x:c r="BH176" t="s">
        <x:v>79</x:v>
      </x:c>
      <x:c r="BI176" s="18">
        <x:v>112</x:v>
      </x:c>
      <x:c r="BJ176" s="18">
        <x:v>56</x:v>
      </x:c>
      <x:c r="BK176" s="18">
        <x:v>7.4</x:v>
      </x:c>
      <x:c r="BL176" s="18">
        <x:v>23</x:v>
      </x:c>
      <x:c r="BM176" s="18">
        <x:v>26</x:v>
      </x:c>
      <x:c r="BN176" s="18">
        <x:v>38.619999999999997</x:v>
      </x:c>
      <x:c r="BO176" s="22">
        <x:v>112.93538888888899</x:v>
      </x:c>
      <x:c r="BP176" s="22">
        <x:v>23.4440611111111</x:v>
      </x:c>
      <x:c r="BQ176" s="18">
        <x:v>80</x:v>
      </x:c>
      <x:c r="BR176" s="18">
        <x:v>45788.673000000003</x:v>
      </x:c>
      <x:c r="BS176" s="18">
        <x:v>165.404</x:v>
      </x:c>
      <x:c r="BT176" s="18">
        <x:v>8.2750000000000004</x:v>
      </x:c>
      <x:c r="BU176" s="18">
        <x:v>71.262</x:v>
      </x:c>
      <x:c r="BV176" s="18">
        <x:v>18.181000000000001</x:v>
      </x:c>
      <x:c r="BW176" s="18">
        <x:v>6715.7259999999997</x:v>
      </x:c>
      <x:c r="BX176" s="18">
        <x:v>1.401</x:v>
      </x:c>
      <x:c r="BY176" s="18">
        <x:v>2145.3719999999998</x:v>
      </x:c>
      <x:c r="BZ176" s="18">
        <x:v>2145.3719999999998</x:v>
      </x:c>
      <x:c r="CA176" s="23">
        <x:f t="shared" si="126"/>
        <x:v>624.8582899999999</x:v>
      </x:c>
      <x:c r="CB176" s="23">
        <x:f t="shared" si="127"/>
        <x:v>672.11648000000014</x:v>
      </x:c>
      <x:c r="CC176" s="23">
        <x:f t="shared" si="128"/>
        <x:v>150.02600000000001</x:v>
      </x:c>
      <x:c r="CD176" s="23">
        <x:f t="shared" si="129"/>
        <x:v>2101.414182</x:v>
      </x:c>
      <x:c r="CE176" s="23">
        <x:f t="shared" si="130"/>
        <x:v>507.23790600000007</x:v>
      </x:c>
      <x:c r="CF176" s="23">
        <x:f t="shared" si="131"/>
        <x:v>1.0144758120000001</x:v>
      </x:c>
      <x:c r="CG176" s="23">
        <x:f t="shared" si="132"/>
        <x:v>0</x:v>
      </x:c>
      <x:c r="CH176" s="23">
        <x:f t="shared" si="133"/>
        <x:v>3.0005199999999999</x:v>
      </x:c>
      <x:c r="CI176" s="23">
        <x:f t="shared" si="134"/>
        <x:v>0</x:v>
      </x:c>
      <x:c r="CJ176" s="24" t="s">
        <x:v>180</x:v>
      </x:c>
      <x:c r="CK176" s="29">
        <x:v>79.569999999999993</x:v>
      </x:c>
      <x:c r="CL176" s="26" t="s">
        <x:v>97</x:v>
      </x:c>
      <x:c r="CM176" s="28">
        <x:v>65</x:v>
      </x:c>
      <x:c r="CN176" s="30" t="s">
        <x:v>357</x:v>
      </x:c>
      <x:c r="CO176" s="27">
        <x:v>99.8</x:v>
      </x:c>
      <x:c r="CP176" s="27">
        <x:v>99.6</x:v>
      </x:c>
      <x:c r="CQ176" s="26">
        <x:f t="shared" si="135"/>
        <x:v>127.658548647</x:v>
      </x:c>
      <x:c r="CR176" s="26">
        <x:f t="shared" si="136"/>
        <x:v>235.24076800000003</x:v>
      </x:c>
      <x:c r="CS176" s="26">
        <x:f t="shared" si="137"/>
        <x:v>150.02600000000001</x:v>
      </x:c>
      <x:c r="CT176" s="26">
        <x:f t="shared" si="155"/>
        <x:v>4.2028283640000037</x:v>
      </x:c>
      <x:c r="CU176" s="26">
        <x:f t="shared" si="156"/>
        <x:v>2.0289516240000021</x:v>
      </x:c>
      <x:c r="CV176" s="26">
        <x:f t="shared" si="157"/>
        <x:v>4.0579032480000041E-3</x:v>
      </x:c>
      <x:c r="CW176" s="26">
        <x:f t="shared" si="158"/>
        <x:v>0</x:v>
      </x:c>
      <x:c r="CX176" s="26">
        <x:f t="shared" si="138"/>
        <x:v>3.0005199999999999</x:v>
      </x:c>
      <x:c r="CY176" s="26">
        <x:f t="shared" si="139"/>
        <x:v>0</x:v>
      </x:c>
    </x:row>
    <x:row r="177">
      <x:c r="A177" s="18">
        <x:v>2022</x:v>
      </x:c>
      <x:c r="B177" t="s">
        <x:v>402</x:v>
      </x:c>
      <x:c r="C177" t="s">
        <x:v>403</x:v>
      </x:c>
      <x:c r="D177" t="s">
        <x:v>404</x:v>
      </x:c>
      <x:c r="E177" s="18">
        <x:v>440607</x:v>
      </x:c>
      <x:c r="F177" t="s">
        <x:v>401</x:v>
      </x:c>
      <x:c r="G177" t="s">
        <x:v>362</x:v>
      </x:c>
      <x:c r="H177" s="18">
        <x:v>4412</x:v>
      </x:c>
      <x:c r="I177" t="s">
        <x:v>108</x:v>
      </x:c>
      <x:c r="J177" t="s">
        <x:v>405</x:v>
      </x:c>
      <x:c r="K177" t="s">
        <x:v>109</x:v>
      </x:c>
      <x:c r="L177" s="20">
        <x:v>0.46</x:v>
      </x:c>
      <x:c r="M177" t="s">
        <x:v>125</x:v>
      </x:c>
      <x:c r="N177" s="18">
        <x:v>60</x:v>
      </x:c>
      <x:c r="O177" t="s">
        <x:v>74</x:v>
      </x:c>
      <x:c r="P177" s="18">
        <x:v>4</x:v>
      </x:c>
      <x:c r="Q177" s="19" t="s">
        <x:v>111</x:v>
      </x:c>
      <x:c r="R177" s="18">
        <x:v>94814</x:v>
      </x:c>
      <x:c r="S177" t="s">
        <x:v>112</x:v>
      </x:c>
      <x:c r="T177" s="19">
        <x:f t="shared" si="166"/>
        <x:v>94814</x:v>
      </x:c>
      <x:c r="U177" s="20">
        <x:v>0.49</x:v>
      </x:c>
      <x:c r="V177" t="s">
        <x:v>113</x:v>
      </x:c>
      <x:c r="W177" s="20">
        <x:v>17.25</x:v>
      </x:c>
      <x:c r="X177" s="21">
        <x:f t="shared" si="167"/>
        <x:v>789.80061999999987</x:v>
      </x:c>
      <x:c r="Y177" s="21">
        <x:f t="shared" si="168"/>
        <x:v>849.53344000000004</x:v>
      </x:c>
      <x:c r="Z177" s="21">
        <x:f t="shared" si="169"/>
        <x:v>189.62799999999999</x:v>
      </x:c>
      <x:c r="AA177" s="21">
        <x:f t="shared" si="170"/>
        <x:v>2656.1193960000001</x:v>
      </x:c>
      <x:c r="AB177" s="21">
        <x:f t="shared" si="171"/>
        <x:v>641.13226800000007</x:v>
      </x:c>
      <x:c r="AC177" s="21">
        <x:f t="shared" si="172"/>
        <x:v>1.2822645360000002</x:v>
      </x:c>
      <x:c r="AD177" s="21"/>
      <x:c r="AE177" s="21">
        <x:f t="shared" si="173"/>
        <x:v>3.7925599999999999</x:v>
      </x:c>
      <x:c r="AF177" s="21"/>
      <x:c r="AG177" s="19" t="s">
        <x:v>78</x:v>
      </x:c>
      <x:c r="AH177" t="s">
        <x:v>78</x:v>
      </x:c>
      <x:c r="AI177" t="s">
        <x:v>78</x:v>
      </x:c>
      <x:c r="AJ177" s="19"/>
      <x:c r="AK177" s="19" t="s">
        <x:v>78</x:v>
      </x:c>
      <x:c r="AL177" t="s">
        <x:v>78</x:v>
      </x:c>
      <x:c r="AM177" s="19" t="s">
        <x:v>78</x:v>
      </x:c>
      <x:c r="AN177" s="21"/>
      <x:c r="AO177" s="21"/>
      <x:c r="AP177" s="21"/>
      <x:c r="AQ177" s="21"/>
      <x:c r="AR177" s="21"/>
      <x:c r="AS177" s="21"/>
      <x:c r="AT177" s="21"/>
      <x:c r="AU177" s="21"/>
      <x:c r="AV177" s="21"/>
      <x:c r="AW177" t="s">
        <x:v>78</x:v>
      </x:c>
      <x:c r="AX177" s="19"/>
      <x:c r="AY177" s="21"/>
      <x:c r="AZ177" s="21"/>
      <x:c r="BA177" s="21"/>
      <x:c r="BB177" s="21"/>
      <x:c r="BC177" s="21"/>
      <x:c r="BD177" s="21"/>
      <x:c r="BE177" s="21"/>
      <x:c r="BF177" s="21"/>
      <x:c r="BG177" s="21"/>
      <x:c r="BH177" t="s">
        <x:v>79</x:v>
      </x:c>
      <x:c r="BI177" s="18">
        <x:v>112</x:v>
      </x:c>
      <x:c r="BJ177" s="18">
        <x:v>56</x:v>
      </x:c>
      <x:c r="BK177" s="18">
        <x:v>7.4</x:v>
      </x:c>
      <x:c r="BL177" s="18">
        <x:v>23</x:v>
      </x:c>
      <x:c r="BM177" s="18">
        <x:v>26</x:v>
      </x:c>
      <x:c r="BN177" s="18">
        <x:v>38.619999999999997</x:v>
      </x:c>
      <x:c r="BO177" s="22">
        <x:v>112.93538888888899</x:v>
      </x:c>
      <x:c r="BP177" s="22">
        <x:v>23.4440611111111</x:v>
      </x:c>
      <x:c r="BQ177" s="18">
        <x:v>80</x:v>
      </x:c>
      <x:c r="BR177" s="18">
        <x:v>58673.868000000002</x:v>
      </x:c>
      <x:c r="BS177" s="18">
        <x:v>209.065</x:v>
      </x:c>
      <x:c r="BT177" s="18">
        <x:v>10.272</x:v>
      </x:c>
      <x:c r="BU177" s="18">
        <x:v>90.072999999999993</x:v>
      </x:c>
      <x:c r="BV177" s="18">
        <x:v>22.568999999999999</x:v>
      </x:c>
      <x:c r="BW177" s="18">
        <x:v>8488.4599999999991</x:v>
      </x:c>
      <x:c r="BX177" s="18">
        <x:v>1.74</x:v>
      </x:c>
      <x:c r="BY177" s="18">
        <x:v>2711.68</x:v>
      </x:c>
      <x:c r="BZ177" s="18">
        <x:v>2711.68</x:v>
      </x:c>
      <x:c r="CA177" s="23">
        <x:f t="shared" si="126"/>
        <x:v>789.80061999999987</x:v>
      </x:c>
      <x:c r="CB177" s="23">
        <x:f t="shared" si="127"/>
        <x:v>849.53344000000004</x:v>
      </x:c>
      <x:c r="CC177" s="23">
        <x:f t="shared" si="128"/>
        <x:v>189.62799999999999</x:v>
      </x:c>
      <x:c r="CD177" s="23">
        <x:f t="shared" si="129"/>
        <x:v>2656.1193960000001</x:v>
      </x:c>
      <x:c r="CE177" s="23">
        <x:f t="shared" si="130"/>
        <x:v>641.13226800000007</x:v>
      </x:c>
      <x:c r="CF177" s="23">
        <x:f t="shared" si="131"/>
        <x:v>1.2822645360000002</x:v>
      </x:c>
      <x:c r="CG177" s="23">
        <x:f t="shared" si="132"/>
        <x:v>0</x:v>
      </x:c>
      <x:c r="CH177" s="23">
        <x:f t="shared" si="133"/>
        <x:v>3.7925599999999999</x:v>
      </x:c>
      <x:c r="CI177" s="23">
        <x:f t="shared" si="134"/>
        <x:v>0</x:v>
      </x:c>
      <x:c r="CJ177" s="24" t="s">
        <x:v>180</x:v>
      </x:c>
      <x:c r="CK177" s="29">
        <x:v>79.569999999999993</x:v>
      </x:c>
      <x:c r="CL177" s="26" t="s">
        <x:v>97</x:v>
      </x:c>
      <x:c r="CM177" s="28">
        <x:v>65</x:v>
      </x:c>
      <x:c r="CN177" s="30" t="s">
        <x:v>357</x:v>
      </x:c>
      <x:c r="CO177" s="27">
        <x:v>99.8</x:v>
      </x:c>
      <x:c r="CP177" s="27">
        <x:v>99.6</x:v>
      </x:c>
      <x:c r="CQ177" s="26">
        <x:f t="shared" si="135"/>
        <x:v>161.35626666600001</x:v>
      </x:c>
      <x:c r="CR177" s="26">
        <x:f t="shared" si="136"/>
        <x:v>297.336704</x:v>
      </x:c>
      <x:c r="CS177" s="26">
        <x:f t="shared" si="137"/>
        <x:v>189.62799999999999</x:v>
      </x:c>
      <x:c r="CT177" s="26">
        <x:f t="shared" si="155"/>
        <x:v>5.3122387920000049</x:v>
      </x:c>
      <x:c r="CU177" s="26">
        <x:f t="shared" si="156"/>
        <x:v>2.5645290720000027</x:v>
      </x:c>
      <x:c r="CV177" s="26">
        <x:f t="shared" si="157"/>
        <x:v>5.1290581440000052E-3</x:v>
      </x:c>
      <x:c r="CW177" s="26">
        <x:f t="shared" si="158"/>
        <x:v>0</x:v>
      </x:c>
      <x:c r="CX177" s="26">
        <x:f t="shared" si="138"/>
        <x:v>3.7925599999999999</x:v>
      </x:c>
      <x:c r="CY177" s="26">
        <x:f t="shared" si="139"/>
        <x:v>0</x:v>
      </x:c>
    </x:row>
    <x:row r="178">
      <x:c r="A178" s="18">
        <x:v>2022</x:v>
      </x:c>
      <x:c r="B178" t="s">
        <x:v>402</x:v>
      </x:c>
      <x:c r="C178" t="s">
        <x:v>403</x:v>
      </x:c>
      <x:c r="D178" t="s">
        <x:v>404</x:v>
      </x:c>
      <x:c r="E178" s="18">
        <x:v>440607</x:v>
      </x:c>
      <x:c r="F178" t="s">
        <x:v>401</x:v>
      </x:c>
      <x:c r="G178" t="s">
        <x:v>362</x:v>
      </x:c>
      <x:c r="H178" s="18">
        <x:v>4412</x:v>
      </x:c>
      <x:c r="I178" t="s">
        <x:v>108</x:v>
      </x:c>
      <x:c r="J178" t="s">
        <x:v>405</x:v>
      </x:c>
      <x:c r="K178" t="s">
        <x:v>109</x:v>
      </x:c>
      <x:c r="L178" s="20">
        <x:v>0.46</x:v>
      </x:c>
      <x:c r="M178" t="s">
        <x:v>125</x:v>
      </x:c>
      <x:c r="N178" s="18">
        <x:v>60</x:v>
      </x:c>
      <x:c r="O178" t="s">
        <x:v>74</x:v>
      </x:c>
      <x:c r="P178" s="18">
        <x:v>4</x:v>
      </x:c>
      <x:c r="Q178" s="19" t="s">
        <x:v>111</x:v>
      </x:c>
      <x:c r="R178" s="18">
        <x:v>90933</x:v>
      </x:c>
      <x:c r="S178" t="s">
        <x:v>112</x:v>
      </x:c>
      <x:c r="T178" s="19">
        <x:f t="shared" si="166"/>
        <x:v>90933</x:v>
      </x:c>
      <x:c r="U178" s="20">
        <x:v>0.49</x:v>
      </x:c>
      <x:c r="V178" t="s">
        <x:v>113</x:v>
      </x:c>
      <x:c r="W178" s="20">
        <x:v>17.25</x:v>
      </x:c>
      <x:c r="X178" s="21">
        <x:f t="shared" si="167"/>
        <x:v>757.47188999999992</x:v>
      </x:c>
      <x:c r="Y178" s="21">
        <x:f t="shared" si="168"/>
        <x:v>814.75968</x:v>
      </x:c>
      <x:c r="Z178" s="21">
        <x:f t="shared" si="169"/>
        <x:v>181.86600000000001</x:v>
      </x:c>
      <x:c r="AA178" s="21">
        <x:f t="shared" si="170"/>
        <x:v>2547.397062</x:v>
      </x:c>
      <x:c r="AB178" s="21">
        <x:f t="shared" si="171"/>
        <x:v>614.88894600000003</x:v>
      </x:c>
      <x:c r="AC178" s="21">
        <x:f t="shared" si="172"/>
        <x:v>1.229777892</x:v>
      </x:c>
      <x:c r="AD178" s="21"/>
      <x:c r="AE178" s="21">
        <x:f t="shared" si="173"/>
        <x:v>3.6373200000000003</x:v>
      </x:c>
      <x:c r="AF178" s="21"/>
      <x:c r="AG178" s="19" t="s">
        <x:v>78</x:v>
      </x:c>
      <x:c r="AH178" t="s">
        <x:v>78</x:v>
      </x:c>
      <x:c r="AI178" t="s">
        <x:v>78</x:v>
      </x:c>
      <x:c r="AJ178" s="19"/>
      <x:c r="AK178" s="19" t="s">
        <x:v>78</x:v>
      </x:c>
      <x:c r="AL178" t="s">
        <x:v>78</x:v>
      </x:c>
      <x:c r="AM178" s="19" t="s">
        <x:v>78</x:v>
      </x:c>
      <x:c r="AN178" s="21"/>
      <x:c r="AO178" s="21"/>
      <x:c r="AP178" s="21"/>
      <x:c r="AQ178" s="21"/>
      <x:c r="AR178" s="21"/>
      <x:c r="AS178" s="21"/>
      <x:c r="AT178" s="21"/>
      <x:c r="AU178" s="21"/>
      <x:c r="AV178" s="21"/>
      <x:c r="AW178" t="s">
        <x:v>78</x:v>
      </x:c>
      <x:c r="AX178" s="19"/>
      <x:c r="AY178" s="21"/>
      <x:c r="AZ178" s="21"/>
      <x:c r="BA178" s="21"/>
      <x:c r="BB178" s="21"/>
      <x:c r="BC178" s="21"/>
      <x:c r="BD178" s="21"/>
      <x:c r="BE178" s="21"/>
      <x:c r="BF178" s="21"/>
      <x:c r="BG178" s="21"/>
      <x:c r="BH178" t="s">
        <x:v>79</x:v>
      </x:c>
      <x:c r="BI178" s="18">
        <x:v>112</x:v>
      </x:c>
      <x:c r="BJ178" s="18">
        <x:v>56</x:v>
      </x:c>
      <x:c r="BK178" s="18">
        <x:v>7.4</x:v>
      </x:c>
      <x:c r="BL178" s="18">
        <x:v>23</x:v>
      </x:c>
      <x:c r="BM178" s="18">
        <x:v>26</x:v>
      </x:c>
      <x:c r="BN178" s="18">
        <x:v>38.619999999999997</x:v>
      </x:c>
      <x:c r="BO178" s="22">
        <x:v>112.93538888888899</x:v>
      </x:c>
      <x:c r="BP178" s="22">
        <x:v>23.4440611111111</x:v>
      </x:c>
      <x:c r="BQ178" s="18">
        <x:v>80</x:v>
      </x:c>
      <x:c r="BR178" s="18">
        <x:v>56135.841</x:v>
      </x:c>
      <x:c r="BS178" s="18">
        <x:v>200.50700000000001</x:v>
      </x:c>
      <x:c r="BT178" s="18">
        <x:v>9.9870000000000001</x:v>
      </x:c>
      <x:c r="BU178" s="18">
        <x:v>86.385999999999996</x:v>
      </x:c>
      <x:c r="BV178" s="18">
        <x:v>21.942</x:v>
      </x:c>
      <x:c r="BW178" s="18">
        <x:v>8141.0039999999999</x:v>
      </x:c>
      <x:c r="BX178" s="18">
        <x:v>1.6910000000000001</x:v>
      </x:c>
      <x:c r="BY178" s="18">
        <x:v>2600.6840000000002</x:v>
      </x:c>
      <x:c r="BZ178" s="18">
        <x:v>2600.6840000000002</x:v>
      </x:c>
      <x:c r="CA178" s="23">
        <x:f t="shared" si="126"/>
        <x:v>757.47188999999992</x:v>
      </x:c>
      <x:c r="CB178" s="23">
        <x:f t="shared" si="127"/>
        <x:v>814.75968</x:v>
      </x:c>
      <x:c r="CC178" s="23">
        <x:f t="shared" si="128"/>
        <x:v>181.86600000000001</x:v>
      </x:c>
      <x:c r="CD178" s="23">
        <x:f t="shared" si="129"/>
        <x:v>2547.397062</x:v>
      </x:c>
      <x:c r="CE178" s="23">
        <x:f t="shared" si="130"/>
        <x:v>614.88894600000003</x:v>
      </x:c>
      <x:c r="CF178" s="23">
        <x:f t="shared" si="131"/>
        <x:v>1.229777892</x:v>
      </x:c>
      <x:c r="CG178" s="23">
        <x:f t="shared" si="132"/>
        <x:v>0</x:v>
      </x:c>
      <x:c r="CH178" s="23">
        <x:f t="shared" si="133"/>
        <x:v>3.6373200000000003</x:v>
      </x:c>
      <x:c r="CI178" s="23">
        <x:f t="shared" si="134"/>
        <x:v>0</x:v>
      </x:c>
      <x:c r="CJ178" s="24" t="s">
        <x:v>180</x:v>
      </x:c>
      <x:c r="CK178" s="29">
        <x:v>79.569999999999993</x:v>
      </x:c>
      <x:c r="CL178" s="26" t="s">
        <x:v>97</x:v>
      </x:c>
      <x:c r="CM178" s="28">
        <x:v>65</x:v>
      </x:c>
      <x:c r="CN178" s="30" t="s">
        <x:v>357</x:v>
      </x:c>
      <x:c r="CO178" s="27">
        <x:v>99.8</x:v>
      </x:c>
      <x:c r="CP178" s="27">
        <x:v>99.6</x:v>
      </x:c>
      <x:c r="CQ178" s="26">
        <x:f t="shared" si="135"/>
        <x:v>154.75150712700002</x:v>
      </x:c>
      <x:c r="CR178" s="26">
        <x:f t="shared" si="136"/>
        <x:v>285.165888</x:v>
      </x:c>
      <x:c r="CS178" s="26">
        <x:f t="shared" si="137"/>
        <x:v>181.86600000000001</x:v>
      </x:c>
      <x:c r="CT178" s="26">
        <x:f t="shared" si="155"/>
        <x:v>5.0947941240000043</x:v>
      </x:c>
      <x:c r="CU178" s="26">
        <x:f t="shared" si="156"/>
        <x:v>2.4595557840000022</x:v>
      </x:c>
      <x:c r="CV178" s="26">
        <x:f t="shared" si="157"/>
        <x:v>4.9191115680000041E-3</x:v>
      </x:c>
      <x:c r="CW178" s="26">
        <x:f t="shared" si="158"/>
        <x:v>0</x:v>
      </x:c>
      <x:c r="CX178" s="26">
        <x:f t="shared" si="138"/>
        <x:v>3.6373200000000003</x:v>
      </x:c>
      <x:c r="CY178" s="26">
        <x:f t="shared" si="139"/>
        <x:v>0</x:v>
      </x:c>
    </x:row>
    <x:row r="179">
      <x:c r="A179" s="18">
        <x:v>2022</x:v>
      </x:c>
      <x:c r="B179" t="s">
        <x:v>402</x:v>
      </x:c>
      <x:c r="C179" t="s">
        <x:v>403</x:v>
      </x:c>
      <x:c r="D179" t="s">
        <x:v>404</x:v>
      </x:c>
      <x:c r="E179" s="18">
        <x:v>440607</x:v>
      </x:c>
      <x:c r="F179" t="s">
        <x:v>401</x:v>
      </x:c>
      <x:c r="G179" t="s">
        <x:v>362</x:v>
      </x:c>
      <x:c r="H179" s="18">
        <x:v>4412</x:v>
      </x:c>
      <x:c r="I179" t="s">
        <x:v>108</x:v>
      </x:c>
      <x:c r="J179" t="s">
        <x:v>405</x:v>
      </x:c>
      <x:c r="K179" t="s">
        <x:v>109</x:v>
      </x:c>
      <x:c r="L179" s="20">
        <x:v>0.47</x:v>
      </x:c>
      <x:c r="M179" t="s">
        <x:v>125</x:v>
      </x:c>
      <x:c r="N179" s="18">
        <x:v>60</x:v>
      </x:c>
      <x:c r="O179" t="s">
        <x:v>74</x:v>
      </x:c>
      <x:c r="P179" s="18">
        <x:v>4</x:v>
      </x:c>
      <x:c r="Q179" s="19" t="s">
        <x:v>111</x:v>
      </x:c>
      <x:c r="R179" s="18">
        <x:v>98820</x:v>
      </x:c>
      <x:c r="S179" t="s">
        <x:v>112</x:v>
      </x:c>
      <x:c r="T179" s="19">
        <x:f t="shared" si="166"/>
        <x:v>98820</x:v>
      </x:c>
      <x:c r="U179" s="20">
        <x:v>0.49</x:v>
      </x:c>
      <x:c r="V179" t="s">
        <x:v>113</x:v>
      </x:c>
      <x:c r="W179" s="20">
        <x:v>17.25</x:v>
      </x:c>
      <x:c r="X179" s="21">
        <x:f t="shared" si="167"/>
        <x:v>823.17059999999992</x:v>
      </x:c>
      <x:c r="Y179" s="21">
        <x:f t="shared" si="168"/>
        <x:v>885.42720000000008</x:v>
      </x:c>
      <x:c r="Z179" s="21">
        <x:f t="shared" si="169"/>
        <x:v>197.64</x:v>
      </x:c>
      <x:c r="AA179" s="21">
        <x:f t="shared" si="170"/>
        <x:v>2768.34348</x:v>
      </x:c>
      <x:c r="AB179" s="21">
        <x:f t="shared" si="171"/>
        <x:v>668.22084000000007</x:v>
      </x:c>
      <x:c r="AC179" s="21">
        <x:f t="shared" si="172"/>
        <x:v>1.3364416800000001</x:v>
      </x:c>
      <x:c r="AD179" s="21"/>
      <x:c r="AE179" s="21">
        <x:f t="shared" si="173"/>
        <x:v>3.9528000000000003</x:v>
      </x:c>
      <x:c r="AF179" s="21"/>
      <x:c r="AG179" s="19" t="s">
        <x:v>78</x:v>
      </x:c>
      <x:c r="AH179" t="s">
        <x:v>78</x:v>
      </x:c>
      <x:c r="AI179" t="s">
        <x:v>78</x:v>
      </x:c>
      <x:c r="AJ179" s="19"/>
      <x:c r="AK179" s="19" t="s">
        <x:v>78</x:v>
      </x:c>
      <x:c r="AL179" t="s">
        <x:v>78</x:v>
      </x:c>
      <x:c r="AM179" s="19" t="s">
        <x:v>78</x:v>
      </x:c>
      <x:c r="AN179" s="21"/>
      <x:c r="AO179" s="21"/>
      <x:c r="AP179" s="21"/>
      <x:c r="AQ179" s="21"/>
      <x:c r="AR179" s="21"/>
      <x:c r="AS179" s="21"/>
      <x:c r="AT179" s="21"/>
      <x:c r="AU179" s="21"/>
      <x:c r="AV179" s="21"/>
      <x:c r="AW179" t="s">
        <x:v>78</x:v>
      </x:c>
      <x:c r="AX179" s="19"/>
      <x:c r="AY179" s="21"/>
      <x:c r="AZ179" s="21"/>
      <x:c r="BA179" s="21"/>
      <x:c r="BB179" s="21"/>
      <x:c r="BC179" s="21"/>
      <x:c r="BD179" s="21"/>
      <x:c r="BE179" s="21"/>
      <x:c r="BF179" s="21"/>
      <x:c r="BG179" s="21"/>
      <x:c r="BH179" t="s">
        <x:v>82</x:v>
      </x:c>
      <x:c r="BI179" s="18">
        <x:v>112</x:v>
      </x:c>
      <x:c r="BJ179" s="18">
        <x:v>56</x:v>
      </x:c>
      <x:c r="BK179" s="18">
        <x:v>7.4</x:v>
      </x:c>
      <x:c r="BL179" s="18">
        <x:v>23</x:v>
      </x:c>
      <x:c r="BM179" s="18">
        <x:v>26</x:v>
      </x:c>
      <x:c r="BN179" s="18">
        <x:v>38.619999999999997</x:v>
      </x:c>
      <x:c r="BO179" s="22">
        <x:v>112.93538888888899</x:v>
      </x:c>
      <x:c r="BP179" s="22">
        <x:v>23.4440611111111</x:v>
      </x:c>
      <x:c r="BQ179" s="18">
        <x:v>80</x:v>
      </x:c>
      <x:c r="BR179" s="18">
        <x:v>62125.042000000001</x:v>
      </x:c>
      <x:c r="BS179" s="18">
        <x:v>217.898</x:v>
      </x:c>
      <x:c r="BT179" s="18">
        <x:v>9.3040000000000003</x:v>
      </x:c>
      <x:c r="BU179" s="18">
        <x:v>93.879000000000005</x:v>
      </x:c>
      <x:c r="BV179" s="18">
        <x:v>16.866</x:v>
      </x:c>
      <x:c r="BW179" s="18">
        <x:v>8847.1080000000002</x:v>
      </x:c>
      <x:c r="BX179" s="18">
        <x:v>2.6539999999999999</x:v>
      </x:c>
      <x:c r="BY179" s="18">
        <x:v>2826.252</x:v>
      </x:c>
      <x:c r="BZ179" s="18">
        <x:v>2826.252</x:v>
      </x:c>
      <x:c r="CA179" s="23">
        <x:f t="shared" si="126"/>
        <x:v>823.17059999999992</x:v>
      </x:c>
      <x:c r="CB179" s="23">
        <x:f t="shared" si="127"/>
        <x:v>885.42720000000008</x:v>
      </x:c>
      <x:c r="CC179" s="23">
        <x:f t="shared" si="128"/>
        <x:v>197.64</x:v>
      </x:c>
      <x:c r="CD179" s="23">
        <x:f t="shared" si="129"/>
        <x:v>2768.34348</x:v>
      </x:c>
      <x:c r="CE179" s="23">
        <x:f t="shared" si="130"/>
        <x:v>668.22084000000007</x:v>
      </x:c>
      <x:c r="CF179" s="23">
        <x:f t="shared" si="131"/>
        <x:v>1.3364416800000001</x:v>
      </x:c>
      <x:c r="CG179" s="23">
        <x:f t="shared" si="132"/>
        <x:v>0</x:v>
      </x:c>
      <x:c r="CH179" s="23">
        <x:f t="shared" si="133"/>
        <x:v>3.9528000000000003</x:v>
      </x:c>
      <x:c r="CI179" s="23">
        <x:f t="shared" si="134"/>
        <x:v>0</x:v>
      </x:c>
      <x:c r="CJ179" s="24" t="s">
        <x:v>180</x:v>
      </x:c>
      <x:c r="CK179" s="29">
        <x:v>79.569999999999993</x:v>
      </x:c>
      <x:c r="CL179" s="26" t="s">
        <x:v>97</x:v>
      </x:c>
      <x:c r="CM179" s="28">
        <x:v>65</x:v>
      </x:c>
      <x:c r="CN179" s="30" t="s">
        <x:v>357</x:v>
      </x:c>
      <x:c r="CO179" s="27">
        <x:v>99.8</x:v>
      </x:c>
      <x:c r="CP179" s="27">
        <x:v>99.6</x:v>
      </x:c>
      <x:c r="CQ179" s="26">
        <x:f t="shared" si="135"/>
        <x:v>168.17375358000001</x:v>
      </x:c>
      <x:c r="CR179" s="26">
        <x:f t="shared" si="136"/>
        <x:v>309.89952</x:v>
      </x:c>
      <x:c r="CS179" s="26">
        <x:f t="shared" si="137"/>
        <x:v>197.64</x:v>
      </x:c>
      <x:c r="CT179" s="26">
        <x:f t="shared" si="155"/>
        <x:v>5.5366869600000053</x:v>
      </x:c>
      <x:c r="CU179" s="26">
        <x:f t="shared" si="156"/>
        <x:v>2.6728833600000028</x:v>
      </x:c>
      <x:c r="CV179" s="26">
        <x:f t="shared" si="157"/>
        <x:v>5.345766720000005E-3</x:v>
      </x:c>
      <x:c r="CW179" s="26">
        <x:f t="shared" si="158"/>
        <x:v>0</x:v>
      </x:c>
      <x:c r="CX179" s="26">
        <x:f t="shared" si="138"/>
        <x:v>3.9528000000000003</x:v>
      </x:c>
      <x:c r="CY179" s="26">
        <x:f t="shared" si="139"/>
        <x:v>0</x:v>
      </x:c>
    </x:row>
    <x:row r="180">
      <x:c r="A180" s="18">
        <x:v>2022</x:v>
      </x:c>
      <x:c r="B180" t="s">
        <x:v>402</x:v>
      </x:c>
      <x:c r="C180" t="s">
        <x:v>403</x:v>
      </x:c>
      <x:c r="D180" t="s">
        <x:v>404</x:v>
      </x:c>
      <x:c r="E180" s="18">
        <x:v>440607</x:v>
      </x:c>
      <x:c r="F180" t="s">
        <x:v>401</x:v>
      </x:c>
      <x:c r="G180" t="s">
        <x:v>362</x:v>
      </x:c>
      <x:c r="H180" s="18">
        <x:v>4412</x:v>
      </x:c>
      <x:c r="I180" t="s">
        <x:v>108</x:v>
      </x:c>
      <x:c r="J180" t="s">
        <x:v>405</x:v>
      </x:c>
      <x:c r="K180" t="s">
        <x:v>109</x:v>
      </x:c>
      <x:c r="L180" s="20">
        <x:v>0.47</x:v>
      </x:c>
      <x:c r="M180" t="s">
        <x:v>125</x:v>
      </x:c>
      <x:c r="N180" s="18">
        <x:v>60</x:v>
      </x:c>
      <x:c r="O180" t="s">
        <x:v>74</x:v>
      </x:c>
      <x:c r="P180" s="18">
        <x:v>4</x:v>
      </x:c>
      <x:c r="Q180" s="19" t="s">
        <x:v>111</x:v>
      </x:c>
      <x:c r="R180" s="18">
        <x:v>100041</x:v>
      </x:c>
      <x:c r="S180" t="s">
        <x:v>112</x:v>
      </x:c>
      <x:c r="T180" s="19">
        <x:f t="shared" si="166"/>
        <x:v>100041</x:v>
      </x:c>
      <x:c r="U180" s="20">
        <x:v>0.49</x:v>
      </x:c>
      <x:c r="V180" t="s">
        <x:v>113</x:v>
      </x:c>
      <x:c r="W180" s="20">
        <x:v>17.25</x:v>
      </x:c>
      <x:c r="X180" s="21">
        <x:f t="shared" si="167"/>
        <x:v>833.34152999999992</x:v>
      </x:c>
      <x:c r="Y180" s="21">
        <x:f t="shared" si="168"/>
        <x:v>896.36736000000008</x:v>
      </x:c>
      <x:c r="Z180" s="21">
        <x:f t="shared" si="169"/>
        <x:v>200.08199999999999</x:v>
      </x:c>
      <x:c r="AA180" s="21">
        <x:f t="shared" si="170"/>
        <x:v>2802.5485739999999</x:v>
      </x:c>
      <x:c r="AB180" s="21">
        <x:f t="shared" si="171"/>
        <x:v>676.47724200000005</x:v>
      </x:c>
      <x:c r="AC180" s="21">
        <x:f t="shared" si="172"/>
        <x:v>1.3529544840000001</x:v>
      </x:c>
      <x:c r="AD180" s="21"/>
      <x:c r="AE180" s="21">
        <x:f t="shared" si="173"/>
        <x:v>4.0016400000000001</x:v>
      </x:c>
      <x:c r="AF180" s="21"/>
      <x:c r="AG180" s="19" t="s">
        <x:v>78</x:v>
      </x:c>
      <x:c r="AH180" t="s">
        <x:v>78</x:v>
      </x:c>
      <x:c r="AI180" t="s">
        <x:v>78</x:v>
      </x:c>
      <x:c r="AJ180" s="19"/>
      <x:c r="AK180" s="19" t="s">
        <x:v>78</x:v>
      </x:c>
      <x:c r="AL180" t="s">
        <x:v>78</x:v>
      </x:c>
      <x:c r="AM180" s="19" t="s">
        <x:v>78</x:v>
      </x:c>
      <x:c r="AN180" s="21"/>
      <x:c r="AO180" s="21"/>
      <x:c r="AP180" s="21"/>
      <x:c r="AQ180" s="21"/>
      <x:c r="AR180" s="21"/>
      <x:c r="AS180" s="21"/>
      <x:c r="AT180" s="21"/>
      <x:c r="AU180" s="21"/>
      <x:c r="AV180" s="21"/>
      <x:c r="AW180" t="s">
        <x:v>78</x:v>
      </x:c>
      <x:c r="AX180" s="19"/>
      <x:c r="AY180" s="21"/>
      <x:c r="AZ180" s="21"/>
      <x:c r="BA180" s="21"/>
      <x:c r="BB180" s="21"/>
      <x:c r="BC180" s="21"/>
      <x:c r="BD180" s="21"/>
      <x:c r="BE180" s="21"/>
      <x:c r="BF180" s="21"/>
      <x:c r="BG180" s="21"/>
      <x:c r="BH180" t="s">
        <x:v>82</x:v>
      </x:c>
      <x:c r="BI180" s="18">
        <x:v>112</x:v>
      </x:c>
      <x:c r="BJ180" s="18">
        <x:v>56</x:v>
      </x:c>
      <x:c r="BK180" s="18">
        <x:v>7.4</x:v>
      </x:c>
      <x:c r="BL180" s="18">
        <x:v>23</x:v>
      </x:c>
      <x:c r="BM180" s="18">
        <x:v>26</x:v>
      </x:c>
      <x:c r="BN180" s="18">
        <x:v>38.619999999999997</x:v>
      </x:c>
      <x:c r="BO180" s="22">
        <x:v>112.93538888888899</x:v>
      </x:c>
      <x:c r="BP180" s="22">
        <x:v>23.4440611111111</x:v>
      </x:c>
      <x:c r="BQ180" s="18">
        <x:v>80</x:v>
      </x:c>
      <x:c r="BR180" s="18">
        <x:v>63316.173999999999</x:v>
      </x:c>
      <x:c r="BS180" s="18">
        <x:v>220.59</x:v>
      </x:c>
      <x:c r="BT180" s="18">
        <x:v>9.3040000000000003</x:v>
      </x:c>
      <x:c r="BU180" s="18">
        <x:v>95.039000000000001</x:v>
      </x:c>
      <x:c r="BV180" s="18">
        <x:v>16.866</x:v>
      </x:c>
      <x:c r="BW180" s="18">
        <x:v>8956.4210000000003</x:v>
      </x:c>
      <x:c r="BX180" s="18">
        <x:v>2.6539999999999999</x:v>
      </x:c>
      <x:c r="BY180" s="18">
        <x:v>2861.1729999999998</x:v>
      </x:c>
      <x:c r="BZ180" s="18">
        <x:v>2861.1729999999998</x:v>
      </x:c>
      <x:c r="CA180" s="23">
        <x:f t="shared" si="126"/>
        <x:v>833.34152999999992</x:v>
      </x:c>
      <x:c r="CB180" s="23">
        <x:f t="shared" si="127"/>
        <x:v>896.36736000000008</x:v>
      </x:c>
      <x:c r="CC180" s="23">
        <x:f t="shared" si="128"/>
        <x:v>200.08199999999999</x:v>
      </x:c>
      <x:c r="CD180" s="23">
        <x:f t="shared" si="129"/>
        <x:v>2802.5485739999999</x:v>
      </x:c>
      <x:c r="CE180" s="23">
        <x:f t="shared" si="130"/>
        <x:v>676.47724200000005</x:v>
      </x:c>
      <x:c r="CF180" s="23">
        <x:f t="shared" si="131"/>
        <x:v>1.3529544840000001</x:v>
      </x:c>
      <x:c r="CG180" s="23">
        <x:f t="shared" si="132"/>
        <x:v>0</x:v>
      </x:c>
      <x:c r="CH180" s="23">
        <x:f t="shared" si="133"/>
        <x:v>4.0016400000000001</x:v>
      </x:c>
      <x:c r="CI180" s="23">
        <x:f t="shared" si="134"/>
        <x:v>0</x:v>
      </x:c>
      <x:c r="CJ180" s="24" t="s">
        <x:v>180</x:v>
      </x:c>
      <x:c r="CK180" s="29">
        <x:v>79.569999999999993</x:v>
      </x:c>
      <x:c r="CL180" s="26" t="s">
        <x:v>97</x:v>
      </x:c>
      <x:c r="CM180" s="28">
        <x:v>65</x:v>
      </x:c>
      <x:c r="CN180" s="30" t="s">
        <x:v>357</x:v>
      </x:c>
      <x:c r="CO180" s="27">
        <x:v>99.8</x:v>
      </x:c>
      <x:c r="CP180" s="27">
        <x:v>99.6</x:v>
      </x:c>
      <x:c r="CQ180" s="26">
        <x:f t="shared" si="135"/>
        <x:v>170.25167457900002</x:v>
      </x:c>
      <x:c r="CR180" s="26">
        <x:f t="shared" si="136"/>
        <x:v>313.72857600000003</x:v>
      </x:c>
      <x:c r="CS180" s="26">
        <x:f t="shared" si="137"/>
        <x:v>200.08199999999999</x:v>
      </x:c>
      <x:c r="CT180" s="26">
        <x:f t="shared" si="155"/>
        <x:v>5.6050971480000049</x:v>
      </x:c>
      <x:c r="CU180" s="26">
        <x:f t="shared" si="156"/>
        <x:v>2.7059089680000028</x:v>
      </x:c>
      <x:c r="CV180" s="26">
        <x:f t="shared" si="157"/>
        <x:v>5.4118179360000051E-3</x:v>
      </x:c>
      <x:c r="CW180" s="26">
        <x:f t="shared" si="158"/>
        <x:v>0</x:v>
      </x:c>
      <x:c r="CX180" s="26">
        <x:f t="shared" si="138"/>
        <x:v>4.0016400000000001</x:v>
      </x:c>
      <x:c r="CY180" s="26">
        <x:f t="shared" si="139"/>
        <x:v>0</x:v>
      </x:c>
    </x:row>
    <x:row r="181">
      <x:c r="A181" s="18">
        <x:v>2022</x:v>
      </x:c>
      <x:c r="B181" t="s">
        <x:v>406</x:v>
      </x:c>
      <x:c r="C181" t="s">
        <x:v>407</x:v>
      </x:c>
      <x:c r="D181" t="s">
        <x:v>408</x:v>
      </x:c>
      <x:c r="E181" s="18">
        <x:v>440607</x:v>
      </x:c>
      <x:c r="F181" t="s">
        <x:v>401</x:v>
      </x:c>
      <x:c r="G181" t="s">
        <x:v>362</x:v>
      </x:c>
      <x:c r="H181" s="18">
        <x:v>4412</x:v>
      </x:c>
      <x:c r="I181" t="s">
        <x:v>108</x:v>
      </x:c>
      <x:c r="J181" t="s">
        <x:v>409</x:v>
      </x:c>
      <x:c r="K181" t="s">
        <x:v>109</x:v>
      </x:c>
      <x:c r="L181" s="20">
        <x:v>60</x:v>
      </x:c>
      <x:c r="M181" t="s">
        <x:v>110</x:v>
      </x:c>
      <x:c r="N181" s="18">
        <x:v>1913</x:v>
      </x:c>
      <x:c r="O181" t="s">
        <x:v>88</x:v>
      </x:c>
      <x:c r="P181" s="18">
        <x:v>1</x:v>
      </x:c>
      <x:c r="Q181" s="19" t="s">
        <x:v>121</x:v>
      </x:c>
      <x:c r="R181" s="18">
        <x:v>1034975</x:v>
      </x:c>
      <x:c r="S181" t="s">
        <x:v>112</x:v>
      </x:c>
      <x:c r="T181" s="19">
        <x:f t="shared" si="166"/>
        <x:v>1034975</x:v>
      </x:c>
      <x:c r="U181" s="20">
        <x:v>0.62</x:v>
      </x:c>
      <x:c r="V181" t="s">
        <x:v>113</x:v>
      </x:c>
      <x:c r="W181" s="20">
        <x:v>16.04</x:v>
      </x:c>
      <x:c r="X181" s="21">
        <x:f t="shared" si="167"/>
        <x:v>10908.636499999999</x:v>
      </x:c>
      <x:c r="Y181" s="21" t="n">
        <x:f>7.21*T181/1000</x:f>
        <x:v>7462.16975</x:v>
      </x:c>
      <x:c r="Z181" s="21">
        <x:f t="shared" si="169"/>
        <x:v>2069.9499999999998</x:v>
      </x:c>
      <x:c r="AA181" s="21" t="n">
        <x:f>W181/100*(1-0.25)*0.23*T181</x:f>
        <x:v>28636.723275</x:v>
      </x:c>
      <x:c r="AB181" s="21" t="n">
        <x:f>W181/100*(1-0.25)*0.06*T181</x:f>
        <x:v>7470.449549999998</x:v>
      </x:c>
      <x:c r="AC181" s="21" t="n">
        <x:f t="shared" ref="AC181:AC182" si="174">0.002*AB181</x:f>
        <x:v>14.940899099999998</x:v>
      </x:c>
      <x:c r="AD181" s="21"/>
      <x:c r="AE181" s="21">
        <x:f t="shared" si="173"/>
        <x:v>41.399000000000001</x:v>
      </x:c>
      <x:c r="AF181" s="21"/>
      <x:c r="AG181" s="19" t="s">
        <x:v>78</x:v>
      </x:c>
      <x:c r="AH181" t="s">
        <x:v>78</x:v>
      </x:c>
      <x:c r="AI181" t="s">
        <x:v>78</x:v>
      </x:c>
      <x:c r="AJ181" s="19"/>
      <x:c r="AK181" s="19" t="s">
        <x:v>78</x:v>
      </x:c>
      <x:c r="AL181" t="s">
        <x:v>78</x:v>
      </x:c>
      <x:c r="AM181" s="19" t="s">
        <x:v>78</x:v>
      </x:c>
      <x:c r="AN181" s="21"/>
      <x:c r="AO181" s="21"/>
      <x:c r="AP181" s="21"/>
      <x:c r="AQ181" s="21"/>
      <x:c r="AR181" s="21"/>
      <x:c r="AS181" s="21"/>
      <x:c r="AT181" s="21"/>
      <x:c r="AU181" s="21"/>
      <x:c r="AV181" s="21"/>
      <x:c r="AW181" t="s">
        <x:v>78</x:v>
      </x:c>
      <x:c r="AX181" s="19"/>
      <x:c r="AY181" s="21"/>
      <x:c r="AZ181" s="21"/>
      <x:c r="BA181" s="21"/>
      <x:c r="BB181" s="21"/>
      <x:c r="BC181" s="21"/>
      <x:c r="BD181" s="21"/>
      <x:c r="BE181" s="21"/>
      <x:c r="BF181" s="21"/>
      <x:c r="BG181" s="21"/>
      <x:c r="BH181" t="s">
        <x:v>81</x:v>
      </x:c>
      <x:c r="BI181" s="18">
        <x:v>112</x:v>
      </x:c>
      <x:c r="BJ181" s="18">
        <x:v>50</x:v>
      </x:c>
      <x:c r="BK181" s="18">
        <x:v>16</x:v>
      </x:c>
      <x:c r="BL181" s="18">
        <x:v>23</x:v>
      </x:c>
      <x:c r="BM181" s="18">
        <x:v>1</x:v>
      </x:c>
      <x:c r="BN181" s="18">
        <x:v>24</x:v>
      </x:c>
      <x:c r="BO181" s="22">
        <x:v>112.837777777778</x:v>
      </x:c>
      <x:c r="BP181" s="22">
        <x:v>23.023333333333301</x:v>
      </x:c>
      <x:c r="BQ181" s="18">
        <x:v>210</x:v>
      </x:c>
      <x:c r="BR181" s="18">
        <x:v>949721.12</x:v>
      </x:c>
      <x:c r="BS181" s="18">
        <x:v>10934.304</x:v>
      </x:c>
      <x:c r="BT181" s="18">
        <x:v>170.74700000000001</x:v>
      </x:c>
      <x:c r="BU181" s="18">
        <x:v>2245.8960000000002</x:v>
      </x:c>
      <x:c r="BV181" s="18">
        <x:v>244.00899999999999</x:v>
      </x:c>
      <x:c r="BW181" s="18">
        <x:v>162385.508</x:v>
      </x:c>
      <x:c r="BX181" s="18">
        <x:v>15.494999999999999</x:v>
      </x:c>
      <x:c r="BY181" s="18">
        <x:v>7151.6769999999997</x:v>
      </x:c>
      <x:c r="BZ181" s="18">
        <x:v>7151.6769999999997</x:v>
      </x:c>
      <x:c r="CA181" s="23">
        <x:f t="shared" si="126"/>
        <x:v>10908.636499999999</x:v>
      </x:c>
      <x:c r="CB181" s="23">
        <x:f t="shared" si="127"/>
        <x:v>7462.16975</x:v>
      </x:c>
      <x:c r="CC181" s="23">
        <x:f t="shared" si="128"/>
        <x:v>2069.9499999999998</x:v>
      </x:c>
      <x:c r="CD181" s="23">
        <x:f t="shared" si="129"/>
        <x:v>28636.723275</x:v>
      </x:c>
      <x:c r="CE181" s="23">
        <x:f t="shared" si="130"/>
        <x:v>7470.4495499999985</x:v>
      </x:c>
      <x:c r="CF181" s="23">
        <x:f t="shared" si="131"/>
        <x:v>14.940899099999998</x:v>
      </x:c>
      <x:c r="CG181" s="23">
        <x:f t="shared" si="132"/>
        <x:v>0</x:v>
      </x:c>
      <x:c r="CH181" s="23">
        <x:f t="shared" si="133"/>
        <x:v>41.399000000000001</x:v>
      </x:c>
      <x:c r="CI181" s="23">
        <x:f t="shared" si="134"/>
        <x:v>0</x:v>
      </x:c>
      <x:c r="CJ181" s="24" t="s">
        <x:v>410</x:v>
      </x:c>
      <x:c r="CK181" s="25">
        <x:v>95</x:v>
      </x:c>
      <x:c r="CL181" s="26" t="s">
        <x:v>104</x:v>
      </x:c>
      <x:c r="CM181" s="28">
        <x:v>85</x:v>
      </x:c>
      <x:c r="CN181" s="30" t="s">
        <x:v>411</x:v>
      </x:c>
      <x:c r="CO181" s="27">
        <x:v>98.9</x:v>
      </x:c>
      <x:c r="CP181" s="27">
        <x:v>97</x:v>
      </x:c>
      <x:c r="CQ181" s="26">
        <x:f t="shared" si="135"/>
        <x:v>545.43182500000046</x:v>
      </x:c>
      <x:c r="CR181" s="26">
        <x:f t="shared" si="136"/>
        <x:v>1119.3254625000002</x:v>
      </x:c>
      <x:c r="CS181" s="26">
        <x:f t="shared" si="137"/>
        <x:v>2069.9499999999998</x:v>
      </x:c>
      <x:c r="CT181" s="26">
        <x:f t="shared" si="155"/>
        <x:v>315.00395602499708</x:v>
      </x:c>
      <x:c r="CU181" s="26">
        <x:f t="shared" si="156"/>
        <x:v>224.11348650000016</x:v>
      </x:c>
      <x:c r="CV181" s="26">
        <x:f t="shared" si="157"/>
        <x:v>0.44822697300000031</x:v>
      </x:c>
      <x:c r="CW181" s="26">
        <x:f t="shared" si="158"/>
        <x:v>0</x:v>
      </x:c>
      <x:c r="CX181" s="26">
        <x:f t="shared" si="138"/>
        <x:v>41.399000000000001</x:v>
      </x:c>
      <x:c r="CY181" s="26">
        <x:f t="shared" si="139"/>
        <x:v>0</x:v>
      </x:c>
    </x:row>
    <x:row r="182">
      <x:c r="A182" s="18">
        <x:v>2022</x:v>
      </x:c>
      <x:c r="B182" t="s">
        <x:v>406</x:v>
      </x:c>
      <x:c r="C182" t="s">
        <x:v>407</x:v>
      </x:c>
      <x:c r="D182" t="s">
        <x:v>408</x:v>
      </x:c>
      <x:c r="E182" s="18">
        <x:v>440607</x:v>
      </x:c>
      <x:c r="F182" t="s">
        <x:v>401</x:v>
      </x:c>
      <x:c r="G182" t="s">
        <x:v>362</x:v>
      </x:c>
      <x:c r="H182" s="18">
        <x:v>4412</x:v>
      </x:c>
      <x:c r="I182" t="s">
        <x:v>108</x:v>
      </x:c>
      <x:c r="J182" t="s">
        <x:v>409</x:v>
      </x:c>
      <x:c r="K182" t="s">
        <x:v>109</x:v>
      </x:c>
      <x:c r="L182" s="20">
        <x:v>60</x:v>
      </x:c>
      <x:c r="M182" t="s">
        <x:v>110</x:v>
      </x:c>
      <x:c r="N182" s="18">
        <x:v>1913</x:v>
      </x:c>
      <x:c r="O182" t="s">
        <x:v>88</x:v>
      </x:c>
      <x:c r="P182" s="18">
        <x:v>1</x:v>
      </x:c>
      <x:c r="Q182" s="19" t="s">
        <x:v>121</x:v>
      </x:c>
      <x:c r="R182" s="18">
        <x:v>977889</x:v>
      </x:c>
      <x:c r="S182" t="s">
        <x:v>112</x:v>
      </x:c>
      <x:c r="T182" s="19">
        <x:f t="shared" si="166"/>
        <x:v>977889</x:v>
      </x:c>
      <x:c r="U182" s="20">
        <x:v>0.59</x:v>
      </x:c>
      <x:c r="V182" t="s">
        <x:v>113</x:v>
      </x:c>
      <x:c r="W182" s="20">
        <x:v>14.76</x:v>
      </x:c>
      <x:c r="X182" s="21">
        <x:f t="shared" si="167"/>
        <x:v>9808.2266699999982</x:v>
      </x:c>
      <x:c r="Y182" s="21" t="n">
        <x:f>7.21*T182/1000</x:f>
        <x:v>7050.5796900000005</x:v>
      </x:c>
      <x:c r="Z182" s="21">
        <x:f t="shared" si="169"/>
        <x:v>1955.778</x:v>
      </x:c>
      <x:c r="AA182" s="21" t="n">
        <x:f>W182/100*(1-0.25)*0.23*T182</x:f>
        <x:v>24898.031829</x:v>
      </x:c>
      <x:c r="AB182" s="21" t="n">
        <x:f>W182/100*(1-0.25)*0.06*T182</x:f>
        <x:v>6495.138738000001</x:v>
      </x:c>
      <x:c r="AC182" s="21">
        <x:f t="shared" si="174"/>
        <x:v>12.990277476000001</x:v>
      </x:c>
      <x:c r="AD182" s="21"/>
      <x:c r="AE182" s="21">
        <x:f t="shared" si="173"/>
        <x:v>39.115559999999995</x:v>
      </x:c>
      <x:c r="AF182" s="21"/>
      <x:c r="AG182" s="19" t="s">
        <x:v>78</x:v>
      </x:c>
      <x:c r="AH182" t="s">
        <x:v>78</x:v>
      </x:c>
      <x:c r="AI182" t="s">
        <x:v>78</x:v>
      </x:c>
      <x:c r="AJ182" s="19"/>
      <x:c r="AK182" s="19" t="s">
        <x:v>78</x:v>
      </x:c>
      <x:c r="AL182" t="s">
        <x:v>78</x:v>
      </x:c>
      <x:c r="AM182" s="19" t="s">
        <x:v>78</x:v>
      </x:c>
      <x:c r="AN182" s="21"/>
      <x:c r="AO182" s="21"/>
      <x:c r="AP182" s="21"/>
      <x:c r="AQ182" s="21"/>
      <x:c r="AR182" s="21"/>
      <x:c r="AS182" s="21"/>
      <x:c r="AT182" s="21"/>
      <x:c r="AU182" s="21"/>
      <x:c r="AV182" s="21"/>
      <x:c r="AW182" t="s">
        <x:v>78</x:v>
      </x:c>
      <x:c r="AX182" s="19"/>
      <x:c r="AY182" s="21"/>
      <x:c r="AZ182" s="21"/>
      <x:c r="BA182" s="21"/>
      <x:c r="BB182" s="21"/>
      <x:c r="BC182" s="21"/>
      <x:c r="BD182" s="21"/>
      <x:c r="BE182" s="21"/>
      <x:c r="BF182" s="21"/>
      <x:c r="BG182" s="21"/>
      <x:c r="BH182" t="s">
        <x:v>79</x:v>
      </x:c>
      <x:c r="BI182" s="18">
        <x:v>112</x:v>
      </x:c>
      <x:c r="BJ182" s="18">
        <x:v>50</x:v>
      </x:c>
      <x:c r="BK182" s="18">
        <x:v>16</x:v>
      </x:c>
      <x:c r="BL182" s="18">
        <x:v>23</x:v>
      </x:c>
      <x:c r="BM182" s="18">
        <x:v>1</x:v>
      </x:c>
      <x:c r="BN182" s="18">
        <x:v>24</x:v>
      </x:c>
      <x:c r="BO182" s="22">
        <x:v>112.837777777778</x:v>
      </x:c>
      <x:c r="BP182" s="22">
        <x:v>23.023333333333301</x:v>
      </x:c>
      <x:c r="BQ182" s="18">
        <x:v>210</x:v>
      </x:c>
      <x:c r="BR182" s="18">
        <x:v>703289.09</x:v>
      </x:c>
      <x:c r="BS182" s="18">
        <x:v>9831.3050000000003</x:v>
      </x:c>
      <x:c r="BT182" s="18">
        <x:v>122.40300000000001</x:v>
      </x:c>
      <x:c r="BU182" s="18">
        <x:v>1985.115</x:v>
      </x:c>
      <x:c r="BV182" s="18">
        <x:v>191.541</x:v>
      </x:c>
      <x:c r="BW182" s="18">
        <x:v>141913.20699999999</x:v>
      </x:c>
      <x:c r="BX182" s="18">
        <x:v>14.6</x:v>
      </x:c>
      <x:c r="BY182" s="18">
        <x:v>6757.2129999999997</x:v>
      </x:c>
      <x:c r="BZ182" s="18">
        <x:v>6757.2129999999997</x:v>
      </x:c>
      <x:c r="CA182" s="23">
        <x:f t="shared" si="126"/>
        <x:v>9808.2266699999982</x:v>
      </x:c>
      <x:c r="CB182" s="23">
        <x:f t="shared" si="127"/>
        <x:v>7050.5796900000005</x:v>
      </x:c>
      <x:c r="CC182" s="23">
        <x:f t="shared" si="128"/>
        <x:v>1955.778</x:v>
      </x:c>
      <x:c r="CD182" s="23">
        <x:f t="shared" si="129"/>
        <x:v>24898.031829</x:v>
      </x:c>
      <x:c r="CE182" s="23">
        <x:f t="shared" si="130"/>
        <x:v>6495.1387380000006</x:v>
      </x:c>
      <x:c r="CF182" s="23">
        <x:f t="shared" si="131"/>
        <x:v>12.990277476000001</x:v>
      </x:c>
      <x:c r="CG182" s="23">
        <x:f t="shared" si="132"/>
        <x:v>0</x:v>
      </x:c>
      <x:c r="CH182" s="23">
        <x:f t="shared" si="133"/>
        <x:v>39.115559999999995</x:v>
      </x:c>
      <x:c r="CI182" s="23">
        <x:f t="shared" si="134"/>
        <x:v>0</x:v>
      </x:c>
      <x:c r="CJ182" s="24" t="s">
        <x:v>410</x:v>
      </x:c>
      <x:c r="CK182" s="25">
        <x:v>95</x:v>
      </x:c>
      <x:c r="CL182" s="26" t="s">
        <x:v>104</x:v>
      </x:c>
      <x:c r="CM182" s="28">
        <x:v>85</x:v>
      </x:c>
      <x:c r="CN182" s="30" t="s">
        <x:v>411</x:v>
      </x:c>
      <x:c r="CO182" s="27">
        <x:v>98.9</x:v>
      </x:c>
      <x:c r="CP182" s="27">
        <x:v>97</x:v>
      </x:c>
      <x:c r="CQ182" s="26">
        <x:f t="shared" si="135"/>
        <x:v>490.41133350000035</x:v>
      </x:c>
      <x:c r="CR182" s="26">
        <x:f t="shared" si="136"/>
        <x:v>1057.5869535000002</x:v>
      </x:c>
      <x:c r="CS182" s="26">
        <x:f t="shared" si="137"/>
        <x:v>1955.778</x:v>
      </x:c>
      <x:c r="CT182" s="26">
        <x:f t="shared" si="155"/>
        <x:v>273.87835011899745</x:v>
      </x:c>
      <x:c r="CU182" s="26">
        <x:f t="shared" si="156"/>
        <x:v>194.8541621400002</x:v>
      </x:c>
      <x:c r="CV182" s="26">
        <x:f t="shared" si="157"/>
        <x:v>0.38970832428000035</x:v>
      </x:c>
      <x:c r="CW182" s="26">
        <x:f t="shared" si="158"/>
        <x:v>0</x:v>
      </x:c>
      <x:c r="CX182" s="26">
        <x:f t="shared" si="138"/>
        <x:v>39.115559999999995</x:v>
      </x:c>
      <x:c r="CY182" s="26">
        <x:f t="shared" si="139"/>
        <x:v>0</x:v>
      </x:c>
    </x:row>
    <x:row r="183">
      <x:c r="A183" s="18">
        <x:v>2022</x:v>
      </x:c>
      <x:c r="B183" t="s">
        <x:v>412</x:v>
      </x:c>
      <x:c r="C183" t="s">
        <x:v>413</x:v>
      </x:c>
      <x:c r="D183" t="s">
        <x:v>414</x:v>
      </x:c>
      <x:c r="E183" s="18">
        <x:v>440607</x:v>
      </x:c>
      <x:c r="F183" t="s">
        <x:v>401</x:v>
      </x:c>
      <x:c r="G183" t="s">
        <x:v>362</x:v>
      </x:c>
      <x:c r="H183" s="18">
        <x:v>4412</x:v>
      </x:c>
      <x:c r="I183" t="s">
        <x:v>108</x:v>
      </x:c>
      <x:c r="J183" t="s">
        <x:v>78</x:v>
      </x:c>
      <x:c r="K183" t="s">
        <x:v>72</x:v>
      </x:c>
      <x:c r="L183" s="18">
        <x:v>1.25</x:v>
      </x:c>
      <x:c r="M183" t="s">
        <x:v>73</x:v>
      </x:c>
      <x:c r="N183" s="18">
        <x:v>100</x:v>
      </x:c>
      <x:c r="O183" t="s">
        <x:v>88</x:v>
      </x:c>
      <x:c r="P183" s="18">
        <x:v>16</x:v>
      </x:c>
      <x:c r="Q183" s="19" t="s">
        <x:v>415</x:v>
      </x:c>
      <x:c r="R183" s="18">
        <x:v>6496.5439999999999</x:v>
      </x:c>
      <x:c r="S183" t="s">
        <x:v>112</x:v>
      </x:c>
      <x:c r="T183" s="19">
        <x:f t="shared" si="166"/>
        <x:v>6496.5439999999999</x:v>
      </x:c>
      <x:c r="U183" s="20">
        <x:v>0.153</x:v>
      </x:c>
      <x:c r="V183" t="s">
        <x:v>113</x:v>
      </x:c>
      <x:c r="W183" s="19" t="s">
        <x:v>78</x:v>
      </x:c>
      <x:c r="X183" s="21" t="n">
        <x:f>2*U183/100*T183</x:f>
        <x:v>19.87942464</x:v>
      </x:c>
      <x:c r="Y183" s="21" t="n">
        <x:f>3.74*T183/1000</x:f>
        <x:v>24.297074560000002</x:v>
      </x:c>
      <x:c r="Z183" s="21" t="n">
        <x:f>0.36*T183/1000</x:f>
        <x:v>2.3387558399999997</x:v>
      </x:c>
      <x:c r="AA183" s="21" t="n">
        <x:f>0.17*T183/1000</x:f>
        <x:v>1.10441248</x:v>
      </x:c>
      <x:c r="AB183" s="21" t="n">
        <x:f>0.17*T183/1000</x:f>
        <x:v>1.10441248</x:v>
      </x:c>
      <x:c r="AC183" s="21" t="n">
        <x:f>0.02*T183/1000</x:f>
        <x:v>0.12993088</x:v>
      </x:c>
      <x:c r="AD183" s="21" t="n">
        <x:f>0.09*T183/1000</x:f>
        <x:v>0.5846889599999999</x:v>
      </x:c>
      <x:c r="AE183" s="21" t="n">
        <x:f>33*T183/1000</x:f>
        <x:v>214.385952</x:v>
      </x:c>
      <x:c r="AF183" s="21"/>
      <x:c r="AG183" s="19" t="s">
        <x:v>78</x:v>
      </x:c>
      <x:c r="AH183" t="s">
        <x:v>78</x:v>
      </x:c>
      <x:c r="AI183" t="s">
        <x:v>78</x:v>
      </x:c>
      <x:c r="AJ183" s="19"/>
      <x:c r="AK183" s="19" t="s">
        <x:v>78</x:v>
      </x:c>
      <x:c r="AL183" t="s">
        <x:v>78</x:v>
      </x:c>
      <x:c r="AM183" s="19" t="s">
        <x:v>78</x:v>
      </x:c>
      <x:c r="AN183" s="21"/>
      <x:c r="AO183" s="21"/>
      <x:c r="AP183" s="21"/>
      <x:c r="AQ183" s="21"/>
      <x:c r="AR183" s="21"/>
      <x:c r="AS183" s="21"/>
      <x:c r="AT183" s="21"/>
      <x:c r="AU183" s="21"/>
      <x:c r="AV183" s="21"/>
      <x:c r="AW183" t="s">
        <x:v>78</x:v>
      </x:c>
      <x:c r="AX183" s="19"/>
      <x:c r="AY183" s="21"/>
      <x:c r="AZ183" s="21"/>
      <x:c r="BA183" s="21"/>
      <x:c r="BB183" s="21"/>
      <x:c r="BC183" s="21"/>
      <x:c r="BD183" s="21"/>
      <x:c r="BE183" s="21"/>
      <x:c r="BF183" s="21"/>
      <x:c r="BG183" s="21"/>
      <x:c r="BH183" t="s">
        <x:v>81</x:v>
      </x:c>
      <x:c r="BI183" s="18">
        <x:v>112</x:v>
      </x:c>
      <x:c r="BJ183" s="18">
        <x:v>55</x:v>
      </x:c>
      <x:c r="BK183" s="18">
        <x:v>39.79</x:v>
      </x:c>
      <x:c r="BL183" s="18">
        <x:v>23</x:v>
      </x:c>
      <x:c r="BM183" s="18">
        <x:v>26</x:v>
      </x:c>
      <x:c r="BN183" s="18">
        <x:v>38.619999999999997</x:v>
      </x:c>
      <x:c r="BO183" s="22">
        <x:v>112.92771944444399</x:v>
      </x:c>
      <x:c r="BP183" s="22">
        <x:v>23.4440611111111</x:v>
      </x:c>
      <x:c r="BQ183" s="18">
        <x:v>45</x:v>
      </x:c>
      <x:c r="BR183" s="18">
        <x:v>9482.84</x:v>
      </x:c>
      <x:c r="BS183" s="18">
        <x:v>0.14399999999999999</x:v>
      </x:c>
      <x:c r="BT183" s="18">
        <x:v>0.14399999999999999</x:v>
      </x:c>
      <x:c r="BU183" s="18">
        <x:v>4.4870000000000001</x:v>
      </x:c>
      <x:c r="BV183" s="18">
        <x:v>4.4870000000000001</x:v>
      </x:c>
      <x:c r="BW183" s="18">
        <x:v>0.13600000000000001</x:v>
      </x:c>
      <x:c r="BX183" s="18">
        <x:v>0.13600000000000001</x:v>
      </x:c>
      <x:c r="BY183" s="18">
        <x:v>1559.171</x:v>
      </x:c>
      <x:c r="BZ183" s="18">
        <x:v>1559.171</x:v>
      </x:c>
      <x:c r="CA183" s="23">
        <x:f t="shared" si="126"/>
        <x:v>19.87942464</x:v>
      </x:c>
      <x:c r="CB183" s="23">
        <x:f t="shared" si="127"/>
        <x:v>24.297074560000002</x:v>
      </x:c>
      <x:c r="CC183" s="23">
        <x:f t="shared" si="128"/>
        <x:v>2.3387558399999997</x:v>
      </x:c>
      <x:c r="CD183" s="23">
        <x:f t="shared" si="129"/>
        <x:v>1.1044124799999999</x:v>
      </x:c>
      <x:c r="CE183" s="23">
        <x:f t="shared" si="130"/>
        <x:v>1.1044124799999999</x:v>
      </x:c>
      <x:c r="CF183" s="23">
        <x:f t="shared" si="131"/>
        <x:v>0.12993088</x:v>
      </x:c>
      <x:c r="CG183" s="23">
        <x:f t="shared" si="132"/>
        <x:v>0.58468895999999992</x:v>
      </x:c>
      <x:c r="CH183" s="23">
        <x:f t="shared" si="133"/>
        <x:v>214.385952</x:v>
      </x:c>
      <x:c r="CI183" s="23">
        <x:f t="shared" si="134"/>
        <x:v>0</x:v>
      </x:c>
      <x:c r="CJ183" s="24" t="s">
        <x:v>78</x:v>
      </x:c>
      <x:c r="CK183" s="25">
        <x:v>0</x:v>
      </x:c>
      <x:c r="CL183" s="26" t="s">
        <x:v>78</x:v>
      </x:c>
      <x:c r="CM183" s="26">
        <x:v>42</x:v>
      </x:c>
      <x:c r="CN183" s="27" t="s">
        <x:v>78</x:v>
      </x:c>
      <x:c r="CO183" s="27">
        <x:v>0</x:v>
      </x:c>
      <x:c r="CP183" s="27">
        <x:v>0</x:v>
      </x:c>
      <x:c r="CQ183" s="26">
        <x:f t="shared" si="135"/>
        <x:v>19.87942464</x:v>
      </x:c>
      <x:c r="CR183" s="26">
        <x:f t="shared" si="136"/>
        <x:v>14.092303244800004</x:v>
      </x:c>
      <x:c r="CS183" s="26">
        <x:f t="shared" si="137"/>
        <x:v>2.3387558399999997</x:v>
      </x:c>
      <x:c r="CT183" s="26">
        <x:f t="shared" si="155"/>
        <x:v>1.1044124799999999</x:v>
      </x:c>
      <x:c r="CU183" s="26">
        <x:f t="shared" si="156"/>
        <x:v>1.1044124799999999</x:v>
      </x:c>
      <x:c r="CV183" s="26">
        <x:f t="shared" si="157"/>
        <x:v>0.12993088</x:v>
      </x:c>
      <x:c r="CW183" s="26">
        <x:f t="shared" si="158"/>
        <x:v>0.58468895999999992</x:v>
      </x:c>
      <x:c r="CX183" s="26">
        <x:f t="shared" si="138"/>
        <x:v>214.385952</x:v>
      </x:c>
      <x:c r="CY183" s="26">
        <x:f t="shared" si="139"/>
        <x:v>0</x:v>
      </x:c>
    </x:row>
    <x:row r="184">
      <x:c r="A184" s="18">
        <x:v>2022</x:v>
      </x:c>
      <x:c r="B184" t="s">
        <x:v>412</x:v>
      </x:c>
      <x:c r="C184" t="s">
        <x:v>413</x:v>
      </x:c>
      <x:c r="D184" t="s">
        <x:v>414</x:v>
      </x:c>
      <x:c r="E184" s="18">
        <x:v>440607</x:v>
      </x:c>
      <x:c r="F184" t="s">
        <x:v>401</x:v>
      </x:c>
      <x:c r="G184" t="s">
        <x:v>362</x:v>
      </x:c>
      <x:c r="H184" s="18">
        <x:v>4412</x:v>
      </x:c>
      <x:c r="I184" t="s">
        <x:v>108</x:v>
      </x:c>
      <x:c r="J184" t="s">
        <x:v>78</x:v>
      </x:c>
      <x:c r="K184" t="s">
        <x:v>72</x:v>
      </x:c>
      <x:c r="L184" s="18">
        <x:v>1.25</x:v>
      </x:c>
      <x:c r="M184" t="s">
        <x:v>73</x:v>
      </x:c>
      <x:c r="N184" s="18">
        <x:v>100</x:v>
      </x:c>
      <x:c r="O184" t="s">
        <x:v>88</x:v>
      </x:c>
      <x:c r="P184" s="18">
        <x:v>16</x:v>
      </x:c>
      <x:c r="Q184" s="19" t="s">
        <x:v>415</x:v>
      </x:c>
      <x:c r="R184" s="18">
        <x:v>4005.5050000000001</x:v>
      </x:c>
      <x:c r="S184" t="s">
        <x:v>112</x:v>
      </x:c>
      <x:c r="T184" s="19" t="n">
        <x:f t="shared" ref="T184:T185" si="175">R184</x:f>
        <x:v>4005.505</x:v>
      </x:c>
      <x:c r="U184" s="20">
        <x:v>0.153</x:v>
      </x:c>
      <x:c r="V184" t="s">
        <x:v>113</x:v>
      </x:c>
      <x:c r="W184" s="19" t="s">
        <x:v>78</x:v>
      </x:c>
      <x:c r="X184" s="21" t="n">
        <x:f>2*U184/100*T184</x:f>
        <x:v>12.2568453</x:v>
      </x:c>
      <x:c r="Y184" s="21" t="n">
        <x:f>3.74*T184/1000</x:f>
        <x:v>14.980588700000002</x:v>
      </x:c>
      <x:c r="Z184" s="21" t="n">
        <x:f>0.36*T184/1000</x:f>
        <x:v>1.4419818</x:v>
      </x:c>
      <x:c r="AA184" s="21" t="n">
        <x:f>0.17*T184/1000</x:f>
        <x:v>0.6809358500000001</x:v>
      </x:c>
      <x:c r="AB184" s="21" t="n">
        <x:f>0.17*T184/1000</x:f>
        <x:v>0.6809358500000001</x:v>
      </x:c>
      <x:c r="AC184" s="21" t="n">
        <x:f>0.02*T184/1000</x:f>
        <x:v>0.0801101</x:v>
      </x:c>
      <x:c r="AD184" s="21" t="n">
        <x:f>0.09*T184/1000</x:f>
        <x:v>0.36049545</x:v>
      </x:c>
      <x:c r="AE184" s="21" t="n">
        <x:f>33*T184/1000</x:f>
        <x:v>132.181665</x:v>
      </x:c>
      <x:c r="AF184" s="21"/>
      <x:c r="AG184" s="19" t="s">
        <x:v>78</x:v>
      </x:c>
      <x:c r="AH184" t="s">
        <x:v>78</x:v>
      </x:c>
      <x:c r="AI184" t="s">
        <x:v>78</x:v>
      </x:c>
      <x:c r="AJ184" s="19"/>
      <x:c r="AK184" s="19" t="s">
        <x:v>78</x:v>
      </x:c>
      <x:c r="AL184" t="s">
        <x:v>78</x:v>
      </x:c>
      <x:c r="AM184" s="19" t="s">
        <x:v>78</x:v>
      </x:c>
      <x:c r="AN184" s="21"/>
      <x:c r="AO184" s="21"/>
      <x:c r="AP184" s="21"/>
      <x:c r="AQ184" s="21"/>
      <x:c r="AR184" s="21"/>
      <x:c r="AS184" s="21"/>
      <x:c r="AT184" s="21"/>
      <x:c r="AU184" s="21"/>
      <x:c r="AV184" s="21"/>
      <x:c r="AW184" t="s">
        <x:v>78</x:v>
      </x:c>
      <x:c r="AX184" s="19"/>
      <x:c r="AY184" s="21"/>
      <x:c r="AZ184" s="21"/>
      <x:c r="BA184" s="21"/>
      <x:c r="BB184" s="21"/>
      <x:c r="BC184" s="21"/>
      <x:c r="BD184" s="21"/>
      <x:c r="BE184" s="21"/>
      <x:c r="BF184" s="21"/>
      <x:c r="BG184" s="21"/>
      <x:c r="BH184" t="s">
        <x:v>81</x:v>
      </x:c>
      <x:c r="BI184" s="18">
        <x:v>112</x:v>
      </x:c>
      <x:c r="BJ184" s="18">
        <x:v>55</x:v>
      </x:c>
      <x:c r="BK184" s="18">
        <x:v>39.79</x:v>
      </x:c>
      <x:c r="BL184" s="18">
        <x:v>23</x:v>
      </x:c>
      <x:c r="BM184" s="18">
        <x:v>26</x:v>
      </x:c>
      <x:c r="BN184" s="18">
        <x:v>23.17</x:v>
      </x:c>
      <x:c r="BO184" s="22">
        <x:v>112.92771944444399</x:v>
      </x:c>
      <x:c r="BP184" s="22">
        <x:v>23.439769444444401</x:v>
      </x:c>
      <x:c r="BQ184" s="18">
        <x:v>45</x:v>
      </x:c>
      <x:c r="BR184" s="18">
        <x:v>5846.7340000000004</x:v>
      </x:c>
      <x:c r="BS184" s="18">
        <x:v>8.8999999999999996E-2</x:v>
      </x:c>
      <x:c r="BT184" s="18">
        <x:v>8.8999999999999996E-2</x:v>
      </x:c>
      <x:c r="BU184" s="18">
        <x:v>2.7669999999999999</x:v>
      </x:c>
      <x:c r="BV184" s="18">
        <x:v>2.7669999999999999</x:v>
      </x:c>
      <x:c r="BW184" s="18">
        <x:v>8.4000000000000005E-2</x:v>
      </x:c>
      <x:c r="BX184" s="18">
        <x:v>8.4000000000000005E-2</x:v>
      </x:c>
      <x:c r="BY184" s="18">
        <x:v>961.32100000000003</x:v>
      </x:c>
      <x:c r="BZ184" s="18">
        <x:v>961.32100000000003</x:v>
      </x:c>
      <x:c r="CA184" s="23">
        <x:f t="shared" si="126"/>
        <x:v>12.2568453</x:v>
      </x:c>
      <x:c r="CB184" s="23">
        <x:f t="shared" si="127"/>
        <x:v>14.980588700000002</x:v>
      </x:c>
      <x:c r="CC184" s="23">
        <x:f t="shared" si="128"/>
        <x:v>1.4419818</x:v>
      </x:c>
      <x:c r="CD184" s="23">
        <x:f t="shared" si="129"/>
        <x:v>0.68093585000000012</x:v>
      </x:c>
      <x:c r="CE184" s="23">
        <x:f t="shared" si="130"/>
        <x:v>0.68093585000000012</x:v>
      </x:c>
      <x:c r="CF184" s="23">
        <x:f t="shared" si="131"/>
        <x:v>8.0110100000000004E-2</x:v>
      </x:c>
      <x:c r="CG184" s="23">
        <x:f t="shared" si="132"/>
        <x:v>0.36049545</x:v>
      </x:c>
      <x:c r="CH184" s="23">
        <x:f t="shared" si="133"/>
        <x:v>132.18166500000001</x:v>
      </x:c>
      <x:c r="CI184" s="23">
        <x:f t="shared" si="134"/>
        <x:v>0</x:v>
      </x:c>
      <x:c r="CJ184" s="24" t="s">
        <x:v>78</x:v>
      </x:c>
      <x:c r="CK184" s="25">
        <x:v>0</x:v>
      </x:c>
      <x:c r="CL184" s="26" t="s">
        <x:v>78</x:v>
      </x:c>
      <x:c r="CM184" s="26">
        <x:v>42</x:v>
      </x:c>
      <x:c r="CN184" s="27" t="s">
        <x:v>78</x:v>
      </x:c>
      <x:c r="CO184" s="27">
        <x:v>0</x:v>
      </x:c>
      <x:c r="CP184" s="27">
        <x:v>0</x:v>
      </x:c>
      <x:c r="CQ184" s="26">
        <x:f t="shared" si="135"/>
        <x:v>12.2568453</x:v>
      </x:c>
      <x:c r="CR184" s="26">
        <x:f t="shared" si="136"/>
        <x:v>8.6887414460000016</x:v>
      </x:c>
      <x:c r="CS184" s="26">
        <x:f t="shared" si="137"/>
        <x:v>1.4419818</x:v>
      </x:c>
      <x:c r="CT184" s="26">
        <x:f t="shared" si="155"/>
        <x:v>0.68093585000000012</x:v>
      </x:c>
      <x:c r="CU184" s="26">
        <x:f t="shared" si="156"/>
        <x:v>0.68093585000000012</x:v>
      </x:c>
      <x:c r="CV184" s="26">
        <x:f t="shared" si="157"/>
        <x:v>8.0110100000000004E-2</x:v>
      </x:c>
      <x:c r="CW184" s="26">
        <x:f t="shared" si="158"/>
        <x:v>0.36049545</x:v>
      </x:c>
      <x:c r="CX184" s="26">
        <x:f t="shared" si="138"/>
        <x:v>132.18166500000001</x:v>
      </x:c>
      <x:c r="CY184" s="26">
        <x:f t="shared" si="139"/>
        <x:v>0</x:v>
      </x:c>
    </x:row>
    <x:row r="185">
      <x:c r="A185" s="18">
        <x:v>2022</x:v>
      </x:c>
      <x:c r="B185" t="s">
        <x:v>412</x:v>
      </x:c>
      <x:c r="C185" t="s">
        <x:v>413</x:v>
      </x:c>
      <x:c r="D185" t="s">
        <x:v>414</x:v>
      </x:c>
      <x:c r="E185" s="18">
        <x:v>440607</x:v>
      </x:c>
      <x:c r="F185" t="s">
        <x:v>401</x:v>
      </x:c>
      <x:c r="G185" t="s">
        <x:v>362</x:v>
      </x:c>
      <x:c r="H185" s="18">
        <x:v>4412</x:v>
      </x:c>
      <x:c r="I185" t="s">
        <x:v>108</x:v>
      </x:c>
      <x:c r="J185" t="s">
        <x:v>78</x:v>
      </x:c>
      <x:c r="K185" t="s">
        <x:v>72</x:v>
      </x:c>
      <x:c r="L185" s="18">
        <x:v>2.5</x:v>
      </x:c>
      <x:c r="M185" t="s">
        <x:v>73</x:v>
      </x:c>
      <x:c r="N185" s="18">
        <x:v>100</x:v>
      </x:c>
      <x:c r="O185" t="s">
        <x:v>88</x:v>
      </x:c>
      <x:c r="P185" s="18">
        <x:v>16</x:v>
      </x:c>
      <x:c r="Q185" s="19" t="s">
        <x:v>415</x:v>
      </x:c>
      <x:c r="R185" s="18">
        <x:v>10231.852000000001</x:v>
      </x:c>
      <x:c r="S185" t="s">
        <x:v>112</x:v>
      </x:c>
      <x:c r="T185" s="19">
        <x:f t="shared" si="175"/>
        <x:v>10231.852000000001</x:v>
      </x:c>
      <x:c r="U185" s="20">
        <x:v>0.153</x:v>
      </x:c>
      <x:c r="V185" t="s">
        <x:v>113</x:v>
      </x:c>
      <x:c r="W185" s="19" t="s">
        <x:v>78</x:v>
      </x:c>
      <x:c r="X185" s="21" t="n">
        <x:f>2*U185/100*T185</x:f>
        <x:v>31.30946712</x:v>
      </x:c>
      <x:c r="Y185" s="21" t="n">
        <x:f>3.74*T185/1000</x:f>
        <x:v>38.26712648000001</x:v>
      </x:c>
      <x:c r="Z185" s="21" t="n">
        <x:f>0.36*T185/1000</x:f>
        <x:v>3.68346672</x:v>
      </x:c>
      <x:c r="AA185" s="21" t="n">
        <x:f>0.17*T185/1000</x:f>
        <x:v>1.7394148400000005</x:v>
      </x:c>
      <x:c r="AB185" s="21" t="n">
        <x:f>0.17*T185/1000</x:f>
        <x:v>1.7394148400000005</x:v>
      </x:c>
      <x:c r="AC185" s="21" t="n">
        <x:f>0.02*T185/1000</x:f>
        <x:v>0.20463704000000002</x:v>
      </x:c>
      <x:c r="AD185" s="21" t="n">
        <x:f>0.09*T185/1000</x:f>
        <x:v>0.92086668</x:v>
      </x:c>
      <x:c r="AE185" s="21" t="n">
        <x:f>33*T185/1000</x:f>
        <x:v>337.65111600000006</x:v>
      </x:c>
      <x:c r="AF185" s="21"/>
      <x:c r="AG185" s="19" t="s">
        <x:v>78</x:v>
      </x:c>
      <x:c r="AH185" t="s">
        <x:v>78</x:v>
      </x:c>
      <x:c r="AI185" t="s">
        <x:v>78</x:v>
      </x:c>
      <x:c r="AJ185" s="19"/>
      <x:c r="AK185" s="19" t="s">
        <x:v>78</x:v>
      </x:c>
      <x:c r="AL185" t="s">
        <x:v>78</x:v>
      </x:c>
      <x:c r="AM185" s="19" t="s">
        <x:v>78</x:v>
      </x:c>
      <x:c r="AN185" s="21"/>
      <x:c r="AO185" s="21"/>
      <x:c r="AP185" s="21"/>
      <x:c r="AQ185" s="21"/>
      <x:c r="AR185" s="21"/>
      <x:c r="AS185" s="21"/>
      <x:c r="AT185" s="21"/>
      <x:c r="AU185" s="21"/>
      <x:c r="AV185" s="21"/>
      <x:c r="AW185" t="s">
        <x:v>78</x:v>
      </x:c>
      <x:c r="AX185" s="19"/>
      <x:c r="AY185" s="21"/>
      <x:c r="AZ185" s="21"/>
      <x:c r="BA185" s="21"/>
      <x:c r="BB185" s="21"/>
      <x:c r="BC185" s="21"/>
      <x:c r="BD185" s="21"/>
      <x:c r="BE185" s="21"/>
      <x:c r="BF185" s="21"/>
      <x:c r="BG185" s="21"/>
      <x:c r="BH185" t="s">
        <x:v>81</x:v>
      </x:c>
      <x:c r="BI185" s="18">
        <x:v>112</x:v>
      </x:c>
      <x:c r="BJ185" s="18">
        <x:v>55</x:v>
      </x:c>
      <x:c r="BK185" s="18">
        <x:v>39.79</x:v>
      </x:c>
      <x:c r="BL185" s="18">
        <x:v>23</x:v>
      </x:c>
      <x:c r="BM185" s="18">
        <x:v>26</x:v>
      </x:c>
      <x:c r="BN185" s="18">
        <x:v>23.17</x:v>
      </x:c>
      <x:c r="BO185" s="22">
        <x:v>112.92771944444399</x:v>
      </x:c>
      <x:c r="BP185" s="22">
        <x:v>23.439769444444401</x:v>
      </x:c>
      <x:c r="BQ185" s="18">
        <x:v>45</x:v>
      </x:c>
      <x:c r="BR185" s="18">
        <x:v>14935.174000000001</x:v>
      </x:c>
      <x:c r="BS185" s="18">
        <x:v>0.22700000000000001</x:v>
      </x:c>
      <x:c r="BT185" s="18">
        <x:v>0.22700000000000001</x:v>
      </x:c>
      <x:c r="BU185" s="18">
        <x:v>7.0670000000000002</x:v>
      </x:c>
      <x:c r="BV185" s="18">
        <x:v>7.0670000000000002</x:v>
      </x:c>
      <x:c r="BW185" s="18">
        <x:v>0.215</x:v>
      </x:c>
      <x:c r="BX185" s="18">
        <x:v>0.215</x:v>
      </x:c>
      <x:c r="BY185" s="18">
        <x:v>2455.6439999999998</x:v>
      </x:c>
      <x:c r="BZ185" s="18">
        <x:v>2455.6439999999998</x:v>
      </x:c>
      <x:c r="CA185" s="23">
        <x:f t="shared" si="126"/>
        <x:v>31.309467120000001</x:v>
      </x:c>
      <x:c r="CB185" s="23">
        <x:f t="shared" si="127"/>
        <x:v>38.267126480000009</x:v>
      </x:c>
      <x:c r="CC185" s="23">
        <x:f t="shared" si="128"/>
        <x:v>3.6834667200000002</x:v>
      </x:c>
      <x:c r="CD185" s="23">
        <x:f t="shared" si="129"/>
        <x:v>1.7394148400000005</x:v>
      </x:c>
      <x:c r="CE185" s="23">
        <x:f t="shared" si="130"/>
        <x:v>1.7394148400000005</x:v>
      </x:c>
      <x:c r="CF185" s="23">
        <x:f t="shared" si="131"/>
        <x:v>0.20463704000000002</x:v>
      </x:c>
      <x:c r="CG185" s="23">
        <x:f t="shared" si="132"/>
        <x:v>0.92086668000000005</x:v>
      </x:c>
      <x:c r="CH185" s="23">
        <x:f t="shared" si="133"/>
        <x:v>337.65111600000006</x:v>
      </x:c>
      <x:c r="CI185" s="23">
        <x:f t="shared" si="134"/>
        <x:v>0</x:v>
      </x:c>
      <x:c r="CJ185" s="24" t="s">
        <x:v>78</x:v>
      </x:c>
      <x:c r="CK185" s="25">
        <x:v>0</x:v>
      </x:c>
      <x:c r="CL185" s="26" t="s">
        <x:v>78</x:v>
      </x:c>
      <x:c r="CM185" s="26">
        <x:v>42</x:v>
      </x:c>
      <x:c r="CN185" s="27" t="s">
        <x:v>78</x:v>
      </x:c>
      <x:c r="CO185" s="27">
        <x:v>0</x:v>
      </x:c>
      <x:c r="CP185" s="27">
        <x:v>0</x:v>
      </x:c>
      <x:c r="CQ185" s="26">
        <x:f t="shared" si="135"/>
        <x:v>31.309467120000001</x:v>
      </x:c>
      <x:c r="CR185" s="26">
        <x:f t="shared" si="136"/>
        <x:v>22.194933358400007</x:v>
      </x:c>
      <x:c r="CS185" s="26">
        <x:f t="shared" si="137"/>
        <x:v>3.6834667200000002</x:v>
      </x:c>
      <x:c r="CT185" s="26">
        <x:f t="shared" si="155"/>
        <x:v>1.7394148400000005</x:v>
      </x:c>
      <x:c r="CU185" s="26">
        <x:f t="shared" si="156"/>
        <x:v>1.7394148400000005</x:v>
      </x:c>
      <x:c r="CV185" s="26">
        <x:f t="shared" si="157"/>
        <x:v>0.20463704000000002</x:v>
      </x:c>
      <x:c r="CW185" s="26">
        <x:f t="shared" si="158"/>
        <x:v>0.92086668000000005</x:v>
      </x:c>
      <x:c r="CX185" s="26">
        <x:f t="shared" si="138"/>
        <x:v>337.65111600000006</x:v>
      </x:c>
      <x:c r="CY185" s="26">
        <x:f t="shared" si="139"/>
        <x:v>0</x:v>
      </x:c>
    </x:row>
    <x:row r="186">
      <x:c r="A186" s="18">
        <x:v>2022</x:v>
      </x:c>
      <x:c r="B186" t="s">
        <x:v>416</x:v>
      </x:c>
      <x:c r="C186" t="s">
        <x:v>417</x:v>
      </x:c>
      <x:c r="D186" t="s">
        <x:v>418</x:v>
      </x:c>
      <x:c r="E186" s="18">
        <x:v>440608</x:v>
      </x:c>
      <x:c r="F186" t="s">
        <x:v>419</x:v>
      </x:c>
      <x:c r="G186" t="s">
        <x:v>362</x:v>
      </x:c>
      <x:c r="H186" s="18">
        <x:v>1711</x:v>
      </x:c>
      <x:c r="I186" t="s">
        <x:v>420</x:v>
      </x:c>
      <x:c r="J186" t="s">
        <x:v>78</x:v>
      </x:c>
      <x:c r="K186" t="s">
        <x:v>109</x:v>
      </x:c>
      <x:c r="L186" s="20">
        <x:v>1.5</x:v>
      </x:c>
      <x:c r="M186" t="s">
        <x:v>125</x:v>
      </x:c>
      <x:c r="N186" s="18">
        <x:v>75</x:v>
      </x:c>
      <x:c r="O186" t="s">
        <x:v>88</x:v>
      </x:c>
      <x:c r="P186" s="18">
        <x:v>4</x:v>
      </x:c>
      <x:c r="Q186" s="19" t="s">
        <x:v>111</x:v>
      </x:c>
      <x:c r="R186" s="18">
        <x:v>8820</x:v>
      </x:c>
      <x:c r="S186" t="s">
        <x:v>112</x:v>
      </x:c>
      <x:c r="T186" s="19" t="n">
        <x:f t="shared" ref="T186:T194" si="176">R186</x:f>
        <x:v>8820</x:v>
      </x:c>
      <x:c r="U186" s="20">
        <x:v>0.48</x:v>
      </x:c>
      <x:c r="V186" t="s">
        <x:v>113</x:v>
      </x:c>
      <x:c r="W186" s="20">
        <x:v>20.86</x:v>
      </x:c>
      <x:c r="X186" s="21" t="n">
        <x:f>2*U186/100*(1-0.15)*T186</x:f>
        <x:v>71.9712</x:v>
      </x:c>
      <x:c r="Y186" s="21" t="n">
        <x:f>8.96*T186/1000</x:f>
        <x:v>79.02720000000001</x:v>
      </x:c>
      <x:c r="Z186" s="21" t="n">
        <x:f>2*T186/1000</x:f>
        <x:v>17.64</x:v>
      </x:c>
      <x:c r="AA186" s="21" t="n">
        <x:f>W186/100*(1-0.44)*0.29*T186</x:f>
        <x:v>298.7919648</x:v>
      </x:c>
      <x:c r="AB186" s="21" t="n">
        <x:f>W186/100*(1-0.44)*0.07*T186</x:f>
        <x:v>72.12219840000002</x:v>
      </x:c>
      <x:c r="AC186" s="21" t="n">
        <x:f t="shared" ref="AC186:AC188" si="177">0.002*AB186</x:f>
        <x:v>0.14424439680000004</x:v>
      </x:c>
      <x:c r="AD186" s="21"/>
      <x:c r="AE186" s="21" t="n">
        <x:f>0.04*T186/1000</x:f>
        <x:v>0.3528</x:v>
      </x:c>
      <x:c r="AF186" s="21"/>
      <x:c r="AG186" s="19" t="s">
        <x:v>78</x:v>
      </x:c>
      <x:c r="AH186" t="s">
        <x:v>78</x:v>
      </x:c>
      <x:c r="AI186" t="s">
        <x:v>78</x:v>
      </x:c>
      <x:c r="AJ186" s="19"/>
      <x:c r="AK186" s="19" t="s">
        <x:v>78</x:v>
      </x:c>
      <x:c r="AL186" t="s">
        <x:v>78</x:v>
      </x:c>
      <x:c r="AM186" s="19" t="s">
        <x:v>78</x:v>
      </x:c>
      <x:c r="AN186" s="21"/>
      <x:c r="AO186" s="21"/>
      <x:c r="AP186" s="21"/>
      <x:c r="AQ186" s="21"/>
      <x:c r="AR186" s="21"/>
      <x:c r="AS186" s="21"/>
      <x:c r="AT186" s="21"/>
      <x:c r="AU186" s="21"/>
      <x:c r="AV186" s="21"/>
      <x:c r="AW186" t="s">
        <x:v>78</x:v>
      </x:c>
      <x:c r="AX186" s="19"/>
      <x:c r="AY186" s="21"/>
      <x:c r="AZ186" s="21"/>
      <x:c r="BA186" s="21"/>
      <x:c r="BB186" s="21"/>
      <x:c r="BC186" s="21"/>
      <x:c r="BD186" s="21"/>
      <x:c r="BE186" s="21"/>
      <x:c r="BF186" s="21"/>
      <x:c r="BG186" s="21"/>
      <x:c r="BH186" t="s">
        <x:v>81</x:v>
      </x:c>
      <x:c r="BI186" s="18">
        <x:v>112</x:v>
      </x:c>
      <x:c r="BJ186" s="18">
        <x:v>54</x:v>
      </x:c>
      <x:c r="BK186" s="18">
        <x:v>12</x:v>
      </x:c>
      <x:c r="BL186" s="18">
        <x:v>22</x:v>
      </x:c>
      <x:c r="BM186" s="18">
        <x:v>52</x:v>
      </x:c>
      <x:c r="BN186" s="18">
        <x:v>28</x:v>
      </x:c>
      <x:c r="BO186" s="22">
        <x:v>112.90333333333299</x:v>
      </x:c>
      <x:c r="BP186" s="22">
        <x:v>22.8744444444444</x:v>
      </x:c>
      <x:c r="BQ186" s="18">
        <x:v>150</x:v>
      </x:c>
      <x:c r="BR186" s="18">
        <x:v>10304.549999999999</x:v>
      </x:c>
      <x:c r="BS186" s="18">
        <x:v>24.428000000000001</x:v>
      </x:c>
      <x:c r="BT186" s="18">
        <x:v>0.63800000000000001</x:v>
      </x:c>
      <x:c r="BU186" s="18">
        <x:v>10.584</x:v>
      </x:c>
      <x:c r="BV186" s="18">
        <x:v>2.976</x:v>
      </x:c>
      <x:c r="BW186" s="18">
        <x:v>1500.451</x:v>
      </x:c>
      <x:c r="BX186" s="18">
        <x:v>0.81599999999999995</x:v>
      </x:c>
      <x:c r="BY186" s="18">
        <x:v>252.25200000000001</x:v>
      </x:c>
      <x:c r="BZ186" s="18">
        <x:v>252.25200000000001</x:v>
      </x:c>
      <x:c r="CA186" s="23">
        <x:f t="shared" si="126"/>
        <x:v>71.971199999999996</x:v>
      </x:c>
      <x:c r="CB186" s="23">
        <x:f t="shared" si="127"/>
        <x:v>79.027200000000008</x:v>
      </x:c>
      <x:c r="CC186" s="23">
        <x:f t="shared" si="128"/>
        <x:v>17.64</x:v>
      </x:c>
      <x:c r="CD186" s="23">
        <x:f t="shared" si="129"/>
        <x:v>298.79196480000002</x:v>
      </x:c>
      <x:c r="CE186" s="23">
        <x:f t="shared" si="130"/>
        <x:v>72.122198400000016</x:v>
      </x:c>
      <x:c r="CF186" s="23">
        <x:f t="shared" si="131"/>
        <x:v>0.14424439680000004</x:v>
      </x:c>
      <x:c r="CG186" s="23">
        <x:f t="shared" si="132"/>
        <x:v>0</x:v>
      </x:c>
      <x:c r="CH186" s="23">
        <x:f t="shared" si="133"/>
        <x:v>0.3528</x:v>
      </x:c>
      <x:c r="CI186" s="23">
        <x:f t="shared" si="134"/>
        <x:v>0</x:v>
      </x:c>
      <x:c r="CJ186" s="24" t="s">
        <x:v>421</x:v>
      </x:c>
      <x:c r="CK186" s="25">
        <x:v>65</x:v>
      </x:c>
      <x:c r="CL186" s="26" t="s">
        <x:v>127</x:v>
      </x:c>
      <x:c r="CM186" s="26">
        <x:v>90</x:v>
      </x:c>
      <x:c r="CN186" s="27" t="s">
        <x:v>422</x:v>
      </x:c>
      <x:c r="CO186" s="27">
        <x:v>99.4</x:v>
      </x:c>
      <x:c r="CP186" s="27">
        <x:v>98.3</x:v>
      </x:c>
      <x:c r="CQ186" s="26">
        <x:f t="shared" si="135"/>
        <x:v>25.189919999999997</x:v>
      </x:c>
      <x:c r="CR186" s="26">
        <x:f t="shared" si="136"/>
        <x:v>7.9027199999999986</x:v>
      </x:c>
      <x:c r="CS186" s="26">
        <x:f t="shared" si="137"/>
        <x:v>17.64</x:v>
      </x:c>
      <x:c r="CT186" s="26">
        <x:f t="shared" si="155"/>
        <x:v>1.7927517887999684</x:v>
      </x:c>
      <x:c r="CU186" s="26">
        <x:f t="shared" si="156"/>
        <x:v>1.2260773728000014</x:v>
      </x:c>
      <x:c r="CV186" s="26">
        <x:f t="shared" si="157"/>
        <x:v>2.452154745600003E-3</x:v>
      </x:c>
      <x:c r="CW186" s="26">
        <x:f t="shared" si="158"/>
        <x:v>0</x:v>
      </x:c>
      <x:c r="CX186" s="26">
        <x:f t="shared" si="138"/>
        <x:v>0.3528</x:v>
      </x:c>
      <x:c r="CY186" s="26">
        <x:f t="shared" si="139"/>
        <x:v>0</x:v>
      </x:c>
    </x:row>
    <x:row r="187">
      <x:c r="A187" s="18">
        <x:v>2022</x:v>
      </x:c>
      <x:c r="B187" t="s">
        <x:v>416</x:v>
      </x:c>
      <x:c r="C187" t="s">
        <x:v>417</x:v>
      </x:c>
      <x:c r="D187" t="s">
        <x:v>418</x:v>
      </x:c>
      <x:c r="E187" s="18">
        <x:v>440608</x:v>
      </x:c>
      <x:c r="F187" t="s">
        <x:v>419</x:v>
      </x:c>
      <x:c r="G187" t="s">
        <x:v>362</x:v>
      </x:c>
      <x:c r="H187" s="18">
        <x:v>1711</x:v>
      </x:c>
      <x:c r="I187" t="s">
        <x:v>420</x:v>
      </x:c>
      <x:c r="J187" t="s">
        <x:v>78</x:v>
      </x:c>
      <x:c r="K187" t="s">
        <x:v>109</x:v>
      </x:c>
      <x:c r="L187" s="20">
        <x:v>1.5</x:v>
      </x:c>
      <x:c r="M187" t="s">
        <x:v>125</x:v>
      </x:c>
      <x:c r="N187" s="18">
        <x:v>75</x:v>
      </x:c>
      <x:c r="O187" t="s">
        <x:v>88</x:v>
      </x:c>
      <x:c r="P187" s="18">
        <x:v>4</x:v>
      </x:c>
      <x:c r="Q187" s="19" t="s">
        <x:v>111</x:v>
      </x:c>
      <x:c r="R187" s="18">
        <x:v>933</x:v>
      </x:c>
      <x:c r="S187" t="s">
        <x:v>112</x:v>
      </x:c>
      <x:c r="T187" s="19">
        <x:f t="shared" si="176"/>
        <x:v>933</x:v>
      </x:c>
      <x:c r="U187" s="20">
        <x:v>0.48</x:v>
      </x:c>
      <x:c r="V187" t="s">
        <x:v>113</x:v>
      </x:c>
      <x:c r="W187" s="20">
        <x:v>20.86</x:v>
      </x:c>
      <x:c r="X187" s="21" t="n">
        <x:f>2*U187/100*(1-0.15)*T187</x:f>
        <x:v>7.613279999999999</x:v>
      </x:c>
      <x:c r="Y187" s="21" t="n">
        <x:f>8.96*T187/1000</x:f>
        <x:v>8.35968</x:v>
      </x:c>
      <x:c r="Z187" s="21" t="n">
        <x:f>2*T187/1000</x:f>
        <x:v>1.866</x:v>
      </x:c>
      <x:c r="AA187" s="21" t="n">
        <x:f>W187/100*(1-0.44)*0.29*T187</x:f>
        <x:v>31.60690512</x:v>
      </x:c>
      <x:c r="AB187" s="21" t="n">
        <x:f>W187/100*(1-0.44)*0.07*T187</x:f>
        <x:v>7.629252960000001</x:v>
      </x:c>
      <x:c r="AC187" s="21">
        <x:f t="shared" si="177"/>
        <x:v>1.5258505920000004E-2</x:v>
      </x:c>
      <x:c r="AD187" s="21"/>
      <x:c r="AE187" s="21" t="n">
        <x:f>0.04*T187/1000</x:f>
        <x:v>0.03732</x:v>
      </x:c>
      <x:c r="AF187" s="21"/>
      <x:c r="AG187" s="19" t="s">
        <x:v>78</x:v>
      </x:c>
      <x:c r="AH187" t="s">
        <x:v>78</x:v>
      </x:c>
      <x:c r="AI187" t="s">
        <x:v>78</x:v>
      </x:c>
      <x:c r="AJ187" s="19"/>
      <x:c r="AK187" s="19" t="s">
        <x:v>78</x:v>
      </x:c>
      <x:c r="AL187" t="s">
        <x:v>78</x:v>
      </x:c>
      <x:c r="AM187" s="19" t="s">
        <x:v>78</x:v>
      </x:c>
      <x:c r="AN187" s="21"/>
      <x:c r="AO187" s="21"/>
      <x:c r="AP187" s="21"/>
      <x:c r="AQ187" s="21"/>
      <x:c r="AR187" s="21"/>
      <x:c r="AS187" s="21"/>
      <x:c r="AT187" s="21"/>
      <x:c r="AU187" s="21"/>
      <x:c r="AV187" s="21"/>
      <x:c r="AW187" t="s">
        <x:v>78</x:v>
      </x:c>
      <x:c r="AX187" s="19"/>
      <x:c r="AY187" s="21"/>
      <x:c r="AZ187" s="21"/>
      <x:c r="BA187" s="21"/>
      <x:c r="BB187" s="21"/>
      <x:c r="BC187" s="21"/>
      <x:c r="BD187" s="21"/>
      <x:c r="BE187" s="21"/>
      <x:c r="BF187" s="21"/>
      <x:c r="BG187" s="21"/>
      <x:c r="BH187" t="s">
        <x:v>81</x:v>
      </x:c>
      <x:c r="BI187" s="18">
        <x:v>112</x:v>
      </x:c>
      <x:c r="BJ187" s="18">
        <x:v>54</x:v>
      </x:c>
      <x:c r="BK187" s="18">
        <x:v>12</x:v>
      </x:c>
      <x:c r="BL187" s="18">
        <x:v>22</x:v>
      </x:c>
      <x:c r="BM187" s="18">
        <x:v>52</x:v>
      </x:c>
      <x:c r="BN187" s="18">
        <x:v>28</x:v>
      </x:c>
      <x:c r="BO187" s="22">
        <x:v>112.90333333333299</x:v>
      </x:c>
      <x:c r="BP187" s="22">
        <x:v>22.8744444444444</x:v>
      </x:c>
      <x:c r="BQ187" s="18">
        <x:v>150</x:v>
      </x:c>
      <x:c r="BR187" s="18">
        <x:v>1089.6199999999999</x:v>
      </x:c>
      <x:c r="BS187" s="18">
        <x:v>2.5840000000000001</x:v>
      </x:c>
      <x:c r="BT187" s="18">
        <x:v>3.38</x:v>
      </x:c>
      <x:c r="BU187" s="18">
        <x:v>1.1200000000000001</x:v>
      </x:c>
      <x:c r="BV187" s="18">
        <x:v>12.714</x:v>
      </x:c>
      <x:c r="BW187" s="18">
        <x:v>158.721</x:v>
      </x:c>
      <x:c r="BX187" s="18">
        <x:v>1.3240000000000001</x:v>
      </x:c>
      <x:c r="BY187" s="18">
        <x:v>26.684000000000001</x:v>
      </x:c>
      <x:c r="BZ187" s="18">
        <x:v>26.684000000000001</x:v>
      </x:c>
      <x:c r="CA187" s="23">
        <x:f t="shared" si="126"/>
        <x:v>7.6132799999999987</x:v>
      </x:c>
      <x:c r="CB187" s="23">
        <x:f t="shared" si="127"/>
        <x:v>8.3596800000000009</x:v>
      </x:c>
      <x:c r="CC187" s="23">
        <x:f t="shared" si="128"/>
        <x:v>1.8660000000000001</x:v>
      </x:c>
      <x:c r="CD187" s="23">
        <x:f t="shared" si="129"/>
        <x:v>31.60690512</x:v>
      </x:c>
      <x:c r="CE187" s="23">
        <x:f t="shared" si="130"/>
        <x:v>7.6292529600000014</x:v>
      </x:c>
      <x:c r="CF187" s="23">
        <x:f t="shared" si="131"/>
        <x:v>1.5258505920000004E-2</x:v>
      </x:c>
      <x:c r="CG187" s="23">
        <x:f t="shared" si="132"/>
        <x:v>0</x:v>
      </x:c>
      <x:c r="CH187" s="23">
        <x:f t="shared" si="133"/>
        <x:v>3.7319999999999999E-2</x:v>
      </x:c>
      <x:c r="CI187" s="23">
        <x:f t="shared" si="134"/>
        <x:v>0</x:v>
      </x:c>
      <x:c r="CJ187" s="24" t="s">
        <x:v>421</x:v>
      </x:c>
      <x:c r="CK187" s="25">
        <x:v>65</x:v>
      </x:c>
      <x:c r="CL187" s="26" t="s">
        <x:v>127</x:v>
      </x:c>
      <x:c r="CM187" s="26">
        <x:v>90</x:v>
      </x:c>
      <x:c r="CN187" s="27" t="s">
        <x:v>422</x:v>
      </x:c>
      <x:c r="CO187" s="27">
        <x:v>99.4</x:v>
      </x:c>
      <x:c r="CP187" s="27">
        <x:v>98.3</x:v>
      </x:c>
      <x:c r="CQ187" s="26">
        <x:f t="shared" si="135"/>
        <x:v>2.6646479999999992</x:v>
      </x:c>
      <x:c r="CR187" s="26">
        <x:f t="shared" si="136"/>
        <x:v>0.83596799999999993</x:v>
      </x:c>
      <x:c r="CS187" s="26">
        <x:f t="shared" si="137"/>
        <x:v>1.8660000000000001</x:v>
      </x:c>
      <x:c r="CT187" s="26">
        <x:f t="shared" si="155"/>
        <x:v>0.18964143071999667</x:v>
      </x:c>
      <x:c r="CU187" s="26">
        <x:f t="shared" si="156"/>
        <x:v>0.12969730032000015</x:v>
      </x:c>
      <x:c r="CV187" s="26">
        <x:f t="shared" si="157"/>
        <x:v>2.5939460064000028E-4</x:v>
      </x:c>
      <x:c r="CW187" s="26">
        <x:f t="shared" si="158"/>
        <x:v>0</x:v>
      </x:c>
      <x:c r="CX187" s="26">
        <x:f t="shared" si="138"/>
        <x:v>3.7319999999999999E-2</x:v>
      </x:c>
      <x:c r="CY187" s="26">
        <x:f t="shared" si="139"/>
        <x:v>0</x:v>
      </x:c>
    </x:row>
    <x:row r="188">
      <x:c r="A188" s="18">
        <x:v>2022</x:v>
      </x:c>
      <x:c r="B188" t="s">
        <x:v>416</x:v>
      </x:c>
      <x:c r="C188" t="s">
        <x:v>417</x:v>
      </x:c>
      <x:c r="D188" t="s">
        <x:v>418</x:v>
      </x:c>
      <x:c r="E188" s="18">
        <x:v>440608</x:v>
      </x:c>
      <x:c r="F188" t="s">
        <x:v>419</x:v>
      </x:c>
      <x:c r="G188" t="s">
        <x:v>362</x:v>
      </x:c>
      <x:c r="H188" s="18">
        <x:v>1711</x:v>
      </x:c>
      <x:c r="I188" t="s">
        <x:v>420</x:v>
      </x:c>
      <x:c r="J188" t="s">
        <x:v>78</x:v>
      </x:c>
      <x:c r="K188" t="s">
        <x:v>109</x:v>
      </x:c>
      <x:c r="L188" s="20">
        <x:v>0.6</x:v>
      </x:c>
      <x:c r="M188" t="s">
        <x:v>125</x:v>
      </x:c>
      <x:c r="N188" s="18">
        <x:v>75</x:v>
      </x:c>
      <x:c r="O188" t="s">
        <x:v>88</x:v>
      </x:c>
      <x:c r="P188" s="18">
        <x:v>4</x:v>
      </x:c>
      <x:c r="Q188" s="19" t="s">
        <x:v>111</x:v>
      </x:c>
      <x:c r="R188" s="18">
        <x:v>64730</x:v>
      </x:c>
      <x:c r="S188" t="s">
        <x:v>112</x:v>
      </x:c>
      <x:c r="T188" s="19">
        <x:f t="shared" si="176"/>
        <x:v>64730</x:v>
      </x:c>
      <x:c r="U188" s="20">
        <x:v>0.48</x:v>
      </x:c>
      <x:c r="V188" t="s">
        <x:v>113</x:v>
      </x:c>
      <x:c r="W188" s="20">
        <x:v>20.86</x:v>
      </x:c>
      <x:c r="X188" s="21" t="n">
        <x:f>2*U188/100*(1-0.15)*T188</x:f>
        <x:v>528.1967999999999</x:v>
      </x:c>
      <x:c r="Y188" s="21" t="n">
        <x:f>8.96*T188/1000</x:f>
        <x:v>579.9808</x:v>
      </x:c>
      <x:c r="Z188" s="21" t="n">
        <x:f>2*T188/1000</x:f>
        <x:v>129.46</x:v>
      </x:c>
      <x:c r="AA188" s="21" t="n">
        <x:f>W188/100*(1-0.44)*0.29*T188</x:f>
        <x:v>2192.8349072</x:v>
      </x:c>
      <x:c r="AB188" s="21" t="n">
        <x:f>W188/100*(1-0.44)*0.07*T188</x:f>
        <x:v>529.3049776</x:v>
      </x:c>
      <x:c r="AC188" s="21">
        <x:f t="shared" si="177"/>
        <x:v>1.0586099552000001</x:v>
      </x:c>
      <x:c r="AD188" s="21"/>
      <x:c r="AE188" s="21" t="n">
        <x:f>0.04*T188/1000</x:f>
        <x:v>2.5892000000000004</x:v>
      </x:c>
      <x:c r="AF188" s="21"/>
      <x:c r="AG188" s="19" t="s">
        <x:v>78</x:v>
      </x:c>
      <x:c r="AH188" t="s">
        <x:v>78</x:v>
      </x:c>
      <x:c r="AI188" t="s">
        <x:v>78</x:v>
      </x:c>
      <x:c r="AJ188" s="19"/>
      <x:c r="AK188" s="19" t="s">
        <x:v>78</x:v>
      </x:c>
      <x:c r="AL188" t="s">
        <x:v>78</x:v>
      </x:c>
      <x:c r="AM188" s="19" t="s">
        <x:v>78</x:v>
      </x:c>
      <x:c r="AN188" s="21"/>
      <x:c r="AO188" s="21"/>
      <x:c r="AP188" s="21"/>
      <x:c r="AQ188" s="21"/>
      <x:c r="AR188" s="21"/>
      <x:c r="AS188" s="21"/>
      <x:c r="AT188" s="21"/>
      <x:c r="AU188" s="21"/>
      <x:c r="AV188" s="21"/>
      <x:c r="AW188" t="s">
        <x:v>78</x:v>
      </x:c>
      <x:c r="AX188" s="19"/>
      <x:c r="AY188" s="21"/>
      <x:c r="AZ188" s="21"/>
      <x:c r="BA188" s="21"/>
      <x:c r="BB188" s="21"/>
      <x:c r="BC188" s="21"/>
      <x:c r="BD188" s="21"/>
      <x:c r="BE188" s="21"/>
      <x:c r="BF188" s="21"/>
      <x:c r="BG188" s="21"/>
      <x:c r="BH188" t="s">
        <x:v>81</x:v>
      </x:c>
      <x:c r="BI188" s="18">
        <x:v>112</x:v>
      </x:c>
      <x:c r="BJ188" s="18">
        <x:v>54</x:v>
      </x:c>
      <x:c r="BK188" s="18">
        <x:v>12</x:v>
      </x:c>
      <x:c r="BL188" s="18">
        <x:v>22</x:v>
      </x:c>
      <x:c r="BM188" s="18">
        <x:v>52</x:v>
      </x:c>
      <x:c r="BN188" s="18">
        <x:v>28</x:v>
      </x:c>
      <x:c r="BO188" s="22">
        <x:v>112.90333333333299</x:v>
      </x:c>
      <x:c r="BP188" s="22">
        <x:v>22.8744444444444</x:v>
      </x:c>
      <x:c r="BQ188" s="18">
        <x:v>150</x:v>
      </x:c>
      <x:c r="BR188" s="18">
        <x:v>75585.75</x:v>
      </x:c>
      <x:c r="BS188" s="18">
        <x:v>139.81700000000001</x:v>
      </x:c>
      <x:c r="BT188" s="18">
        <x:v>0.28799999999999998</x:v>
      </x:c>
      <x:c r="BU188" s="18">
        <x:v>61.494</x:v>
      </x:c>
      <x:c r="BV188" s="18">
        <x:v>2.3050000000000002</x:v>
      </x:c>
      <x:c r="BW188" s="18">
        <x:v>6251.74</x:v>
      </x:c>
      <x:c r="BX188" s="18">
        <x:v>0.47599999999999998</x:v>
      </x:c>
      <x:c r="BY188" s="18">
        <x:v>1851.278</x:v>
      </x:c>
      <x:c r="BZ188" s="18">
        <x:v>1851.278</x:v>
      </x:c>
      <x:c r="CA188" s="23">
        <x:f t="shared" si="126"/>
        <x:v>528.19679999999994</x:v>
      </x:c>
      <x:c r="CB188" s="23">
        <x:f t="shared" si="127"/>
        <x:v>579.98080000000004</x:v>
      </x:c>
      <x:c r="CC188" s="23">
        <x:f t="shared" si="128"/>
        <x:v>129.46</x:v>
      </x:c>
      <x:c r="CD188" s="23">
        <x:f t="shared" si="129"/>
        <x:v>2192.8349072000001</x:v>
      </x:c>
      <x:c r="CE188" s="23">
        <x:f t="shared" si="130"/>
        <x:v>529.30497760000003</x:v>
      </x:c>
      <x:c r="CF188" s="23">
        <x:f t="shared" si="131"/>
        <x:v>1.0586099552000001</x:v>
      </x:c>
      <x:c r="CG188" s="23">
        <x:f t="shared" si="132"/>
        <x:v>0</x:v>
      </x:c>
      <x:c r="CH188" s="23">
        <x:f t="shared" si="133"/>
        <x:v>2.5892000000000004</x:v>
      </x:c>
      <x:c r="CI188" s="23">
        <x:f t="shared" si="134"/>
        <x:v>0</x:v>
      </x:c>
      <x:c r="CJ188" s="24" t="s">
        <x:v>421</x:v>
      </x:c>
      <x:c r="CK188" s="25">
        <x:v>65</x:v>
      </x:c>
      <x:c r="CL188" s="26" t="s">
        <x:v>127</x:v>
      </x:c>
      <x:c r="CM188" s="26">
        <x:v>90</x:v>
      </x:c>
      <x:c r="CN188" s="27" t="s">
        <x:v>422</x:v>
      </x:c>
      <x:c r="CO188" s="27">
        <x:v>99.4</x:v>
      </x:c>
      <x:c r="CP188" s="27">
        <x:v>98.3</x:v>
      </x:c>
      <x:c r="CQ188" s="26">
        <x:f t="shared" si="135"/>
        <x:v>184.86887999999996</x:v>
      </x:c>
      <x:c r="CR188" s="26">
        <x:f t="shared" si="136"/>
        <x:v>57.998079999999995</x:v>
      </x:c>
      <x:c r="CS188" s="26">
        <x:f t="shared" si="137"/>
        <x:v>129.46</x:v>
      </x:c>
      <x:c r="CT188" s="26">
        <x:f t="shared" si="155"/>
        <x:v>13.157009443199769</x:v>
      </x:c>
      <x:c r="CU188" s="26">
        <x:f t="shared" si="156"/>
        <x:v>8.9981846192000088</x:v>
      </x:c>
      <x:c r="CV188" s="26">
        <x:f t="shared" si="157"/>
        <x:v>1.7996369238400017E-2</x:v>
      </x:c>
      <x:c r="CW188" s="26">
        <x:f t="shared" si="158"/>
        <x:v>0</x:v>
      </x:c>
      <x:c r="CX188" s="26">
        <x:f t="shared" si="138"/>
        <x:v>2.5892000000000004</x:v>
      </x:c>
      <x:c r="CY188" s="26">
        <x:f t="shared" si="139"/>
        <x:v>0</x:v>
      </x:c>
    </x:row>
    <x:row r="189">
      <x:c r="A189" s="18">
        <x:v>2022</x:v>
      </x:c>
      <x:c r="B189" t="s">
        <x:v>423</x:v>
      </x:c>
      <x:c r="C189" t="s">
        <x:v>424</x:v>
      </x:c>
      <x:c r="D189" t="s">
        <x:v>425</x:v>
      </x:c>
      <x:c r="E189" s="18">
        <x:v>440608</x:v>
      </x:c>
      <x:c r="F189" t="s">
        <x:v>419</x:v>
      </x:c>
      <x:c r="G189" t="s">
        <x:v>362</x:v>
      </x:c>
      <x:c r="H189" s="18">
        <x:v>4412</x:v>
      </x:c>
      <x:c r="I189" t="s">
        <x:v>108</x:v>
      </x:c>
      <x:c r="J189" t="s">
        <x:v>78</x:v>
      </x:c>
      <x:c r="K189" t="s">
        <x:v>80</x:v>
      </x:c>
      <x:c r="L189" s="18">
        <x:v>42.58</x:v>
      </x:c>
      <x:c r="M189" t="s">
        <x:v>78</x:v>
      </x:c>
      <x:c r="N189" s="18">
        <x:v>193.06</x:v>
      </x:c>
      <x:c r="O189" t="s">
        <x:v>88</x:v>
      </x:c>
      <x:c r="P189" s="18">
        <x:v>15</x:v>
      </x:c>
      <x:c r="Q189" s="19" t="s">
        <x:v>96</x:v>
      </x:c>
      <x:c r="R189" s="18">
        <x:v>14000</x:v>
      </x:c>
      <x:c r="S189" t="s">
        <x:v>76</x:v>
      </x:c>
      <x:c r="T189" s="19">
        <x:f t="shared" si="176"/>
        <x:v>14000</x:v>
      </x:c>
      <x:c r="U189" s="20">
        <x:v>20</x:v>
      </x:c>
      <x:c r="V189" t="s">
        <x:v>77</x:v>
      </x:c>
      <x:c r="W189" s="19" t="s">
        <x:v>78</x:v>
      </x:c>
      <x:c r="X189" s="21" t="n">
        <x:f t="shared" ref="X189:X194" si="178">2*U189*T189*10000/1000000000</x:f>
        <x:v>5.6</x:v>
      </x:c>
      <x:c r="Y189" s="21" t="n">
        <x:f t="shared" ref="Y189:Y194" si="179">4.1*T189*10000/1000000</x:f>
        <x:v>573.9999999999999</x:v>
      </x:c>
      <x:c r="Z189" s="21" t="n">
        <x:f t="shared" ref="Z189:Z194" si="180">1.3*T189*10000/1000000</x:f>
        <x:v>182</x:v>
      </x:c>
      <x:c r="AA189" s="21" t="n">
        <x:f t="shared" ref="AA189:AA194" si="181">0.03*T189*10000/1000000</x:f>
        <x:v>4.2</x:v>
      </x:c>
      <x:c r="AB189" s="21" t="n">
        <x:f t="shared" ref="AB189:AB194" si="182">0.03*T189*10000/1000000</x:f>
        <x:v>4.2</x:v>
      </x:c>
      <x:c r="AC189" s="21"/>
      <x:c r="AD189" s="21"/>
      <x:c r="AE189" s="21" t="n">
        <x:f t="shared" ref="AE189:AE194" si="183">0.02*T189*10000/1000000</x:f>
        <x:v>2.8</x:v>
      </x:c>
      <x:c r="AF189" s="21"/>
      <x:c r="AG189" s="19" t="s">
        <x:v>78</x:v>
      </x:c>
      <x:c r="AH189" t="s">
        <x:v>78</x:v>
      </x:c>
      <x:c r="AI189" t="s">
        <x:v>78</x:v>
      </x:c>
      <x:c r="AJ189" s="19"/>
      <x:c r="AK189" s="19" t="s">
        <x:v>78</x:v>
      </x:c>
      <x:c r="AL189" t="s">
        <x:v>78</x:v>
      </x:c>
      <x:c r="AM189" s="19" t="s">
        <x:v>78</x:v>
      </x:c>
      <x:c r="AN189" s="21"/>
      <x:c r="AO189" s="21"/>
      <x:c r="AP189" s="21"/>
      <x:c r="AQ189" s="21"/>
      <x:c r="AR189" s="21"/>
      <x:c r="AS189" s="21"/>
      <x:c r="AT189" s="21"/>
      <x:c r="AU189" s="21"/>
      <x:c r="AV189" s="21"/>
      <x:c r="AW189" t="s">
        <x:v>78</x:v>
      </x:c>
      <x:c r="AX189" s="19"/>
      <x:c r="AY189" s="21"/>
      <x:c r="AZ189" s="21"/>
      <x:c r="BA189" s="21"/>
      <x:c r="BB189" s="21"/>
      <x:c r="BC189" s="21"/>
      <x:c r="BD189" s="21"/>
      <x:c r="BE189" s="21"/>
      <x:c r="BF189" s="21"/>
      <x:c r="BG189" s="21"/>
      <x:c r="BH189" t="s">
        <x:v>81</x:v>
      </x:c>
      <x:c r="BI189" s="18">
        <x:v>112</x:v>
      </x:c>
      <x:c r="BJ189" s="18">
        <x:v>48</x:v>
      </x:c>
      <x:c r="BK189" s="18">
        <x:v>48.17</x:v>
      </x:c>
      <x:c r="BL189" s="18">
        <x:v>22</x:v>
      </x:c>
      <x:c r="BM189" s="18">
        <x:v>54</x:v>
      </x:c>
      <x:c r="BN189" s="18">
        <x:v>27.68</x:v>
      </x:c>
      <x:c r="BO189" s="22">
        <x:v>112.81338055555599</x:v>
      </x:c>
      <x:c r="BP189" s="22">
        <x:v>22.907688888888899</x:v>
      </x:c>
      <x:c r="BQ189" s="18">
        <x:v>60</x:v>
      </x:c>
      <x:c r="BR189" s="18">
        <x:v>399961.9</x:v>
      </x:c>
      <x:c r="BS189" s="18">
        <x:v>1.5840000000000001</x:v>
      </x:c>
      <x:c r="BT189" s="18">
        <x:v>1.5840000000000001</x:v>
      </x:c>
      <x:c r="BU189" s="18">
        <x:v>156.828</x:v>
      </x:c>
      <x:c r="BV189" s="18">
        <x:v>156.828</x:v>
      </x:c>
      <x:c r="BW189" s="18">
        <x:v>0.46800000000000003</x:v>
      </x:c>
      <x:c r="BX189" s="18">
        <x:v>0.46800000000000003</x:v>
      </x:c>
      <x:c r="BY189" t="s">
        <x:v>78</x:v>
      </x:c>
      <x:c r="BZ189" t="s">
        <x:v>78</x:v>
      </x:c>
      <x:c r="CA189" s="23">
        <x:f t="shared" si="126"/>
        <x:v>5.6</x:v>
      </x:c>
      <x:c r="CB189" s="23">
        <x:f t="shared" si="127"/>
        <x:v>573.99999999999989</x:v>
      </x:c>
      <x:c r="CC189" s="23">
        <x:f t="shared" si="128"/>
        <x:v>182</x:v>
      </x:c>
      <x:c r="CD189" s="23">
        <x:f t="shared" si="129"/>
        <x:v>4.2</x:v>
      </x:c>
      <x:c r="CE189" s="23">
        <x:f t="shared" si="130"/>
        <x:v>4.2</x:v>
      </x:c>
      <x:c r="CF189" s="23">
        <x:f t="shared" si="131"/>
        <x:v>0</x:v>
      </x:c>
      <x:c r="CG189" s="23">
        <x:f t="shared" si="132"/>
        <x:v>0</x:v>
      </x:c>
      <x:c r="CH189" s="23">
        <x:f t="shared" si="133"/>
        <x:v>2.8</x:v>
      </x:c>
      <x:c r="CI189" s="23">
        <x:f t="shared" si="134"/>
        <x:v>0</x:v>
      </x:c>
      <x:c r="CJ189" s="24" t="s">
        <x:v>78</x:v>
      </x:c>
      <x:c r="CK189" s="25">
        <x:v>0</x:v>
      </x:c>
      <x:c r="CL189" s="26" t="s">
        <x:v>78</x:v>
      </x:c>
      <x:c r="CM189" s="26">
        <x:v>42</x:v>
      </x:c>
      <x:c r="CN189" s="27" t="s">
        <x:v>78</x:v>
      </x:c>
      <x:c r="CO189" s="27">
        <x:v>0</x:v>
      </x:c>
      <x:c r="CP189" s="27">
        <x:v>0</x:v>
      </x:c>
      <x:c r="CQ189" s="26">
        <x:f t="shared" si="135"/>
        <x:v>5.6</x:v>
      </x:c>
      <x:c r="CR189" s="26">
        <x:f t="shared" si="136"/>
        <x:v>332.91999999999996</x:v>
      </x:c>
      <x:c r="CS189" s="26">
        <x:f t="shared" si="137"/>
        <x:v>182</x:v>
      </x:c>
      <x:c r="CT189" s="26">
        <x:f t="shared" si="155"/>
        <x:v>4.2</x:v>
      </x:c>
      <x:c r="CU189" s="26">
        <x:f t="shared" si="156"/>
        <x:v>4.2</x:v>
      </x:c>
      <x:c r="CV189" s="26">
        <x:f t="shared" si="157"/>
        <x:v>0</x:v>
      </x:c>
      <x:c r="CW189" s="26">
        <x:f t="shared" si="158"/>
        <x:v>0</x:v>
      </x:c>
      <x:c r="CX189" s="26">
        <x:f t="shared" si="138"/>
        <x:v>2.8</x:v>
      </x:c>
      <x:c r="CY189" s="26">
        <x:f t="shared" si="139"/>
        <x:v>0</x:v>
      </x:c>
    </x:row>
    <x:row r="190">
      <x:c r="A190" s="18">
        <x:v>2022</x:v>
      </x:c>
      <x:c r="B190" t="s">
        <x:v>423</x:v>
      </x:c>
      <x:c r="C190" t="s">
        <x:v>424</x:v>
      </x:c>
      <x:c r="D190" t="s">
        <x:v>425</x:v>
      </x:c>
      <x:c r="E190" s="18">
        <x:v>440608</x:v>
      </x:c>
      <x:c r="F190" t="s">
        <x:v>419</x:v>
      </x:c>
      <x:c r="G190" t="s">
        <x:v>362</x:v>
      </x:c>
      <x:c r="H190" s="18">
        <x:v>4412</x:v>
      </x:c>
      <x:c r="I190" t="s">
        <x:v>108</x:v>
      </x:c>
      <x:c r="J190" t="s">
        <x:v>78</x:v>
      </x:c>
      <x:c r="K190" t="s">
        <x:v>80</x:v>
      </x:c>
      <x:c r="L190" s="18">
        <x:v>42.58</x:v>
      </x:c>
      <x:c r="M190" t="s">
        <x:v>78</x:v>
      </x:c>
      <x:c r="N190" s="18">
        <x:v>193.06</x:v>
      </x:c>
      <x:c r="O190" t="s">
        <x:v>88</x:v>
      </x:c>
      <x:c r="P190" s="18">
        <x:v>15</x:v>
      </x:c>
      <x:c r="Q190" s="19" t="s">
        <x:v>96</x:v>
      </x:c>
      <x:c r="R190" s="18">
        <x:v>2989.527</x:v>
      </x:c>
      <x:c r="S190" t="s">
        <x:v>76</x:v>
      </x:c>
      <x:c r="T190" s="19">
        <x:f t="shared" si="176"/>
        <x:v>2989.527</x:v>
      </x:c>
      <x:c r="U190" s="20">
        <x:v>20</x:v>
      </x:c>
      <x:c r="V190" t="s">
        <x:v>77</x:v>
      </x:c>
      <x:c r="W190" s="19" t="s">
        <x:v>78</x:v>
      </x:c>
      <x:c r="X190" s="21">
        <x:f t="shared" si="178"/>
        <x:v>1.1958108000000001</x:v>
      </x:c>
      <x:c r="Y190" s="21">
        <x:f t="shared" si="179"/>
        <x:v>122.570607</x:v>
      </x:c>
      <x:c r="Z190" s="21">
        <x:f t="shared" si="180"/>
        <x:v>38.863850999999997</x:v>
      </x:c>
      <x:c r="AA190" s="21">
        <x:f t="shared" si="181"/>
        <x:v>0.8968581000000001</x:v>
      </x:c>
      <x:c r="AB190" s="21">
        <x:f t="shared" si="182"/>
        <x:v>0.8968581000000001</x:v>
      </x:c>
      <x:c r="AC190" s="21"/>
      <x:c r="AD190" s="21"/>
      <x:c r="AE190" s="21">
        <x:f t="shared" si="183"/>
        <x:v>0.59790540000000003</x:v>
      </x:c>
      <x:c r="AF190" s="21"/>
      <x:c r="AG190" s="19" t="s">
        <x:v>78</x:v>
      </x:c>
      <x:c r="AH190" t="s">
        <x:v>78</x:v>
      </x:c>
      <x:c r="AI190" t="s">
        <x:v>78</x:v>
      </x:c>
      <x:c r="AJ190" s="19"/>
      <x:c r="AK190" s="19" t="s">
        <x:v>78</x:v>
      </x:c>
      <x:c r="AL190" t="s">
        <x:v>78</x:v>
      </x:c>
      <x:c r="AM190" s="19" t="s">
        <x:v>78</x:v>
      </x:c>
      <x:c r="AN190" s="21"/>
      <x:c r="AO190" s="21"/>
      <x:c r="AP190" s="21"/>
      <x:c r="AQ190" s="21"/>
      <x:c r="AR190" s="21"/>
      <x:c r="AS190" s="21"/>
      <x:c r="AT190" s="21"/>
      <x:c r="AU190" s="21"/>
      <x:c r="AV190" s="21"/>
      <x:c r="AW190" t="s">
        <x:v>78</x:v>
      </x:c>
      <x:c r="AX190" s="19"/>
      <x:c r="AY190" s="21"/>
      <x:c r="AZ190" s="21"/>
      <x:c r="BA190" s="21"/>
      <x:c r="BB190" s="21"/>
      <x:c r="BC190" s="21"/>
      <x:c r="BD190" s="21"/>
      <x:c r="BE190" s="21"/>
      <x:c r="BF190" s="21"/>
      <x:c r="BG190" s="21"/>
      <x:c r="BH190" t="s">
        <x:v>79</x:v>
      </x:c>
      <x:c r="BI190" s="18">
        <x:v>112</x:v>
      </x:c>
      <x:c r="BJ190" s="18">
        <x:v>48</x:v>
      </x:c>
      <x:c r="BK190" s="18">
        <x:v>48.17</x:v>
      </x:c>
      <x:c r="BL190" s="18">
        <x:v>22</x:v>
      </x:c>
      <x:c r="BM190" s="18">
        <x:v>54</x:v>
      </x:c>
      <x:c r="BN190" s="18">
        <x:v>27.68</x:v>
      </x:c>
      <x:c r="BO190" s="22">
        <x:v>112.81338055555599</x:v>
      </x:c>
      <x:c r="BP190" s="22">
        <x:v>22.907688888888899</x:v>
      </x:c>
      <x:c r="BQ190" s="18">
        <x:v>60</x:v>
      </x:c>
      <x:c r="BR190" s="18">
        <x:v>88223</x:v>
      </x:c>
      <x:c r="BS190" s="18">
        <x:v>0.127</x:v>
      </x:c>
      <x:c r="BT190" s="18">
        <x:v>0.127</x:v>
      </x:c>
      <x:c r="BU190" s="18">
        <x:v>37.716999999999999</x:v>
      </x:c>
      <x:c r="BV190" s="18">
        <x:v>37.716999999999999</x:v>
      </x:c>
      <x:c r="BW190" s="18">
        <x:v>10.143000000000001</x:v>
      </x:c>
      <x:c r="BX190" s="18">
        <x:v>10.143000000000001</x:v>
      </x:c>
      <x:c r="BY190" t="s">
        <x:v>78</x:v>
      </x:c>
      <x:c r="BZ190" t="s">
        <x:v>78</x:v>
      </x:c>
      <x:c r="CA190" s="23">
        <x:f t="shared" si="126"/>
        <x:v>1.1958108000000001</x:v>
      </x:c>
      <x:c r="CB190" s="23">
        <x:f t="shared" si="127"/>
        <x:v>122.570607</x:v>
      </x:c>
      <x:c r="CC190" s="23">
        <x:f t="shared" si="128"/>
        <x:v>38.863850999999997</x:v>
      </x:c>
      <x:c r="CD190" s="23">
        <x:f t="shared" si="129"/>
        <x:v>0.8968581000000001</x:v>
      </x:c>
      <x:c r="CE190" s="23">
        <x:f t="shared" si="130"/>
        <x:v>0.8968581000000001</x:v>
      </x:c>
      <x:c r="CF190" s="23">
        <x:f t="shared" si="131"/>
        <x:v>0</x:v>
      </x:c>
      <x:c r="CG190" s="23">
        <x:f t="shared" si="132"/>
        <x:v>0</x:v>
      </x:c>
      <x:c r="CH190" s="23">
        <x:f t="shared" si="133"/>
        <x:v>0.59790540000000003</x:v>
      </x:c>
      <x:c r="CI190" s="23">
        <x:f t="shared" si="134"/>
        <x:v>0</x:v>
      </x:c>
      <x:c r="CJ190" s="24" t="s">
        <x:v>78</x:v>
      </x:c>
      <x:c r="CK190" s="25">
        <x:v>0</x:v>
      </x:c>
      <x:c r="CL190" s="26" t="s">
        <x:v>78</x:v>
      </x:c>
      <x:c r="CM190" s="26">
        <x:v>42</x:v>
      </x:c>
      <x:c r="CN190" s="27" t="s">
        <x:v>78</x:v>
      </x:c>
      <x:c r="CO190" s="27">
        <x:v>0</x:v>
      </x:c>
      <x:c r="CP190" s="27">
        <x:v>0</x:v>
      </x:c>
      <x:c r="CQ190" s="26">
        <x:f t="shared" si="135"/>
        <x:v>1.1958108000000001</x:v>
      </x:c>
      <x:c r="CR190" s="26">
        <x:f t="shared" si="136"/>
        <x:v>71.090952060000006</x:v>
      </x:c>
      <x:c r="CS190" s="26">
        <x:f t="shared" si="137"/>
        <x:v>38.863850999999997</x:v>
      </x:c>
      <x:c r="CT190" s="26">
        <x:f t="shared" si="155"/>
        <x:v>0.8968581000000001</x:v>
      </x:c>
      <x:c r="CU190" s="26">
        <x:f t="shared" si="156"/>
        <x:v>0.8968581000000001</x:v>
      </x:c>
      <x:c r="CV190" s="26">
        <x:f t="shared" si="157"/>
        <x:v>0</x:v>
      </x:c>
      <x:c r="CW190" s="26">
        <x:f t="shared" si="158"/>
        <x:v>0</x:v>
      </x:c>
      <x:c r="CX190" s="26">
        <x:f t="shared" si="138"/>
        <x:v>0.59790540000000003</x:v>
      </x:c>
      <x:c r="CY190" s="26">
        <x:f t="shared" si="139"/>
        <x:v>0</x:v>
      </x:c>
    </x:row>
    <x:row r="191">
      <x:c r="A191" s="18">
        <x:v>2022</x:v>
      </x:c>
      <x:c r="B191" t="s">
        <x:v>426</x:v>
      </x:c>
      <x:c r="C191" t="s">
        <x:v>427</x:v>
      </x:c>
      <x:c r="D191" t="s">
        <x:v>428</x:v>
      </x:c>
      <x:c r="E191" s="18">
        <x:v>440703</x:v>
      </x:c>
      <x:c r="F191" t="s">
        <x:v>429</x:v>
      </x:c>
      <x:c r="G191" t="s">
        <x:v>430</x:v>
      </x:c>
      <x:c r="H191" s="18">
        <x:v>4411</x:v>
      </x:c>
      <x:c r="I191" t="s">
        <x:v>102</x:v>
      </x:c>
      <x:c r="J191" t="s">
        <x:v>78</x:v>
      </x:c>
      <x:c r="K191" t="s">
        <x:v>80</x:v>
      </x:c>
      <x:c r="L191" s="18">
        <x:v>11.5</x:v>
      </x:c>
      <x:c r="M191" t="s">
        <x:v>78</x:v>
      </x:c>
      <x:c r="N191" s="18">
        <x:v>56.5</x:v>
      </x:c>
      <x:c r="O191" t="s">
        <x:v>88</x:v>
      </x:c>
      <x:c r="P191" s="18">
        <x:v>15</x:v>
      </x:c>
      <x:c r="Q191" s="19" t="s">
        <x:v>96</x:v>
      </x:c>
      <x:c r="R191" s="18">
        <x:v>10890.49</x:v>
      </x:c>
      <x:c r="S191" t="s">
        <x:v>76</x:v>
      </x:c>
      <x:c r="T191" s="19">
        <x:f t="shared" si="176"/>
        <x:v>10890.49</x:v>
      </x:c>
      <x:c r="U191" s="20">
        <x:v>0.3</x:v>
      </x:c>
      <x:c r="V191" t="s">
        <x:v>77</x:v>
      </x:c>
      <x:c r="W191" s="20">
        <x:v>0</x:v>
      </x:c>
      <x:c r="X191" s="21">
        <x:f t="shared" si="178"/>
        <x:v>6.5342940000000002E-2</x:v>
      </x:c>
      <x:c r="Y191" s="21">
        <x:f t="shared" si="179"/>
        <x:v>446.51008999999999</x:v>
      </x:c>
      <x:c r="Z191" s="21">
        <x:f t="shared" si="180"/>
        <x:v>141.57637</x:v>
      </x:c>
      <x:c r="AA191" s="21">
        <x:f t="shared" si="181"/>
        <x:v>3.267147</x:v>
      </x:c>
      <x:c r="AB191" s="21">
        <x:f t="shared" si="182"/>
        <x:v>3.267147</x:v>
      </x:c>
      <x:c r="AC191" s="21"/>
      <x:c r="AD191" s="21"/>
      <x:c r="AE191" s="21">
        <x:f t="shared" si="183"/>
        <x:v>2.1780979999999999</x:v>
      </x:c>
      <x:c r="AF191" s="21"/>
      <x:c r="AG191" s="19" t="s">
        <x:v>78</x:v>
      </x:c>
      <x:c r="AH191" t="s">
        <x:v>78</x:v>
      </x:c>
      <x:c r="AI191" t="s">
        <x:v>78</x:v>
      </x:c>
      <x:c r="AJ191" s="19"/>
      <x:c r="AK191" s="19" t="s">
        <x:v>78</x:v>
      </x:c>
      <x:c r="AL191" t="s">
        <x:v>78</x:v>
      </x:c>
      <x:c r="AM191" s="19" t="s">
        <x:v>78</x:v>
      </x:c>
      <x:c r="AN191" s="21"/>
      <x:c r="AO191" s="21"/>
      <x:c r="AP191" s="21"/>
      <x:c r="AQ191" s="21"/>
      <x:c r="AR191" s="21"/>
      <x:c r="AS191" s="21"/>
      <x:c r="AT191" s="21"/>
      <x:c r="AU191" s="21"/>
      <x:c r="AV191" s="21"/>
      <x:c r="AW191" t="s">
        <x:v>78</x:v>
      </x:c>
      <x:c r="AX191" s="19"/>
      <x:c r="AY191" s="21"/>
      <x:c r="AZ191" s="21"/>
      <x:c r="BA191" s="21"/>
      <x:c r="BB191" s="21"/>
      <x:c r="BC191" s="21"/>
      <x:c r="BD191" s="21"/>
      <x:c r="BE191" s="21"/>
      <x:c r="BF191" s="21"/>
      <x:c r="BG191" s="21"/>
      <x:c r="BH191" t="s">
        <x:v>81</x:v>
      </x:c>
      <x:c r="BI191" s="18">
        <x:v>112</x:v>
      </x:c>
      <x:c r="BJ191" s="18">
        <x:v>59</x:v>
      </x:c>
      <x:c r="BK191" s="18">
        <x:v>48</x:v>
      </x:c>
      <x:c r="BL191" s="18">
        <x:v>22</x:v>
      </x:c>
      <x:c r="BM191" s="18">
        <x:v>41</x:v>
      </x:c>
      <x:c r="BN191" s="18">
        <x:v>38</x:v>
      </x:c>
      <x:c r="BO191" s="22">
        <x:v>112.996666666667</x:v>
      </x:c>
      <x:c r="BP191" s="22">
        <x:v>22.6938888888889</x:v>
      </x:c>
      <x:c r="BQ191" s="18">
        <x:v>40</x:v>
      </x:c>
      <x:c r="BR191" s="18">
        <x:v>276044.08</x:v>
      </x:c>
      <x:c r="BS191" s="18">
        <x:v>0.69599999999999995</x:v>
      </x:c>
      <x:c r="BT191" s="18">
        <x:v>0.69599999999999995</x:v>
      </x:c>
      <x:c r="BU191" s="18">
        <x:v>82.840999999999994</x:v>
      </x:c>
      <x:c r="BV191" s="18">
        <x:v>82.840999999999994</x:v>
      </x:c>
      <x:c r="BW191" s="18">
        <x:v>5.2949999999999999</x:v>
      </x:c>
      <x:c r="BX191" s="18">
        <x:v>5.2949999999999999</x:v>
      </x:c>
      <x:c r="BY191" t="s">
        <x:v>78</x:v>
      </x:c>
      <x:c r="BZ191" t="s">
        <x:v>78</x:v>
      </x:c>
      <x:c r="CA191" s="23">
        <x:f t="shared" si="126"/>
        <x:v>6.5342940000000002E-2</x:v>
      </x:c>
      <x:c r="CB191" s="23">
        <x:f t="shared" si="127"/>
        <x:v>446.51008999999999</x:v>
      </x:c>
      <x:c r="CC191" s="23">
        <x:f t="shared" si="128"/>
        <x:v>141.57637</x:v>
      </x:c>
      <x:c r="CD191" s="23">
        <x:f t="shared" si="129"/>
        <x:v>3.267147</x:v>
      </x:c>
      <x:c r="CE191" s="23">
        <x:f t="shared" si="130"/>
        <x:v>3.267147</x:v>
      </x:c>
      <x:c r="CF191" s="23">
        <x:f t="shared" si="131"/>
        <x:v>0</x:v>
      </x:c>
      <x:c r="CG191" s="23">
        <x:f t="shared" si="132"/>
        <x:v>0</x:v>
      </x:c>
      <x:c r="CH191" s="23">
        <x:f t="shared" si="133"/>
        <x:v>2.1780979999999999</x:v>
      </x:c>
      <x:c r="CI191" s="23">
        <x:f t="shared" si="134"/>
        <x:v>0</x:v>
      </x:c>
      <x:c r="CJ191" s="24" t="s">
        <x:v>78</x:v>
      </x:c>
      <x:c r="CK191" s="25">
        <x:v>0</x:v>
      </x:c>
      <x:c r="CL191" s="26" t="s">
        <x:v>78</x:v>
      </x:c>
      <x:c r="CM191" s="26">
        <x:v>42</x:v>
      </x:c>
      <x:c r="CN191" s="27" t="s">
        <x:v>78</x:v>
      </x:c>
      <x:c r="CO191" s="27">
        <x:v>0</x:v>
      </x:c>
      <x:c r="CP191" s="27">
        <x:v>0</x:v>
      </x:c>
      <x:c r="CQ191" s="26">
        <x:f t="shared" si="135"/>
        <x:v>6.5342940000000002E-2</x:v>
      </x:c>
      <x:c r="CR191" s="26">
        <x:f t="shared" si="136"/>
        <x:v>258.97585220000002</x:v>
      </x:c>
      <x:c r="CS191" s="26">
        <x:f t="shared" si="137"/>
        <x:v>141.57637</x:v>
      </x:c>
      <x:c r="CT191" s="26">
        <x:f t="shared" si="155"/>
        <x:v>3.267147</x:v>
      </x:c>
      <x:c r="CU191" s="26">
        <x:f t="shared" si="156"/>
        <x:v>3.267147</x:v>
      </x:c>
      <x:c r="CV191" s="26">
        <x:f t="shared" si="157"/>
        <x:v>0</x:v>
      </x:c>
      <x:c r="CW191" s="26">
        <x:f t="shared" si="158"/>
        <x:v>0</x:v>
      </x:c>
      <x:c r="CX191" s="26">
        <x:f t="shared" si="138"/>
        <x:v>2.1780979999999999</x:v>
      </x:c>
      <x:c r="CY191" s="26">
        <x:f t="shared" si="139"/>
        <x:v>0</x:v>
      </x:c>
    </x:row>
    <x:row r="192">
      <x:c r="A192" s="18">
        <x:v>2022</x:v>
      </x:c>
      <x:c r="B192" t="s">
        <x:v>426</x:v>
      </x:c>
      <x:c r="C192" t="s">
        <x:v>427</x:v>
      </x:c>
      <x:c r="D192" t="s">
        <x:v>428</x:v>
      </x:c>
      <x:c r="E192" s="18">
        <x:v>440703</x:v>
      </x:c>
      <x:c r="F192" t="s">
        <x:v>429</x:v>
      </x:c>
      <x:c r="G192" t="s">
        <x:v>430</x:v>
      </x:c>
      <x:c r="H192" s="18">
        <x:v>4411</x:v>
      </x:c>
      <x:c r="I192" t="s">
        <x:v>102</x:v>
      </x:c>
      <x:c r="J192" t="s">
        <x:v>78</x:v>
      </x:c>
      <x:c r="K192" t="s">
        <x:v>80</x:v>
      </x:c>
      <x:c r="L192" s="18">
        <x:v>11.5</x:v>
      </x:c>
      <x:c r="M192" t="s">
        <x:v>78</x:v>
      </x:c>
      <x:c r="N192" s="18">
        <x:v>56.5</x:v>
      </x:c>
      <x:c r="O192" t="s">
        <x:v>88</x:v>
      </x:c>
      <x:c r="P192" s="18">
        <x:v>15</x:v>
      </x:c>
      <x:c r="Q192" s="19" t="s">
        <x:v>96</x:v>
      </x:c>
      <x:c r="R192" s="18">
        <x:v>9834.2900000000009</x:v>
      </x:c>
      <x:c r="S192" t="s">
        <x:v>76</x:v>
      </x:c>
      <x:c r="T192" s="19">
        <x:f t="shared" si="176"/>
        <x:v>9834.2900000000009</x:v>
      </x:c>
      <x:c r="U192" s="20">
        <x:v>0.3</x:v>
      </x:c>
      <x:c r="V192" t="s">
        <x:v>77</x:v>
      </x:c>
      <x:c r="W192" s="20">
        <x:v>0</x:v>
      </x:c>
      <x:c r="X192" s="21">
        <x:f t="shared" si="178"/>
        <x:v>5.9005740000000008E-2</x:v>
      </x:c>
      <x:c r="Y192" s="21">
        <x:f t="shared" si="179"/>
        <x:v>403.20589000000001</x:v>
      </x:c>
      <x:c r="Z192" s="21">
        <x:f t="shared" si="180"/>
        <x:v>127.84577000000002</x:v>
      </x:c>
      <x:c r="AA192" s="21">
        <x:f t="shared" si="181"/>
        <x:v>2.9502869999999999</x:v>
      </x:c>
      <x:c r="AB192" s="21">
        <x:f t="shared" si="182"/>
        <x:v>2.9502869999999999</x:v>
      </x:c>
      <x:c r="AC192" s="21"/>
      <x:c r="AD192" s="21"/>
      <x:c r="AE192" s="21">
        <x:f t="shared" si="183"/>
        <x:v>1.9668580000000002</x:v>
      </x:c>
      <x:c r="AF192" s="21"/>
      <x:c r="AG192" s="19" t="s">
        <x:v>78</x:v>
      </x:c>
      <x:c r="AH192" t="s">
        <x:v>78</x:v>
      </x:c>
      <x:c r="AI192" t="s">
        <x:v>78</x:v>
      </x:c>
      <x:c r="AJ192" s="19"/>
      <x:c r="AK192" s="19" t="s">
        <x:v>78</x:v>
      </x:c>
      <x:c r="AL192" t="s">
        <x:v>78</x:v>
      </x:c>
      <x:c r="AM192" s="19" t="s">
        <x:v>78</x:v>
      </x:c>
      <x:c r="AN192" s="21"/>
      <x:c r="AO192" s="21"/>
      <x:c r="AP192" s="21"/>
      <x:c r="AQ192" s="21"/>
      <x:c r="AR192" s="21"/>
      <x:c r="AS192" s="21"/>
      <x:c r="AT192" s="21"/>
      <x:c r="AU192" s="21"/>
      <x:c r="AV192" s="21"/>
      <x:c r="AW192" t="s">
        <x:v>78</x:v>
      </x:c>
      <x:c r="AX192" s="19"/>
      <x:c r="AY192" s="21"/>
      <x:c r="AZ192" s="21"/>
      <x:c r="BA192" s="21"/>
      <x:c r="BB192" s="21"/>
      <x:c r="BC192" s="21"/>
      <x:c r="BD192" s="21"/>
      <x:c r="BE192" s="21"/>
      <x:c r="BF192" s="21"/>
      <x:c r="BG192" s="21"/>
      <x:c r="BH192" t="s">
        <x:v>79</x:v>
      </x:c>
      <x:c r="BI192" s="18">
        <x:v>112</x:v>
      </x:c>
      <x:c r="BJ192" s="18">
        <x:v>59</x:v>
      </x:c>
      <x:c r="BK192" s="18">
        <x:v>48</x:v>
      </x:c>
      <x:c r="BL192" s="18">
        <x:v>22</x:v>
      </x:c>
      <x:c r="BM192" s="18">
        <x:v>41</x:v>
      </x:c>
      <x:c r="BN192" s="18">
        <x:v>38</x:v>
      </x:c>
      <x:c r="BO192" s="22">
        <x:v>112.996666666667</x:v>
      </x:c>
      <x:c r="BP192" s="22">
        <x:v>22.6938888888889</x:v>
      </x:c>
      <x:c r="BQ192" s="18">
        <x:v>40</x:v>
      </x:c>
      <x:c r="BR192" s="18">
        <x:v>230877.46</x:v>
      </x:c>
      <x:c r="BS192" s="18">
        <x:v>0.59699999999999998</x:v>
      </x:c>
      <x:c r="BT192" s="18">
        <x:v>0.59699999999999998</x:v>
      </x:c>
      <x:c r="BU192" s="18">
        <x:v>60.481999999999999</x:v>
      </x:c>
      <x:c r="BV192" s="18">
        <x:v>60.481999999999999</x:v>
      </x:c>
      <x:c r="BW192" s="18">
        <x:v>1.825</x:v>
      </x:c>
      <x:c r="BX192" s="18">
        <x:v>1.825</x:v>
      </x:c>
      <x:c r="BY192" t="s">
        <x:v>78</x:v>
      </x:c>
      <x:c r="BZ192" t="s">
        <x:v>78</x:v>
      </x:c>
      <x:c r="CA192" s="23">
        <x:f t="shared" si="126"/>
        <x:v>5.9005740000000008E-2</x:v>
      </x:c>
      <x:c r="CB192" s="23">
        <x:f t="shared" si="127"/>
        <x:v>403.20589000000001</x:v>
      </x:c>
      <x:c r="CC192" s="23">
        <x:f t="shared" si="128"/>
        <x:v>127.84577000000002</x:v>
      </x:c>
      <x:c r="CD192" s="23">
        <x:f t="shared" si="129"/>
        <x:v>2.9502869999999999</x:v>
      </x:c>
      <x:c r="CE192" s="23">
        <x:f t="shared" si="130"/>
        <x:v>2.9502869999999999</x:v>
      </x:c>
      <x:c r="CF192" s="23">
        <x:f t="shared" si="131"/>
        <x:v>0</x:v>
      </x:c>
      <x:c r="CG192" s="23">
        <x:f t="shared" si="132"/>
        <x:v>0</x:v>
      </x:c>
      <x:c r="CH192" s="23">
        <x:f t="shared" si="133"/>
        <x:v>1.9668580000000002</x:v>
      </x:c>
      <x:c r="CI192" s="23">
        <x:f t="shared" si="134"/>
        <x:v>0</x:v>
      </x:c>
      <x:c r="CJ192" s="24" t="s">
        <x:v>78</x:v>
      </x:c>
      <x:c r="CK192" s="25">
        <x:v>0</x:v>
      </x:c>
      <x:c r="CL192" s="26" t="s">
        <x:v>78</x:v>
      </x:c>
      <x:c r="CM192" s="26">
        <x:v>42</x:v>
      </x:c>
      <x:c r="CN192" s="27" t="s">
        <x:v>78</x:v>
      </x:c>
      <x:c r="CO192" s="27">
        <x:v>0</x:v>
      </x:c>
      <x:c r="CP192" s="27">
        <x:v>0</x:v>
      </x:c>
      <x:c r="CQ192" s="26">
        <x:f t="shared" si="135"/>
        <x:v>5.9005740000000008E-2</x:v>
      </x:c>
      <x:c r="CR192" s="26">
        <x:f t="shared" si="136"/>
        <x:v>233.85941620000003</x:v>
      </x:c>
      <x:c r="CS192" s="26">
        <x:f t="shared" si="137"/>
        <x:v>127.84577000000002</x:v>
      </x:c>
      <x:c r="CT192" s="26">
        <x:f t="shared" si="155"/>
        <x:v>2.9502869999999999</x:v>
      </x:c>
      <x:c r="CU192" s="26">
        <x:f t="shared" si="156"/>
        <x:v>2.9502869999999999</x:v>
      </x:c>
      <x:c r="CV192" s="26">
        <x:f t="shared" si="157"/>
        <x:v>0</x:v>
      </x:c>
      <x:c r="CW192" s="26">
        <x:f t="shared" si="158"/>
        <x:v>0</x:v>
      </x:c>
      <x:c r="CX192" s="26">
        <x:f t="shared" si="138"/>
        <x:v>1.9668580000000002</x:v>
      </x:c>
      <x:c r="CY192" s="26">
        <x:f t="shared" si="139"/>
        <x:v>0</x:v>
      </x:c>
    </x:row>
    <x:row r="193">
      <x:c r="A193" s="18">
        <x:v>2022</x:v>
      </x:c>
      <x:c r="B193" t="s">
        <x:v>431</x:v>
      </x:c>
      <x:c r="C193" t="s">
        <x:v>432</x:v>
      </x:c>
      <x:c r="D193" t="s">
        <x:v>433</x:v>
      </x:c>
      <x:c r="E193" s="18">
        <x:v>440704</x:v>
      </x:c>
      <x:c r="F193" t="s">
        <x:v>434</x:v>
      </x:c>
      <x:c r="G193" t="s">
        <x:v>430</x:v>
      </x:c>
      <x:c r="H193" s="18">
        <x:v>4412</x:v>
      </x:c>
      <x:c r="I193" t="s">
        <x:v>108</x:v>
      </x:c>
      <x:c r="J193" t="s">
        <x:v>435</x:v>
      </x:c>
      <x:c r="K193" t="s">
        <x:v>80</x:v>
      </x:c>
      <x:c r="L193" s="18">
        <x:v>7.7</x:v>
      </x:c>
      <x:c r="M193" t="s">
        <x:v>78</x:v>
      </x:c>
      <x:c r="N193" s="18">
        <x:v>78.84</x:v>
      </x:c>
      <x:c r="O193" t="s">
        <x:v>88</x:v>
      </x:c>
      <x:c r="P193" s="18">
        <x:v>15</x:v>
      </x:c>
      <x:c r="Q193" s="19" t="s">
        <x:v>96</x:v>
      </x:c>
      <x:c r="R193" s="18">
        <x:v>3552</x:v>
      </x:c>
      <x:c r="S193" t="s">
        <x:v>76</x:v>
      </x:c>
      <x:c r="T193" s="19">
        <x:f t="shared" si="176"/>
        <x:v>3552</x:v>
      </x:c>
      <x:c r="U193" s="20">
        <x:v>0.14099999999999999</x:v>
      </x:c>
      <x:c r="V193" t="s">
        <x:v>77</x:v>
      </x:c>
      <x:c r="W193" s="19" t="s">
        <x:v>78</x:v>
      </x:c>
      <x:c r="X193" s="21">
        <x:f t="shared" si="178"/>
        <x:v>1.0016639999999999E-2</x:v>
      </x:c>
      <x:c r="Y193" s="21">
        <x:f t="shared" si="179"/>
        <x:v>145.63200000000001</x:v>
      </x:c>
      <x:c r="Z193" s="21">
        <x:f t="shared" si="180"/>
        <x:v>46.176000000000002</x:v>
      </x:c>
      <x:c r="AA193" s="21">
        <x:f t="shared" si="181"/>
        <x:v>1.0656000000000001</x:v>
      </x:c>
      <x:c r="AB193" s="21">
        <x:f t="shared" si="182"/>
        <x:v>1.0656000000000001</x:v>
      </x:c>
      <x:c r="AC193" s="21"/>
      <x:c r="AD193" s="21"/>
      <x:c r="AE193" s="21">
        <x:f t="shared" si="183"/>
        <x:v>0.71040000000000014</x:v>
      </x:c>
      <x:c r="AF193" s="21"/>
      <x:c r="AG193" s="19" t="s">
        <x:v>78</x:v>
      </x:c>
      <x:c r="AH193" t="s">
        <x:v>78</x:v>
      </x:c>
      <x:c r="AI193" t="s">
        <x:v>78</x:v>
      </x:c>
      <x:c r="AJ193" s="19"/>
      <x:c r="AK193" s="19" t="s">
        <x:v>78</x:v>
      </x:c>
      <x:c r="AL193" t="s">
        <x:v>78</x:v>
      </x:c>
      <x:c r="AM193" s="19" t="s">
        <x:v>78</x:v>
      </x:c>
      <x:c r="AN193" s="21"/>
      <x:c r="AO193" s="21"/>
      <x:c r="AP193" s="21"/>
      <x:c r="AQ193" s="21"/>
      <x:c r="AR193" s="21"/>
      <x:c r="AS193" s="21"/>
      <x:c r="AT193" s="21"/>
      <x:c r="AU193" s="21"/>
      <x:c r="AV193" s="21"/>
      <x:c r="AW193" t="s">
        <x:v>78</x:v>
      </x:c>
      <x:c r="AX193" s="19"/>
      <x:c r="AY193" s="21"/>
      <x:c r="AZ193" s="21"/>
      <x:c r="BA193" s="21"/>
      <x:c r="BB193" s="21"/>
      <x:c r="BC193" s="21"/>
      <x:c r="BD193" s="21"/>
      <x:c r="BE193" s="21"/>
      <x:c r="BF193" s="21"/>
      <x:c r="BG193" s="21"/>
      <x:c r="BH193" t="s">
        <x:v>81</x:v>
      </x:c>
      <x:c r="BI193" s="18">
        <x:v>113</x:v>
      </x:c>
      <x:c r="BJ193" s="18">
        <x:v>9</x:v>
      </x:c>
      <x:c r="BK193" s="18">
        <x:v>48.96</x:v>
      </x:c>
      <x:c r="BL193" s="18">
        <x:v>22</x:v>
      </x:c>
      <x:c r="BM193" s="18">
        <x:v>32</x:v>
      </x:c>
      <x:c r="BN193" s="18">
        <x:v>14.6</x:v>
      </x:c>
      <x:c r="BO193" s="22">
        <x:v>113.1636</x:v>
      </x:c>
      <x:c r="BP193" s="22">
        <x:v>22.537388888888898</x:v>
      </x:c>
      <x:c r="BQ193" s="18">
        <x:v>45</x:v>
      </x:c>
      <x:c r="BR193" s="18">
        <x:v>73938</x:v>
      </x:c>
      <x:c r="BS193" s="18">
        <x:v>8.5999999999999993E-2</x:v>
      </x:c>
      <x:c r="BT193" s="18">
        <x:v>8.5999999999999993E-2</x:v>
      </x:c>
      <x:c r="BU193" s="18">
        <x:v>11.881</x:v>
      </x:c>
      <x:c r="BV193" s="18">
        <x:v>11.881</x:v>
      </x:c>
      <x:c r="BW193" s="18">
        <x:v>0.45200000000000001</x:v>
      </x:c>
      <x:c r="BX193" s="18">
        <x:v>0.45200000000000001</x:v>
      </x:c>
      <x:c r="BY193" t="s">
        <x:v>78</x:v>
      </x:c>
      <x:c r="BZ193" t="s">
        <x:v>78</x:v>
      </x:c>
      <x:c r="CA193" s="23">
        <x:f t="shared" si="126"/>
        <x:v>1.0016639999999999E-2</x:v>
      </x:c>
      <x:c r="CB193" s="23">
        <x:f t="shared" si="127"/>
        <x:v>145.63200000000001</x:v>
      </x:c>
      <x:c r="CC193" s="23">
        <x:f t="shared" si="128"/>
        <x:v>46.176000000000002</x:v>
      </x:c>
      <x:c r="CD193" s="23">
        <x:f t="shared" si="129"/>
        <x:v>1.0656000000000001</x:v>
      </x:c>
      <x:c r="CE193" s="23">
        <x:f t="shared" si="130"/>
        <x:v>1.0656000000000001</x:v>
      </x:c>
      <x:c r="CF193" s="23">
        <x:f t="shared" si="131"/>
        <x:v>0</x:v>
      </x:c>
      <x:c r="CG193" s="23">
        <x:f t="shared" si="132"/>
        <x:v>0</x:v>
      </x:c>
      <x:c r="CH193" s="23">
        <x:f t="shared" si="133"/>
        <x:v>0.71040000000000014</x:v>
      </x:c>
      <x:c r="CI193" s="23">
        <x:f t="shared" si="134"/>
        <x:v>0</x:v>
      </x:c>
      <x:c r="CJ193" s="24" t="s">
        <x:v>78</x:v>
      </x:c>
      <x:c r="CK193" s="25">
        <x:v>0</x:v>
      </x:c>
      <x:c r="CL193" s="26" t="s">
        <x:v>78</x:v>
      </x:c>
      <x:c r="CM193" s="26">
        <x:v>42</x:v>
      </x:c>
      <x:c r="CN193" s="27" t="s">
        <x:v>78</x:v>
      </x:c>
      <x:c r="CO193" s="27">
        <x:v>0</x:v>
      </x:c>
      <x:c r="CP193" s="27">
        <x:v>0</x:v>
      </x:c>
      <x:c r="CQ193" s="26">
        <x:f t="shared" si="135"/>
        <x:v>1.0016639999999999E-2</x:v>
      </x:c>
      <x:c r="CR193" s="26">
        <x:f t="shared" si="136"/>
        <x:v>84.466560000000015</x:v>
      </x:c>
      <x:c r="CS193" s="26">
        <x:f t="shared" si="137"/>
        <x:v>46.176000000000002</x:v>
      </x:c>
      <x:c r="CT193" s="26">
        <x:f t="shared" si="155"/>
        <x:v>1.0656000000000001</x:v>
      </x:c>
      <x:c r="CU193" s="26">
        <x:f t="shared" si="156"/>
        <x:v>1.0656000000000001</x:v>
      </x:c>
      <x:c r="CV193" s="26">
        <x:f t="shared" si="157"/>
        <x:v>0</x:v>
      </x:c>
      <x:c r="CW193" s="26">
        <x:f t="shared" si="158"/>
        <x:v>0</x:v>
      </x:c>
      <x:c r="CX193" s="26">
        <x:f t="shared" si="138"/>
        <x:v>0.71040000000000014</x:v>
      </x:c>
      <x:c r="CY193" s="26">
        <x:f t="shared" si="139"/>
        <x:v>0</x:v>
      </x:c>
    </x:row>
    <x:row r="194">
      <x:c r="A194" s="18">
        <x:v>2022</x:v>
      </x:c>
      <x:c r="B194" t="s">
        <x:v>431</x:v>
      </x:c>
      <x:c r="C194" t="s">
        <x:v>432</x:v>
      </x:c>
      <x:c r="D194" t="s">
        <x:v>433</x:v>
      </x:c>
      <x:c r="E194" s="18">
        <x:v>440704</x:v>
      </x:c>
      <x:c r="F194" t="s">
        <x:v>434</x:v>
      </x:c>
      <x:c r="G194" t="s">
        <x:v>430</x:v>
      </x:c>
      <x:c r="H194" s="18">
        <x:v>4412</x:v>
      </x:c>
      <x:c r="I194" t="s">
        <x:v>108</x:v>
      </x:c>
      <x:c r="J194" t="s">
        <x:v>435</x:v>
      </x:c>
      <x:c r="K194" t="s">
        <x:v>80</x:v>
      </x:c>
      <x:c r="L194" s="18">
        <x:v>7.7</x:v>
      </x:c>
      <x:c r="M194" t="s">
        <x:v>78</x:v>
      </x:c>
      <x:c r="N194" s="18">
        <x:v>78.84</x:v>
      </x:c>
      <x:c r="O194" t="s">
        <x:v>88</x:v>
      </x:c>
      <x:c r="P194" s="18">
        <x:v>15</x:v>
      </x:c>
      <x:c r="Q194" s="19" t="s">
        <x:v>96</x:v>
      </x:c>
      <x:c r="R194" s="18">
        <x:v>7317</x:v>
      </x:c>
      <x:c r="S194" t="s">
        <x:v>76</x:v>
      </x:c>
      <x:c r="T194" s="19">
        <x:f t="shared" si="176"/>
        <x:v>7317</x:v>
      </x:c>
      <x:c r="U194" s="20">
        <x:v>0.14099999999999999</x:v>
      </x:c>
      <x:c r="V194" t="s">
        <x:v>77</x:v>
      </x:c>
      <x:c r="W194" s="19" t="s">
        <x:v>78</x:v>
      </x:c>
      <x:c r="X194" s="21">
        <x:f t="shared" si="178"/>
        <x:v>2.0633939999999996E-2</x:v>
      </x:c>
      <x:c r="Y194" s="21">
        <x:f t="shared" si="179"/>
        <x:v>299.99700000000001</x:v>
      </x:c>
      <x:c r="Z194" s="21">
        <x:f t="shared" si="180"/>
        <x:v>95.120999999999995</x:v>
      </x:c>
      <x:c r="AA194" s="21">
        <x:f t="shared" si="181"/>
        <x:v>2.1951000000000001</x:v>
      </x:c>
      <x:c r="AB194" s="21">
        <x:f t="shared" si="182"/>
        <x:v>2.1951000000000001</x:v>
      </x:c>
      <x:c r="AC194" s="21"/>
      <x:c r="AD194" s="21"/>
      <x:c r="AE194" s="21">
        <x:f t="shared" si="183"/>
        <x:v>1.4634</x:v>
      </x:c>
      <x:c r="AF194" s="21"/>
      <x:c r="AG194" s="19" t="s">
        <x:v>78</x:v>
      </x:c>
      <x:c r="AH194" t="s">
        <x:v>78</x:v>
      </x:c>
      <x:c r="AI194" t="s">
        <x:v>78</x:v>
      </x:c>
      <x:c r="AJ194" s="19"/>
      <x:c r="AK194" s="19" t="s">
        <x:v>78</x:v>
      </x:c>
      <x:c r="AL194" t="s">
        <x:v>78</x:v>
      </x:c>
      <x:c r="AM194" s="19" t="s">
        <x:v>78</x:v>
      </x:c>
      <x:c r="AN194" s="21"/>
      <x:c r="AO194" s="21"/>
      <x:c r="AP194" s="21"/>
      <x:c r="AQ194" s="21"/>
      <x:c r="AR194" s="21"/>
      <x:c r="AS194" s="21"/>
      <x:c r="AT194" s="21"/>
      <x:c r="AU194" s="21"/>
      <x:c r="AV194" s="21"/>
      <x:c r="AW194" t="s">
        <x:v>78</x:v>
      </x:c>
      <x:c r="AX194" s="19"/>
      <x:c r="AY194" s="21"/>
      <x:c r="AZ194" s="21"/>
      <x:c r="BA194" s="21"/>
      <x:c r="BB194" s="21"/>
      <x:c r="BC194" s="21"/>
      <x:c r="BD194" s="21"/>
      <x:c r="BE194" s="21"/>
      <x:c r="BF194" s="21"/>
      <x:c r="BG194" s="21"/>
      <x:c r="BH194" t="s">
        <x:v>79</x:v>
      </x:c>
      <x:c r="BI194" s="18">
        <x:v>113</x:v>
      </x:c>
      <x:c r="BJ194" s="18">
        <x:v>9</x:v>
      </x:c>
      <x:c r="BK194" s="18">
        <x:v>49.46</x:v>
      </x:c>
      <x:c r="BL194" s="18">
        <x:v>22</x:v>
      </x:c>
      <x:c r="BM194" s="18">
        <x:v>32</x:v>
      </x:c>
      <x:c r="BN194" s="18">
        <x:v>13.27</x:v>
      </x:c>
      <x:c r="BO194" s="22">
        <x:v>113.163738888889</x:v>
      </x:c>
      <x:c r="BP194" s="22">
        <x:v>22.5370194444444</x:v>
      </x:c>
      <x:c r="BQ194" s="18">
        <x:v>45</x:v>
      </x:c>
      <x:c r="BR194" s="18">
        <x:v>138226</x:v>
      </x:c>
      <x:c r="BS194" s="18">
        <x:v>0.28799999999999998</x:v>
      </x:c>
      <x:c r="BT194" s="18">
        <x:v>0.28799999999999998</x:v>
      </x:c>
      <x:c r="BU194" s="18">
        <x:v>33.124000000000002</x:v>
      </x:c>
      <x:c r="BV194" s="18">
        <x:v>33.124000000000002</x:v>
      </x:c>
      <x:c r="BW194" s="18">
        <x:v>1.341</x:v>
      </x:c>
      <x:c r="BX194" s="18">
        <x:v>1.341</x:v>
      </x:c>
      <x:c r="BY194" t="s">
        <x:v>78</x:v>
      </x:c>
      <x:c r="BZ194" t="s">
        <x:v>78</x:v>
      </x:c>
      <x:c r="CA194" s="23" t="n">
        <x:f t="shared" ref="CA194:CA257" si="184">X194+AN194+AY194</x:f>
        <x:v>0.020633939999999996</x:v>
      </x:c>
      <x:c r="CB194" s="23" t="n">
        <x:f t="shared" ref="CB194:CB257" si="185">Y194+AO194+AZ194</x:f>
        <x:v>299.997</x:v>
      </x:c>
      <x:c r="CC194" s="23" t="n">
        <x:f t="shared" ref="CC194:CC257" si="186">Z194+AP194+BA194</x:f>
        <x:v>95.121</x:v>
      </x:c>
      <x:c r="CD194" s="23" t="n">
        <x:f t="shared" ref="CD194:CD257" si="187">AA194+AQ194+BB194</x:f>
        <x:v>2.1951</x:v>
      </x:c>
      <x:c r="CE194" s="23" t="n">
        <x:f t="shared" ref="CE194:CE257" si="188">AB194+AR194+BC194</x:f>
        <x:v>2.1951</x:v>
      </x:c>
      <x:c r="CF194" s="23" t="n">
        <x:f t="shared" ref="CF194:CF257" si="189">AC194+AS194+BD194</x:f>
        <x:v>0</x:v>
      </x:c>
      <x:c r="CG194" s="23" t="n">
        <x:f t="shared" ref="CG194:CG257" si="190">AD194+AT194+BE194</x:f>
        <x:v>0</x:v>
      </x:c>
      <x:c r="CH194" s="23" t="n">
        <x:f t="shared" ref="CH194:CH257" si="191">AE194+AU194+BF194</x:f>
        <x:v>1.4634</x:v>
      </x:c>
      <x:c r="CI194" s="23" t="n">
        <x:f t="shared" ref="CI194:CI257" si="192">AF194+AV194+BG194</x:f>
        <x:v>0</x:v>
      </x:c>
      <x:c r="CJ194" s="24" t="s">
        <x:v>78</x:v>
      </x:c>
      <x:c r="CK194" s="25">
        <x:v>0</x:v>
      </x:c>
      <x:c r="CL194" s="26" t="s">
        <x:v>78</x:v>
      </x:c>
      <x:c r="CM194" s="26">
        <x:v>42</x:v>
      </x:c>
      <x:c r="CN194" s="27" t="s">
        <x:v>78</x:v>
      </x:c>
      <x:c r="CO194" s="27">
        <x:v>0</x:v>
      </x:c>
      <x:c r="CP194" s="27">
        <x:v>0</x:v>
      </x:c>
      <x:c r="CQ194" s="26" t="n">
        <x:f t="shared" ref="CQ194:CQ257" si="193">CA194*(1-CK194/100)</x:f>
        <x:v>0.020633939999999996</x:v>
      </x:c>
      <x:c r="CR194" s="26" t="n">
        <x:f t="shared" ref="CR194:CR257" si="194">CB194*(1-CM194/100)</x:f>
        <x:v>173.99826000000002</x:v>
      </x:c>
      <x:c r="CS194" s="26">
        <x:f t="shared" si="137"/>
        <x:v>95.120999999999995</x:v>
      </x:c>
      <x:c r="CT194" s="26">
        <x:f t="shared" si="155"/>
        <x:v>2.1951000000000001</x:v>
      </x:c>
      <x:c r="CU194" s="26">
        <x:f t="shared" si="156"/>
        <x:v>2.1951000000000001</x:v>
      </x:c>
      <x:c r="CV194" s="26">
        <x:f t="shared" si="157"/>
        <x:v>0</x:v>
      </x:c>
      <x:c r="CW194" s="26">
        <x:f t="shared" si="158"/>
        <x:v>0</x:v>
      </x:c>
      <x:c r="CX194" s="26">
        <x:f t="shared" si="138"/>
        <x:v>1.4634</x:v>
      </x:c>
      <x:c r="CY194" s="26">
        <x:f t="shared" si="139"/>
        <x:v>0</x:v>
      </x:c>
    </x:row>
    <x:row r="195">
      <x:c r="A195" s="18">
        <x:v>2022</x:v>
      </x:c>
      <x:c r="B195" t="s">
        <x:v>436</x:v>
      </x:c>
      <x:c r="C195" t="s">
        <x:v>437</x:v>
      </x:c>
      <x:c r="D195" t="s">
        <x:v>438</x:v>
      </x:c>
      <x:c r="E195" s="18">
        <x:v>440705</x:v>
      </x:c>
      <x:c r="F195" t="s">
        <x:v>439</x:v>
      </x:c>
      <x:c r="G195" t="s">
        <x:v>430</x:v>
      </x:c>
      <x:c r="H195" s="18">
        <x:v>4412</x:v>
      </x:c>
      <x:c r="I195" t="s">
        <x:v>108</x:v>
      </x:c>
      <x:c r="J195" t="s">
        <x:v>435</x:v>
      </x:c>
      <x:c r="K195" t="s">
        <x:v>109</x:v>
      </x:c>
      <x:c r="L195" s="20">
        <x:v>15</x:v>
      </x:c>
      <x:c r="M195" t="s">
        <x:v>125</x:v>
      </x:c>
      <x:c r="N195" s="18">
        <x:v>480</x:v>
      </x:c>
      <x:c r="O195" t="s">
        <x:v>88</x:v>
      </x:c>
      <x:c r="P195" s="18">
        <x:v>1</x:v>
      </x:c>
      <x:c r="Q195" s="19" t="s">
        <x:v>121</x:v>
      </x:c>
      <x:c r="R195" s="18">
        <x:v>529200</x:v>
      </x:c>
      <x:c r="S195" t="s">
        <x:v>112</x:v>
      </x:c>
      <x:c r="T195" s="19" t="n">
        <x:f t="shared" ref="T195:T207" si="195">R195</x:f>
        <x:v>529200</x:v>
      </x:c>
      <x:c r="U195" s="20">
        <x:v>0.82</x:v>
      </x:c>
      <x:c r="V195" t="s">
        <x:v>113</x:v>
      </x:c>
      <x:c r="W195" s="20">
        <x:v>19.62</x:v>
      </x:c>
      <x:c r="X195" s="21" t="n">
        <x:f t="shared" ref="X195:X205" si="196">2*U195/100*(1-0.15)*T195</x:f>
        <x:v>7377.047999999999</x:v>
      </x:c>
      <x:c r="Y195" s="21" t="n">
        <x:f>8.19*T195/1000</x:f>
        <x:v>4334.148</x:v>
      </x:c>
      <x:c r="Z195" s="21" t="n">
        <x:f t="shared" ref="Z195:Z205" si="197">2*T195/1000</x:f>
        <x:v>1058.4</x:v>
      </x:c>
      <x:c r="AA195" s="21" t="n">
        <x:f t="shared" ref="AA195:AA200" si="198">W195/100*(1-0.44)*0.29*T195</x:f>
        <x:v>16861.836096000003</x:v>
      </x:c>
      <x:c r="AB195" s="21" t="n">
        <x:f t="shared" ref="AB195:AB200" si="199">W195/100*(1-0.44)*0.07*T195</x:f>
        <x:v>4070.098368000001</x:v>
      </x:c>
      <x:c r="AC195" s="21" t="n">
        <x:f t="shared" ref="AC195:AC201" si="200">0.002*AB195</x:f>
        <x:v>8.140196736000002</x:v>
      </x:c>
      <x:c r="AD195" s="21"/>
      <x:c r="AE195" s="21" t="n">
        <x:f t="shared" ref="AE195:AE205" si="201">0.04*T195/1000</x:f>
        <x:v>21.168</x:v>
      </x:c>
      <x:c r="AF195" s="21"/>
      <x:c r="AG195" s="19" t="s">
        <x:v>78</x:v>
      </x:c>
      <x:c r="AH195" t="s">
        <x:v>78</x:v>
      </x:c>
      <x:c r="AI195" t="s">
        <x:v>78</x:v>
      </x:c>
      <x:c r="AJ195" s="19"/>
      <x:c r="AK195" s="19" t="s">
        <x:v>78</x:v>
      </x:c>
      <x:c r="AL195" t="s">
        <x:v>78</x:v>
      </x:c>
      <x:c r="AM195" s="19" t="s">
        <x:v>78</x:v>
      </x:c>
      <x:c r="AN195" s="21"/>
      <x:c r="AO195" s="21"/>
      <x:c r="AP195" s="21"/>
      <x:c r="AQ195" s="21"/>
      <x:c r="AR195" s="21"/>
      <x:c r="AS195" s="21"/>
      <x:c r="AT195" s="21"/>
      <x:c r="AU195" s="21"/>
      <x:c r="AV195" s="21"/>
      <x:c r="AW195" t="s">
        <x:v>78</x:v>
      </x:c>
      <x:c r="AX195" s="19"/>
      <x:c r="AY195" s="21"/>
      <x:c r="AZ195" s="21"/>
      <x:c r="BA195" s="21"/>
      <x:c r="BB195" s="21"/>
      <x:c r="BC195" s="21"/>
      <x:c r="BD195" s="21"/>
      <x:c r="BE195" s="21"/>
      <x:c r="BF195" s="21"/>
      <x:c r="BG195" s="21"/>
      <x:c r="BH195" t="s">
        <x:v>81</x:v>
      </x:c>
      <x:c r="BI195" s="18">
        <x:v>112</x:v>
      </x:c>
      <x:c r="BJ195" s="18">
        <x:v>59</x:v>
      </x:c>
      <x:c r="BK195" s="18">
        <x:v>59.57</x:v>
      </x:c>
      <x:c r="BL195" s="18">
        <x:v>22</x:v>
      </x:c>
      <x:c r="BM195" s="18">
        <x:v>26</x:v>
      </x:c>
      <x:c r="BN195" s="18">
        <x:v>47.76</x:v>
      </x:c>
      <x:c r="BO195" s="22">
        <x:v>112.999880555556</x:v>
      </x:c>
      <x:c r="BP195" s="22">
        <x:v>22.4466</x:v>
      </x:c>
      <x:c r="BQ195" s="18">
        <x:v>180</x:v>
      </x:c>
      <x:c r="BR195" s="18">
        <x:v>348493.77899999998</x:v>
      </x:c>
      <x:c r="BS195" s="18">
        <x:v>2235.7109999999998</x:v>
      </x:c>
      <x:c r="BT195" s="18">
        <x:v>35.201000000000001</x:v>
      </x:c>
      <x:c r="BU195" s="18">
        <x:v>1227.7439999999999</x:v>
      </x:c>
      <x:c r="BV195" s="18">
        <x:v>147.67099999999999</x:v>
      </x:c>
      <x:c r="BW195" s="18">
        <x:v>96001.642999999996</x:v>
      </x:c>
      <x:c r="BX195" s="18">
        <x:v>9.3330000000000002</x:v>
      </x:c>
      <x:c r="BY195" s="18">
        <x:v>7197.12</x:v>
      </x:c>
      <x:c r="BZ195" s="18">
        <x:v>7197.12</x:v>
      </x:c>
      <x:c r="CA195" s="23">
        <x:f t="shared" si="184"/>
        <x:v>7377.0479999999989</x:v>
      </x:c>
      <x:c r="CB195" s="23">
        <x:f t="shared" si="185"/>
        <x:v>4334.1480000000001</x:v>
      </x:c>
      <x:c r="CC195" s="23">
        <x:f t="shared" si="186"/>
        <x:v>1058.4000000000001</x:v>
      </x:c>
      <x:c r="CD195" s="23">
        <x:f t="shared" si="187"/>
        <x:v>16861.836096000003</x:v>
      </x:c>
      <x:c r="CE195" s="23">
        <x:f t="shared" si="188"/>
        <x:v>4070.0983680000008</x:v>
      </x:c>
      <x:c r="CF195" s="23">
        <x:f t="shared" si="189"/>
        <x:v>8.1401967360000018</x:v>
      </x:c>
      <x:c r="CG195" s="23">
        <x:f t="shared" si="190"/>
        <x:v>0</x:v>
      </x:c>
      <x:c r="CH195" s="23">
        <x:f t="shared" si="191"/>
        <x:v>21.167999999999999</x:v>
      </x:c>
      <x:c r="CI195" s="23">
        <x:f t="shared" si="192"/>
        <x:v>0</x:v>
      </x:c>
      <x:c r="CJ195" s="24" t="s">
        <x:v>440</x:v>
      </x:c>
      <x:c r="CK195" s="29">
        <x:v>98.44</x:v>
      </x:c>
      <x:c r="CL195" s="26" t="s">
        <x:v>97</x:v>
      </x:c>
      <x:c r="CM195" s="28">
        <x:v>70</x:v>
      </x:c>
      <x:c r="CN195" s="30" t="s">
        <x:v>291</x:v>
      </x:c>
      <x:c r="CO195" s="27">
        <x:v>98.9</x:v>
      </x:c>
      <x:c r="CP195" s="27">
        <x:v>97</x:v>
      </x:c>
      <x:c r="CQ195" s="26">
        <x:f t="shared" si="193"/>
        <x:v>115.08194880000042</x:v>
      </x:c>
      <x:c r="CR195" s="26">
        <x:f t="shared" si="194"/>
        <x:v>1300.2444000000003</x:v>
      </x:c>
      <x:c r="CS195" s="26" t="n">
        <x:f t="shared" ref="CS195:CS258" si="202">CC195</x:f>
        <x:v>1058.4</x:v>
      </x:c>
      <x:c r="CT195" s="26">
        <x:f t="shared" si="155"/>
        <x:v>185.48019705599833</x:v>
      </x:c>
      <x:c r="CU195" s="26">
        <x:f t="shared" si="156"/>
        <x:v>122.10295104000014</x:v>
      </x:c>
      <x:c r="CV195" s="26">
        <x:f t="shared" si="157"/>
        <x:v>0.24420590208000026</x:v>
      </x:c>
      <x:c r="CW195" s="26">
        <x:f t="shared" si="158"/>
        <x:v>0</x:v>
      </x:c>
      <x:c r="CX195" s="26" t="n">
        <x:f t="shared" ref="CX195:CX258" si="203">CH195</x:f>
        <x:v>21.168</x:v>
      </x:c>
      <x:c r="CY195" s="26" t="n">
        <x:f t="shared" ref="CY195:CY258" si="204">CI195</x:f>
        <x:v>0</x:v>
      </x:c>
    </x:row>
    <x:row r="196">
      <x:c r="A196" s="18">
        <x:v>2022</x:v>
      </x:c>
      <x:c r="B196" t="s">
        <x:v>436</x:v>
      </x:c>
      <x:c r="C196" t="s">
        <x:v>437</x:v>
      </x:c>
      <x:c r="D196" t="s">
        <x:v>438</x:v>
      </x:c>
      <x:c r="E196" s="18">
        <x:v>440705</x:v>
      </x:c>
      <x:c r="F196" t="s">
        <x:v>439</x:v>
      </x:c>
      <x:c r="G196" t="s">
        <x:v>430</x:v>
      </x:c>
      <x:c r="H196" s="18">
        <x:v>4412</x:v>
      </x:c>
      <x:c r="I196" t="s">
        <x:v>108</x:v>
      </x:c>
      <x:c r="J196" t="s">
        <x:v>435</x:v>
      </x:c>
      <x:c r="K196" t="s">
        <x:v>109</x:v>
      </x:c>
      <x:c r="L196" s="20">
        <x:v>15</x:v>
      </x:c>
      <x:c r="M196" t="s">
        <x:v>125</x:v>
      </x:c>
      <x:c r="N196" s="18">
        <x:v>480</x:v>
      </x:c>
      <x:c r="O196" t="s">
        <x:v>88</x:v>
      </x:c>
      <x:c r="P196" s="18">
        <x:v>1</x:v>
      </x:c>
      <x:c r="Q196" s="19" t="s">
        <x:v>121</x:v>
      </x:c>
      <x:c r="R196" s="18">
        <x:v>503700</x:v>
      </x:c>
      <x:c r="S196" t="s">
        <x:v>112</x:v>
      </x:c>
      <x:c r="T196" s="19">
        <x:f t="shared" si="195"/>
        <x:v>503700</x:v>
      </x:c>
      <x:c r="U196" s="20">
        <x:v>0.84</x:v>
      </x:c>
      <x:c r="V196" t="s">
        <x:v>113</x:v>
      </x:c>
      <x:c r="W196" s="20">
        <x:v>19.62</x:v>
      </x:c>
      <x:c r="X196" s="21">
        <x:f t="shared" si="196"/>
        <x:v>7192.8359999999993</x:v>
      </x:c>
      <x:c r="Y196" s="21" t="n">
        <x:f>8.19*T196/1000</x:f>
        <x:v>4125.303</x:v>
      </x:c>
      <x:c r="Z196" s="21">
        <x:f t="shared" si="197"/>
        <x:v>1007.4</x:v>
      </x:c>
      <x:c r="AA196" s="21">
        <x:f t="shared" si="198"/>
        <x:v>16049.332656000002</x:v>
      </x:c>
      <x:c r="AB196" s="21">
        <x:f t="shared" si="199"/>
        <x:v>3873.9768480000007</x:v>
      </x:c>
      <x:c r="AC196" s="21">
        <x:f t="shared" si="200"/>
        <x:v>7.7479536960000015</x:v>
      </x:c>
      <x:c r="AD196" s="21"/>
      <x:c r="AE196" s="21">
        <x:f t="shared" si="201"/>
        <x:v>20.148</x:v>
      </x:c>
      <x:c r="AF196" s="21"/>
      <x:c r="AG196" s="19" t="s">
        <x:v>78</x:v>
      </x:c>
      <x:c r="AH196" t="s">
        <x:v>78</x:v>
      </x:c>
      <x:c r="AI196" t="s">
        <x:v>78</x:v>
      </x:c>
      <x:c r="AJ196" s="19"/>
      <x:c r="AK196" s="19" t="s">
        <x:v>78</x:v>
      </x:c>
      <x:c r="AL196" t="s">
        <x:v>78</x:v>
      </x:c>
      <x:c r="AM196" s="19" t="s">
        <x:v>78</x:v>
      </x:c>
      <x:c r="AN196" s="21"/>
      <x:c r="AO196" s="21"/>
      <x:c r="AP196" s="21"/>
      <x:c r="AQ196" s="21"/>
      <x:c r="AR196" s="21"/>
      <x:c r="AS196" s="21"/>
      <x:c r="AT196" s="21"/>
      <x:c r="AU196" s="21"/>
      <x:c r="AV196" s="21"/>
      <x:c r="AW196" t="s">
        <x:v>78</x:v>
      </x:c>
      <x:c r="AX196" s="19"/>
      <x:c r="AY196" s="21"/>
      <x:c r="AZ196" s="21"/>
      <x:c r="BA196" s="21"/>
      <x:c r="BB196" s="21"/>
      <x:c r="BC196" s="21"/>
      <x:c r="BD196" s="21"/>
      <x:c r="BE196" s="21"/>
      <x:c r="BF196" s="21"/>
      <x:c r="BG196" s="21"/>
      <x:c r="BH196" t="s">
        <x:v>81</x:v>
      </x:c>
      <x:c r="BI196" s="18">
        <x:v>112</x:v>
      </x:c>
      <x:c r="BJ196" s="18">
        <x:v>59</x:v>
      </x:c>
      <x:c r="BK196" s="18">
        <x:v>59.57</x:v>
      </x:c>
      <x:c r="BL196" s="18">
        <x:v>22</x:v>
      </x:c>
      <x:c r="BM196" s="18">
        <x:v>26</x:v>
      </x:c>
      <x:c r="BN196" s="18">
        <x:v>47.76</x:v>
      </x:c>
      <x:c r="BO196" s="22">
        <x:v>112.999880555556</x:v>
      </x:c>
      <x:c r="BP196" s="22">
        <x:v>22.4466</x:v>
      </x:c>
      <x:c r="BQ196" s="18">
        <x:v>180</x:v>
      </x:c>
      <x:c r="BR196" s="18">
        <x:v>352307.78399999999</x:v>
      </x:c>
      <x:c r="BS196" s="18">
        <x:v>2127.9810000000002</x:v>
      </x:c>
      <x:c r="BT196" s="18">
        <x:v>32.750999999999998</x:v>
      </x:c>
      <x:c r="BU196" s="18">
        <x:v>1168.5840000000001</x:v>
      </x:c>
      <x:c r="BV196" s="18">
        <x:v>143.41399999999999</x:v>
      </x:c>
      <x:c r="BW196" s="18">
        <x:v>91375.713000000003</x:v>
      </x:c>
      <x:c r="BX196" s="18">
        <x:v>11.052</x:v>
      </x:c>
      <x:c r="BY196" s="18">
        <x:v>6850.32</x:v>
      </x:c>
      <x:c r="BZ196" s="18">
        <x:v>6850.32</x:v>
      </x:c>
      <x:c r="CA196" s="23">
        <x:f t="shared" si="184"/>
        <x:v>7192.8359999999993</x:v>
      </x:c>
      <x:c r="CB196" s="23">
        <x:f t="shared" si="185"/>
        <x:v>4125.3029999999999</x:v>
      </x:c>
      <x:c r="CC196" s="23">
        <x:f t="shared" si="186"/>
        <x:v>1007.4</x:v>
      </x:c>
      <x:c r="CD196" s="23">
        <x:f t="shared" si="187"/>
        <x:v>16049.332656000002</x:v>
      </x:c>
      <x:c r="CE196" s="23">
        <x:f t="shared" si="188"/>
        <x:v>3873.9768480000007</x:v>
      </x:c>
      <x:c r="CF196" s="23">
        <x:f t="shared" si="189"/>
        <x:v>7.7479536960000015</x:v>
      </x:c>
      <x:c r="CG196" s="23">
        <x:f t="shared" si="190"/>
        <x:v>0</x:v>
      </x:c>
      <x:c r="CH196" s="23">
        <x:f t="shared" si="191"/>
        <x:v>20.148</x:v>
      </x:c>
      <x:c r="CI196" s="23">
        <x:f t="shared" si="192"/>
        <x:v>0</x:v>
      </x:c>
      <x:c r="CJ196" s="24" t="s">
        <x:v>440</x:v>
      </x:c>
      <x:c r="CK196" s="29">
        <x:v>98.44</x:v>
      </x:c>
      <x:c r="CL196" s="26" t="s">
        <x:v>97</x:v>
      </x:c>
      <x:c r="CM196" s="28">
        <x:v>70</x:v>
      </x:c>
      <x:c r="CN196" s="30" t="s">
        <x:v>291</x:v>
      </x:c>
      <x:c r="CO196" s="27">
        <x:v>98.9</x:v>
      </x:c>
      <x:c r="CP196" s="27">
        <x:v>97</x:v>
      </x:c>
      <x:c r="CQ196" s="26">
        <x:f t="shared" si="193"/>
        <x:v>112.20824160000041</x:v>
      </x:c>
      <x:c r="CR196" s="26">
        <x:f t="shared" si="194"/>
        <x:v>1237.5909000000001</x:v>
      </x:c>
      <x:c r="CS196" s="26">
        <x:f t="shared" si="202"/>
        <x:v>1007.4</x:v>
      </x:c>
      <x:c r="CT196" s="26">
        <x:f t="shared" si="155"/>
        <x:v>176.54265921599841</x:v>
      </x:c>
      <x:c r="CU196" s="26">
        <x:f t="shared" si="156"/>
        <x:v>116.21930544000013</x:v>
      </x:c>
      <x:c r="CV196" s="26">
        <x:f t="shared" si="157"/>
        <x:v>0.23243861088000026</x:v>
      </x:c>
      <x:c r="CW196" s="26">
        <x:f t="shared" si="158"/>
        <x:v>0</x:v>
      </x:c>
      <x:c r="CX196" s="26">
        <x:f t="shared" si="203"/>
        <x:v>20.148</x:v>
      </x:c>
      <x:c r="CY196" s="26">
        <x:f t="shared" si="204"/>
        <x:v>0</x:v>
      </x:c>
    </x:row>
    <x:row r="197">
      <x:c r="A197" s="18">
        <x:v>2022</x:v>
      </x:c>
      <x:c r="B197" t="s">
        <x:v>441</x:v>
      </x:c>
      <x:c r="C197" t="s">
        <x:v>442</x:v>
      </x:c>
      <x:c r="D197" t="s">
        <x:v>443</x:v>
      </x:c>
      <x:c r="E197" s="18">
        <x:v>440705</x:v>
      </x:c>
      <x:c r="F197" t="s">
        <x:v>439</x:v>
      </x:c>
      <x:c r="G197" t="s">
        <x:v>430</x:v>
      </x:c>
      <x:c r="H197" s="18">
        <x:v>1713</x:v>
      </x:c>
      <x:c r="I197" t="s">
        <x:v>162</x:v>
      </x:c>
      <x:c r="J197" t="s">
        <x:v>78</x:v>
      </x:c>
      <x:c r="K197" t="s">
        <x:v>109</x:v>
      </x:c>
      <x:c r="L197" s="20">
        <x:v>1.5</x:v>
      </x:c>
      <x:c r="M197" t="s">
        <x:v>125</x:v>
      </x:c>
      <x:c r="N197" s="18">
        <x:v>75</x:v>
      </x:c>
      <x:c r="O197" t="s">
        <x:v>88</x:v>
      </x:c>
      <x:c r="P197" s="18">
        <x:v>4</x:v>
      </x:c>
      <x:c r="Q197" s="19" t="s">
        <x:v>111</x:v>
      </x:c>
      <x:c r="R197" s="18">
        <x:v>16651</x:v>
      </x:c>
      <x:c r="S197" t="s">
        <x:v>112</x:v>
      </x:c>
      <x:c r="T197" s="19">
        <x:f t="shared" si="195"/>
        <x:v>16651</x:v>
      </x:c>
      <x:c r="U197" s="20">
        <x:v>0.27700000000000002</x:v>
      </x:c>
      <x:c r="V197" t="s">
        <x:v>113</x:v>
      </x:c>
      <x:c r="W197" s="20">
        <x:v>13.33</x:v>
      </x:c>
      <x:c r="X197" s="21">
        <x:f t="shared" si="196"/>
        <x:v>78.409559000000002</x:v>
      </x:c>
      <x:c r="Y197" s="21" t="n">
        <x:f>8.96*T197/1000</x:f>
        <x:v>149.19296000000003</x:v>
      </x:c>
      <x:c r="Z197" s="21">
        <x:f t="shared" si="197"/>
        <x:v>33.302</x:v>
      </x:c>
      <x:c r="AA197" s="21">
        <x:f t="shared" si="198"/>
        <x:v>360.45951592</x:v>
      </x:c>
      <x:c r="AB197" s="21">
        <x:f t="shared" si="199"/>
        <x:v>87.007469360000016</x:v>
      </x:c>
      <x:c r="AC197" s="21">
        <x:f t="shared" si="200"/>
        <x:v>0.17401493872000004</x:v>
      </x:c>
      <x:c r="AD197" s="21"/>
      <x:c r="AE197" s="21">
        <x:f t="shared" si="201"/>
        <x:v>0.66603999999999997</x:v>
      </x:c>
      <x:c r="AF197" s="21"/>
      <x:c r="AG197" s="19" t="s">
        <x:v>78</x:v>
      </x:c>
      <x:c r="AH197" t="s">
        <x:v>78</x:v>
      </x:c>
      <x:c r="AI197" t="s">
        <x:v>78</x:v>
      </x:c>
      <x:c r="AJ197" s="19"/>
      <x:c r="AK197" s="19" t="s">
        <x:v>78</x:v>
      </x:c>
      <x:c r="AL197" t="s">
        <x:v>78</x:v>
      </x:c>
      <x:c r="AM197" s="19" t="s">
        <x:v>78</x:v>
      </x:c>
      <x:c r="AN197" s="21"/>
      <x:c r="AO197" s="21"/>
      <x:c r="AP197" s="21"/>
      <x:c r="AQ197" s="21"/>
      <x:c r="AR197" s="21"/>
      <x:c r="AS197" s="21"/>
      <x:c r="AT197" s="21"/>
      <x:c r="AU197" s="21"/>
      <x:c r="AV197" s="21"/>
      <x:c r="AW197" t="s">
        <x:v>78</x:v>
      </x:c>
      <x:c r="AX197" s="19"/>
      <x:c r="AY197" s="21"/>
      <x:c r="AZ197" s="21"/>
      <x:c r="BA197" s="21"/>
      <x:c r="BB197" s="21"/>
      <x:c r="BC197" s="21"/>
      <x:c r="BD197" s="21"/>
      <x:c r="BE197" s="21"/>
      <x:c r="BF197" s="21"/>
      <x:c r="BG197" s="21"/>
      <x:c r="BH197" t="s">
        <x:v>81</x:v>
      </x:c>
      <x:c r="BI197" s="18">
        <x:v>112</x:v>
      </x:c>
      <x:c r="BJ197" s="18">
        <x:v>55</x:v>
      </x:c>
      <x:c r="BK197" s="18">
        <x:v>28.67</x:v>
      </x:c>
      <x:c r="BL197" s="18">
        <x:v>22</x:v>
      </x:c>
      <x:c r="BM197" s="18">
        <x:v>27</x:v>
      </x:c>
      <x:c r="BN197" s="18">
        <x:v>56.16</x:v>
      </x:c>
      <x:c r="BO197" s="22">
        <x:v>112.92463055555601</x:v>
      </x:c>
      <x:c r="BP197" s="22">
        <x:v>22.465599999999998</x:v>
      </x:c>
      <x:c r="BQ197" s="18">
        <x:v>100</x:v>
      </x:c>
      <x:c r="BR197" s="18">
        <x:v>20088.273000000001</x:v>
      </x:c>
      <x:c r="BS197" s="18">
        <x:v>28.823</x:v>
      </x:c>
      <x:c r="BT197" s="18">
        <x:v>0.91800000000000004</x:v>
      </x:c>
      <x:c r="BU197" s="18">
        <x:v>39.795999999999999</x:v>
      </x:c>
      <x:c r="BV197" s="18">
        <x:v>2.718</x:v>
      </x:c>
      <x:c r="BW197" s="18">
        <x:v>1857.1030000000001</x:v>
      </x:c>
      <x:c r="BX197" s="18">
        <x:v>0.82499999999999996</x:v>
      </x:c>
      <x:c r="BY197" s="18">
        <x:v>476.21899999999999</x:v>
      </x:c>
      <x:c r="BZ197" s="18">
        <x:v>476.21899999999999</x:v>
      </x:c>
      <x:c r="CA197" s="23">
        <x:f t="shared" si="184"/>
        <x:v>78.409559000000002</x:v>
      </x:c>
      <x:c r="CB197" s="23">
        <x:f t="shared" si="185"/>
        <x:v>149.19296000000003</x:v>
      </x:c>
      <x:c r="CC197" s="23">
        <x:f t="shared" si="186"/>
        <x:v>33.302</x:v>
      </x:c>
      <x:c r="CD197" s="23">
        <x:f t="shared" si="187"/>
        <x:v>360.45951592</x:v>
      </x:c>
      <x:c r="CE197" s="23">
        <x:f t="shared" si="188"/>
        <x:v>87.007469360000016</x:v>
      </x:c>
      <x:c r="CF197" s="23">
        <x:f t="shared" si="189"/>
        <x:v>0.17401493872000004</x:v>
      </x:c>
      <x:c r="CG197" s="23">
        <x:f t="shared" si="190"/>
        <x:v>0</x:v>
      </x:c>
      <x:c r="CH197" s="23">
        <x:f t="shared" si="191"/>
        <x:v>0.66603999999999997</x:v>
      </x:c>
      <x:c r="CI197" s="23">
        <x:f t="shared" si="192"/>
        <x:v>0</x:v>
      </x:c>
      <x:c r="CJ197" s="24" t="s">
        <x:v>180</x:v>
      </x:c>
      <x:c r="CK197" s="29">
        <x:v>97.58</x:v>
      </x:c>
      <x:c r="CL197" s="26" t="s">
        <x:v>97</x:v>
      </x:c>
      <x:c r="CM197" s="28">
        <x:v>75</x:v>
      </x:c>
      <x:c r="CN197" s="30" t="s">
        <x:v>411</x:v>
      </x:c>
      <x:c r="CO197" s="27">
        <x:v>98.9</x:v>
      </x:c>
      <x:c r="CP197" s="27">
        <x:v>97</x:v>
      </x:c>
      <x:c r="CQ197" s="26">
        <x:f t="shared" si="193"/>
        <x:v>1.8975113278</x:v>
      </x:c>
      <x:c r="CR197" s="26">
        <x:f t="shared" si="194"/>
        <x:v>37.298240000000007</x:v>
      </x:c>
      <x:c r="CS197" s="26">
        <x:f t="shared" si="202"/>
        <x:v>33.302</x:v>
      </x:c>
      <x:c r="CT197" s="26">
        <x:f t="shared" si="155"/>
        <x:v>3.9650546751199633</x:v>
      </x:c>
      <x:c r="CU197" s="26">
        <x:f t="shared" si="156"/>
        <x:v>2.6102240808000028</x:v>
      </x:c>
      <x:c r="CV197" s="26">
        <x:f t="shared" si="157"/>
        <x:v>5.2204481616000059E-3</x:v>
      </x:c>
      <x:c r="CW197" s="26">
        <x:f t="shared" si="158"/>
        <x:v>0</x:v>
      </x:c>
      <x:c r="CX197" s="26">
        <x:f t="shared" si="203"/>
        <x:v>0.66603999999999997</x:v>
      </x:c>
      <x:c r="CY197" s="26">
        <x:f t="shared" si="204"/>
        <x:v>0</x:v>
      </x:c>
    </x:row>
    <x:row r="198">
      <x:c r="A198" s="18">
        <x:v>2022</x:v>
      </x:c>
      <x:c r="B198" t="s">
        <x:v>441</x:v>
      </x:c>
      <x:c r="C198" t="s">
        <x:v>442</x:v>
      </x:c>
      <x:c r="D198" t="s">
        <x:v>443</x:v>
      </x:c>
      <x:c r="E198" s="18">
        <x:v>440705</x:v>
      </x:c>
      <x:c r="F198" t="s">
        <x:v>439</x:v>
      </x:c>
      <x:c r="G198" t="s">
        <x:v>430</x:v>
      </x:c>
      <x:c r="H198" s="18">
        <x:v>1713</x:v>
      </x:c>
      <x:c r="I198" t="s">
        <x:v>162</x:v>
      </x:c>
      <x:c r="J198" t="s">
        <x:v>78</x:v>
      </x:c>
      <x:c r="K198" t="s">
        <x:v>109</x:v>
      </x:c>
      <x:c r="L198" s="20">
        <x:v>1.5</x:v>
      </x:c>
      <x:c r="M198" t="s">
        <x:v>125</x:v>
      </x:c>
      <x:c r="N198" s="18">
        <x:v>75</x:v>
      </x:c>
      <x:c r="O198" t="s">
        <x:v>88</x:v>
      </x:c>
      <x:c r="P198" s="18">
        <x:v>4</x:v>
      </x:c>
      <x:c r="Q198" s="19" t="s">
        <x:v>111</x:v>
      </x:c>
      <x:c r="R198" s="18">
        <x:v>45780</x:v>
      </x:c>
      <x:c r="S198" t="s">
        <x:v>112</x:v>
      </x:c>
      <x:c r="T198" s="19">
        <x:f t="shared" si="195"/>
        <x:v>45780</x:v>
      </x:c>
      <x:c r="U198" s="20">
        <x:v>0.27700000000000002</x:v>
      </x:c>
      <x:c r="V198" t="s">
        <x:v>113</x:v>
      </x:c>
      <x:c r="W198" s="20">
        <x:v>13.33</x:v>
      </x:c>
      <x:c r="X198" s="21">
        <x:f t="shared" si="196"/>
        <x:v>215.57802000000001</x:v>
      </x:c>
      <x:c r="Y198" s="21" t="n">
        <x:f>8.96*T198/1000</x:f>
        <x:v>410.18880000000007</x:v>
      </x:c>
      <x:c r="Z198" s="21">
        <x:f t="shared" si="197"/>
        <x:v>91.56</x:v>
      </x:c>
      <x:c r="AA198" s="21">
        <x:f t="shared" si="198"/>
        <x:v>991.04177760000005</x:v>
      </x:c>
      <x:c r="AB198" s="21">
        <x:f t="shared" si="199"/>
        <x:v>239.21698080000004</x:v>
      </x:c>
      <x:c r="AC198" s="21">
        <x:f t="shared" si="200"/>
        <x:v>0.47843396160000012</x:v>
      </x:c>
      <x:c r="AD198" s="21"/>
      <x:c r="AE198" s="21">
        <x:f t="shared" si="201"/>
        <x:v>1.8311999999999999</x:v>
      </x:c>
      <x:c r="AF198" s="21"/>
      <x:c r="AG198" s="19" t="s">
        <x:v>78</x:v>
      </x:c>
      <x:c r="AH198" t="s">
        <x:v>78</x:v>
      </x:c>
      <x:c r="AI198" t="s">
        <x:v>78</x:v>
      </x:c>
      <x:c r="AJ198" s="19"/>
      <x:c r="AK198" s="19" t="s">
        <x:v>78</x:v>
      </x:c>
      <x:c r="AL198" t="s">
        <x:v>78</x:v>
      </x:c>
      <x:c r="AM198" s="19" t="s">
        <x:v>78</x:v>
      </x:c>
      <x:c r="AN198" s="21"/>
      <x:c r="AO198" s="21"/>
      <x:c r="AP198" s="21"/>
      <x:c r="AQ198" s="21"/>
      <x:c r="AR198" s="21"/>
      <x:c r="AS198" s="21"/>
      <x:c r="AT198" s="21"/>
      <x:c r="AU198" s="21"/>
      <x:c r="AV198" s="21"/>
      <x:c r="AW198" t="s">
        <x:v>78</x:v>
      </x:c>
      <x:c r="AX198" s="19"/>
      <x:c r="AY198" s="21"/>
      <x:c r="AZ198" s="21"/>
      <x:c r="BA198" s="21"/>
      <x:c r="BB198" s="21"/>
      <x:c r="BC198" s="21"/>
      <x:c r="BD198" s="21"/>
      <x:c r="BE198" s="21"/>
      <x:c r="BF198" s="21"/>
      <x:c r="BG198" s="21"/>
      <x:c r="BH198" t="s">
        <x:v>81</x:v>
      </x:c>
      <x:c r="BI198" s="18">
        <x:v>112</x:v>
      </x:c>
      <x:c r="BJ198" s="18">
        <x:v>55</x:v>
      </x:c>
      <x:c r="BK198" s="18">
        <x:v>28.67</x:v>
      </x:c>
      <x:c r="BL198" s="18">
        <x:v>22</x:v>
      </x:c>
      <x:c r="BM198" s="18">
        <x:v>27</x:v>
      </x:c>
      <x:c r="BN198" s="18">
        <x:v>56.16</x:v>
      </x:c>
      <x:c r="BO198" s="22">
        <x:v>112.92463055555601</x:v>
      </x:c>
      <x:c r="BP198" s="22">
        <x:v>22.465599999999998</x:v>
      </x:c>
      <x:c r="BQ198" s="18">
        <x:v>100</x:v>
      </x:c>
      <x:c r="BR198" s="18">
        <x:v>49319.75</x:v>
      </x:c>
      <x:c r="BS198" s="18">
        <x:v>79.245000000000005</x:v>
      </x:c>
      <x:c r="BT198" s="18">
        <x:v>1.4730000000000001</x:v>
      </x:c>
      <x:c r="BU198" s="18">
        <x:v>109.414</x:v>
      </x:c>
      <x:c r="BV198" s="18">
        <x:v>7.4169999999999998</x:v>
      </x:c>
      <x:c r="BW198" s="18">
        <x:v>5105.8890000000001</x:v>
      </x:c>
      <x:c r="BX198" s="18">
        <x:v>1.81</x:v>
      </x:c>
      <x:c r="BY198" s="18">
        <x:v>1309.308</x:v>
      </x:c>
      <x:c r="BZ198" s="18">
        <x:v>1309.308</x:v>
      </x:c>
      <x:c r="CA198" s="23">
        <x:f t="shared" si="184"/>
        <x:v>215.57802000000001</x:v>
      </x:c>
      <x:c r="CB198" s="23">
        <x:f t="shared" si="185"/>
        <x:v>410.18880000000007</x:v>
      </x:c>
      <x:c r="CC198" s="23">
        <x:f t="shared" si="186"/>
        <x:v>91.56</x:v>
      </x:c>
      <x:c r="CD198" s="23">
        <x:f t="shared" si="187"/>
        <x:v>991.04177760000005</x:v>
      </x:c>
      <x:c r="CE198" s="23">
        <x:f t="shared" si="188"/>
        <x:v>239.21698080000004</x:v>
      </x:c>
      <x:c r="CF198" s="23">
        <x:f t="shared" si="189"/>
        <x:v>0.47843396160000012</x:v>
      </x:c>
      <x:c r="CG198" s="23">
        <x:f t="shared" si="190"/>
        <x:v>0</x:v>
      </x:c>
      <x:c r="CH198" s="23">
        <x:f t="shared" si="191"/>
        <x:v>1.8311999999999999</x:v>
      </x:c>
      <x:c r="CI198" s="23">
        <x:f t="shared" si="192"/>
        <x:v>0</x:v>
      </x:c>
      <x:c r="CJ198" s="24" t="s">
        <x:v>180</x:v>
      </x:c>
      <x:c r="CK198" s="29">
        <x:v>97.58</x:v>
      </x:c>
      <x:c r="CL198" s="26" t="s">
        <x:v>97</x:v>
      </x:c>
      <x:c r="CM198" s="28">
        <x:v>75</x:v>
      </x:c>
      <x:c r="CN198" s="30" t="s">
        <x:v>411</x:v>
      </x:c>
      <x:c r="CO198" s="27">
        <x:v>98.9</x:v>
      </x:c>
      <x:c r="CP198" s="27">
        <x:v>97</x:v>
      </x:c>
      <x:c r="CQ198" s="26">
        <x:f t="shared" si="193"/>
        <x:v>5.2169880840000005</x:v>
      </x:c>
      <x:c r="CR198" s="26">
        <x:f t="shared" si="194"/>
        <x:v>102.54720000000002</x:v>
      </x:c>
      <x:c r="CS198" s="26">
        <x:f t="shared" si="202"/>
        <x:v>91.56</x:v>
      </x:c>
      <x:c r="CT198" s="26">
        <x:f t="shared" si="155"/>
        <x:v>10.901459553599901</x:v>
      </x:c>
      <x:c r="CU198" s="26">
        <x:f t="shared" si="156"/>
        <x:v>7.1765094240000078</x:v>
      </x:c>
      <x:c r="CV198" s="26">
        <x:f t="shared" si="157"/>
        <x:v>1.4353018848000016E-2</x:v>
      </x:c>
      <x:c r="CW198" s="26">
        <x:f t="shared" si="158"/>
        <x:v>0</x:v>
      </x:c>
      <x:c r="CX198" s="26">
        <x:f t="shared" si="203"/>
        <x:v>1.8311999999999999</x:v>
      </x:c>
      <x:c r="CY198" s="26">
        <x:f t="shared" si="204"/>
        <x:v>0</x:v>
      </x:c>
    </x:row>
    <x:row r="199">
      <x:c r="A199" s="18">
        <x:v>2022</x:v>
      </x:c>
      <x:c r="B199" t="s">
        <x:v>441</x:v>
      </x:c>
      <x:c r="C199" t="s">
        <x:v>442</x:v>
      </x:c>
      <x:c r="D199" t="s">
        <x:v>443</x:v>
      </x:c>
      <x:c r="E199" s="18">
        <x:v>440705</x:v>
      </x:c>
      <x:c r="F199" t="s">
        <x:v>439</x:v>
      </x:c>
      <x:c r="G199" t="s">
        <x:v>430</x:v>
      </x:c>
      <x:c r="H199" s="18">
        <x:v>1713</x:v>
      </x:c>
      <x:c r="I199" t="s">
        <x:v>162</x:v>
      </x:c>
      <x:c r="J199" t="s">
        <x:v>78</x:v>
      </x:c>
      <x:c r="K199" t="s">
        <x:v>109</x:v>
      </x:c>
      <x:c r="L199" s="20">
        <x:v>1.5</x:v>
      </x:c>
      <x:c r="M199" t="s">
        <x:v>125</x:v>
      </x:c>
      <x:c r="N199" s="18">
        <x:v>75</x:v>
      </x:c>
      <x:c r="O199" t="s">
        <x:v>88</x:v>
      </x:c>
      <x:c r="P199" s="18">
        <x:v>4</x:v>
      </x:c>
      <x:c r="Q199" s="19" t="s">
        <x:v>111</x:v>
      </x:c>
      <x:c r="R199" s="18">
        <x:v>25254</x:v>
      </x:c>
      <x:c r="S199" t="s">
        <x:v>112</x:v>
      </x:c>
      <x:c r="T199" s="19">
        <x:f t="shared" si="195"/>
        <x:v>25254</x:v>
      </x:c>
      <x:c r="U199" s="20">
        <x:v>0.27700000000000002</x:v>
      </x:c>
      <x:c r="V199" t="s">
        <x:v>113</x:v>
      </x:c>
      <x:c r="W199" s="20">
        <x:v>13.33</x:v>
      </x:c>
      <x:c r="X199" s="21">
        <x:f t="shared" si="196"/>
        <x:v>118.92108600000002</x:v>
      </x:c>
      <x:c r="Y199" s="21" t="n">
        <x:f>8.96*T199/1000</x:f>
        <x:v>226.27584000000002</x:v>
      </x:c>
      <x:c r="Z199" s="21">
        <x:f t="shared" si="197"/>
        <x:v>50.508000000000003</x:v>
      </x:c>
      <x:c r="AA199" s="21">
        <x:f t="shared" si="198"/>
        <x:v>546.69657168000003</x:v>
      </x:c>
      <x:c r="AB199" s="21">
        <x:f t="shared" si="199"/>
        <x:v>131.96124144000004</x:v>
      </x:c>
      <x:c r="AC199" s="21">
        <x:f t="shared" si="200"/>
        <x:v>0.26392248288000009</x:v>
      </x:c>
      <x:c r="AD199" s="21"/>
      <x:c r="AE199" s="21">
        <x:f t="shared" si="201"/>
        <x:v>1.0101599999999999</x:v>
      </x:c>
      <x:c r="AF199" s="21"/>
      <x:c r="AG199" s="19" t="s">
        <x:v>78</x:v>
      </x:c>
      <x:c r="AH199" t="s">
        <x:v>78</x:v>
      </x:c>
      <x:c r="AI199" t="s">
        <x:v>78</x:v>
      </x:c>
      <x:c r="AJ199" s="19"/>
      <x:c r="AK199" s="19" t="s">
        <x:v>78</x:v>
      </x:c>
      <x:c r="AL199" t="s">
        <x:v>78</x:v>
      </x:c>
      <x:c r="AM199" s="19" t="s">
        <x:v>78</x:v>
      </x:c>
      <x:c r="AN199" s="21"/>
      <x:c r="AO199" s="21"/>
      <x:c r="AP199" s="21"/>
      <x:c r="AQ199" s="21"/>
      <x:c r="AR199" s="21"/>
      <x:c r="AS199" s="21"/>
      <x:c r="AT199" s="21"/>
      <x:c r="AU199" s="21"/>
      <x:c r="AV199" s="21"/>
      <x:c r="AW199" t="s">
        <x:v>78</x:v>
      </x:c>
      <x:c r="AX199" s="19"/>
      <x:c r="AY199" s="21"/>
      <x:c r="AZ199" s="21"/>
      <x:c r="BA199" s="21"/>
      <x:c r="BB199" s="21"/>
      <x:c r="BC199" s="21"/>
      <x:c r="BD199" s="21"/>
      <x:c r="BE199" s="21"/>
      <x:c r="BF199" s="21"/>
      <x:c r="BG199" s="21"/>
      <x:c r="BH199" t="s">
        <x:v>81</x:v>
      </x:c>
      <x:c r="BI199" s="18">
        <x:v>112</x:v>
      </x:c>
      <x:c r="BJ199" s="18">
        <x:v>55</x:v>
      </x:c>
      <x:c r="BK199" s="18">
        <x:v>28.67</x:v>
      </x:c>
      <x:c r="BL199" s="18">
        <x:v>22</x:v>
      </x:c>
      <x:c r="BM199" s="18">
        <x:v>27</x:v>
      </x:c>
      <x:c r="BN199" s="18">
        <x:v>56.16</x:v>
      </x:c>
      <x:c r="BO199" s="22">
        <x:v>112.92463055555601</x:v>
      </x:c>
      <x:c r="BP199" s="22">
        <x:v>22.465599999999998</x:v>
      </x:c>
      <x:c r="BQ199" s="18">
        <x:v>100</x:v>
      </x:c>
      <x:c r="BR199" s="18">
        <x:v>42962.404999999999</x:v>
      </x:c>
      <x:c r="BS199" s="18">
        <x:v>43.715000000000003</x:v>
      </x:c>
      <x:c r="BT199" s="18">
        <x:v>1.2749999999999999</x:v>
      </x:c>
      <x:c r="BU199" s="18">
        <x:v>60.356999999999999</x:v>
      </x:c>
      <x:c r="BV199" s="18">
        <x:v>5.7350000000000003</x:v>
      </x:c>
      <x:c r="BW199" s="18">
        <x:v>2816.6039999999998</x:v>
      </x:c>
      <x:c r="BX199" s="18">
        <x:v>1.4350000000000001</x:v>
      </x:c>
      <x:c r="BY199" s="18">
        <x:v>722.26400000000001</x:v>
      </x:c>
      <x:c r="BZ199" s="18">
        <x:v>722.26400000000001</x:v>
      </x:c>
      <x:c r="CA199" s="23">
        <x:f t="shared" si="184"/>
        <x:v>118.92108600000002</x:v>
      </x:c>
      <x:c r="CB199" s="23">
        <x:f t="shared" si="185"/>
        <x:v>226.27584000000002</x:v>
      </x:c>
      <x:c r="CC199" s="23">
        <x:f t="shared" si="186"/>
        <x:v>50.508000000000003</x:v>
      </x:c>
      <x:c r="CD199" s="23">
        <x:f t="shared" si="187"/>
        <x:v>546.69657168000003</x:v>
      </x:c>
      <x:c r="CE199" s="23">
        <x:f t="shared" si="188"/>
        <x:v>131.96124144000004</x:v>
      </x:c>
      <x:c r="CF199" s="23">
        <x:f t="shared" si="189"/>
        <x:v>0.26392248288000009</x:v>
      </x:c>
      <x:c r="CG199" s="23">
        <x:f t="shared" si="190"/>
        <x:v>0</x:v>
      </x:c>
      <x:c r="CH199" s="23">
        <x:f t="shared" si="191"/>
        <x:v>1.0101599999999999</x:v>
      </x:c>
      <x:c r="CI199" s="23">
        <x:f t="shared" si="192"/>
        <x:v>0</x:v>
      </x:c>
      <x:c r="CJ199" s="24" t="s">
        <x:v>180</x:v>
      </x:c>
      <x:c r="CK199" s="29">
        <x:v>97.58</x:v>
      </x:c>
      <x:c r="CL199" s="26" t="s">
        <x:v>97</x:v>
      </x:c>
      <x:c r="CM199" s="28">
        <x:v>75</x:v>
      </x:c>
      <x:c r="CN199" s="30" t="s">
        <x:v>411</x:v>
      </x:c>
      <x:c r="CO199" s="27">
        <x:v>98.9</x:v>
      </x:c>
      <x:c r="CP199" s="27">
        <x:v>97</x:v>
      </x:c>
      <x:c r="CQ199" s="26">
        <x:f t="shared" si="193"/>
        <x:v>2.8778902812000005</x:v>
      </x:c>
      <x:c r="CR199" s="26">
        <x:f t="shared" si="194"/>
        <x:v>56.568960000000004</x:v>
      </x:c>
      <x:c r="CS199" s="26">
        <x:f t="shared" si="202"/>
        <x:v>50.508000000000003</x:v>
      </x:c>
      <x:c r="CT199" s="26">
        <x:f t="shared" si="155"/>
        <x:v>6.0136622884799449</x:v>
      </x:c>
      <x:c r="CU199" s="26">
        <x:f t="shared" si="156"/>
        <x:v>3.9588372432000045</x:v>
      </x:c>
      <x:c r="CV199" s="26">
        <x:f t="shared" si="157"/>
        <x:v>7.9176744864000101E-3</x:v>
      </x:c>
      <x:c r="CW199" s="26">
        <x:f t="shared" si="158"/>
        <x:v>0</x:v>
      </x:c>
      <x:c r="CX199" s="26">
        <x:f t="shared" si="203"/>
        <x:v>1.0101599999999999</x:v>
      </x:c>
      <x:c r="CY199" s="26">
        <x:f t="shared" si="204"/>
        <x:v>0</x:v>
      </x:c>
    </x:row>
    <x:row r="200">
      <x:c r="A200" s="18">
        <x:v>2022</x:v>
      </x:c>
      <x:c r="B200" t="s">
        <x:v>444</x:v>
      </x:c>
      <x:c r="C200" t="s">
        <x:v>445</x:v>
      </x:c>
      <x:c r="D200" t="s">
        <x:v>446</x:v>
      </x:c>
      <x:c r="E200" s="18">
        <x:v>440705</x:v>
      </x:c>
      <x:c r="F200" t="s">
        <x:v>439</x:v>
      </x:c>
      <x:c r="G200" t="s">
        <x:v>430</x:v>
      </x:c>
      <x:c r="H200" s="18">
        <x:v>2221</x:v>
      </x:c>
      <x:c r="I200" t="s">
        <x:v>158</x:v>
      </x:c>
      <x:c r="J200" t="s">
        <x:v>78</x:v>
      </x:c>
      <x:c r="K200" t="s">
        <x:v>109</x:v>
      </x:c>
      <x:c r="L200" s="20">
        <x:v>2.1</x:v>
      </x:c>
      <x:c r="M200" t="s">
        <x:v>125</x:v>
      </x:c>
      <x:c r="N200" s="18">
        <x:v>75</x:v>
      </x:c>
      <x:c r="O200" t="s">
        <x:v>88</x:v>
      </x:c>
      <x:c r="P200" s="18">
        <x:v>4</x:v>
      </x:c>
      <x:c r="Q200" s="19" t="s">
        <x:v>111</x:v>
      </x:c>
      <x:c r="R200" s="18">
        <x:v>135320.215</x:v>
      </x:c>
      <x:c r="S200" t="s">
        <x:v>112</x:v>
      </x:c>
      <x:c r="T200" s="19">
        <x:f t="shared" si="195"/>
        <x:v>135320.215</x:v>
      </x:c>
      <x:c r="U200" s="20">
        <x:v>0.28999999999999998</x:v>
      </x:c>
      <x:c r="V200" t="s">
        <x:v>113</x:v>
      </x:c>
      <x:c r="W200" s="20">
        <x:v>5.95</x:v>
      </x:c>
      <x:c r="X200" s="21">
        <x:f t="shared" si="196"/>
        <x:v>667.12865994999993</x:v>
      </x:c>
      <x:c r="Y200" s="21" t="n">
        <x:f>8.96*T200/1000</x:f>
        <x:v>1212.4691264000003</x:v>
      </x:c>
      <x:c r="Z200" s="21">
        <x:f t="shared" si="197"/>
        <x:v>270.64042999999998</x:v>
      </x:c>
      <x:c r="AA200" s="21">
        <x:f t="shared" si="198"/>
        <x:v>1307.5721735019999</x:v>
      </x:c>
      <x:c r="AB200" s="21">
        <x:f t="shared" si="199"/>
        <x:v>315.62086946600004</x:v>
      </x:c>
      <x:c r="AC200" s="21">
        <x:f t="shared" si="200"/>
        <x:v>0.63124173893200008</x:v>
      </x:c>
      <x:c r="AD200" s="21"/>
      <x:c r="AE200" s="21">
        <x:f t="shared" si="201"/>
        <x:v>5.4128086</x:v>
      </x:c>
      <x:c r="AF200" s="21"/>
      <x:c r="AG200" s="19" t="s">
        <x:v>78</x:v>
      </x:c>
      <x:c r="AH200" t="s">
        <x:v>78</x:v>
      </x:c>
      <x:c r="AI200" t="s">
        <x:v>78</x:v>
      </x:c>
      <x:c r="AJ200" s="19"/>
      <x:c r="AK200" s="19" t="s">
        <x:v>78</x:v>
      </x:c>
      <x:c r="AL200" t="s">
        <x:v>78</x:v>
      </x:c>
      <x:c r="AM200" s="19" t="s">
        <x:v>78</x:v>
      </x:c>
      <x:c r="AN200" s="21"/>
      <x:c r="AO200" s="21"/>
      <x:c r="AP200" s="21"/>
      <x:c r="AQ200" s="21"/>
      <x:c r="AR200" s="21"/>
      <x:c r="AS200" s="21"/>
      <x:c r="AT200" s="21"/>
      <x:c r="AU200" s="21"/>
      <x:c r="AV200" s="21"/>
      <x:c r="AW200" t="s">
        <x:v>78</x:v>
      </x:c>
      <x:c r="AX200" s="19"/>
      <x:c r="AY200" s="21"/>
      <x:c r="AZ200" s="21"/>
      <x:c r="BA200" s="21"/>
      <x:c r="BB200" s="21"/>
      <x:c r="BC200" s="21"/>
      <x:c r="BD200" s="21"/>
      <x:c r="BE200" s="21"/>
      <x:c r="BF200" s="21"/>
      <x:c r="BG200" s="21"/>
      <x:c r="BH200" t="s">
        <x:v>81</x:v>
      </x:c>
      <x:c r="BI200" s="18">
        <x:v>113</x:v>
      </x:c>
      <x:c r="BJ200" s="18">
        <x:v>9</x:v>
      </x:c>
      <x:c r="BK200" s="18">
        <x:v>13.32</x:v>
      </x:c>
      <x:c r="BL200" s="18">
        <x:v>22</x:v>
      </x:c>
      <x:c r="BM200" s="18">
        <x:v>27</x:v>
      </x:c>
      <x:c r="BN200" s="18">
        <x:v>0.5</x:v>
      </x:c>
      <x:c r="BO200" s="22">
        <x:v>113.1537</x:v>
      </x:c>
      <x:c r="BP200" s="22">
        <x:v>22.450138888888901</x:v>
      </x:c>
      <x:c r="BQ200" s="18">
        <x:v>100</x:v>
      </x:c>
      <x:c r="BR200" s="18">
        <x:v>151102.39999999999</x:v>
      </x:c>
      <x:c r="BS200" s="18">
        <x:v>247.90700000000001</x:v>
      </x:c>
      <x:c r="BT200" s="18">
        <x:v>13.459</x:v>
      </x:c>
      <x:c r="BU200" s="18">
        <x:v>323.41500000000002</x:v>
      </x:c>
      <x:c r="BV200" s="18">
        <x:v>32.502000000000002</x:v>
      </x:c>
      <x:c r="BW200" s="18">
        <x:v>12093.838</x:v>
      </x:c>
      <x:c r="BX200" s="18">
        <x:v>6.3769999999999998</x:v>
      </x:c>
      <x:c r="BY200" s="18">
        <x:v>3870.1579999999999</x:v>
      </x:c>
      <x:c r="BZ200" s="18">
        <x:v>3870.1579999999999</x:v>
      </x:c>
      <x:c r="CA200" s="23">
        <x:f t="shared" si="184"/>
        <x:v>667.12865994999993</x:v>
      </x:c>
      <x:c r="CB200" s="23">
        <x:f t="shared" si="185"/>
        <x:v>1212.4691264000003</x:v>
      </x:c>
      <x:c r="CC200" s="23">
        <x:f t="shared" si="186"/>
        <x:v>270.64042999999998</x:v>
      </x:c>
      <x:c r="CD200" s="23">
        <x:f t="shared" si="187"/>
        <x:v>1307.5721735019999</x:v>
      </x:c>
      <x:c r="CE200" s="23">
        <x:f t="shared" si="188"/>
        <x:v>315.62086946600004</x:v>
      </x:c>
      <x:c r="CF200" s="23">
        <x:f t="shared" si="189"/>
        <x:v>0.63124173893200008</x:v>
      </x:c>
      <x:c r="CG200" s="23">
        <x:f t="shared" si="190"/>
        <x:v>0</x:v>
      </x:c>
      <x:c r="CH200" s="23">
        <x:f t="shared" si="191"/>
        <x:v>5.4128086</x:v>
      </x:c>
      <x:c r="CI200" s="23">
        <x:f t="shared" si="192"/>
        <x:v>0</x:v>
      </x:c>
      <x:c r="CJ200" s="24" t="s">
        <x:v>180</x:v>
      </x:c>
      <x:c r="CK200" s="29">
        <x:v>90</x:v>
      </x:c>
      <x:c r="CL200" s="26" t="s">
        <x:v>97</x:v>
      </x:c>
      <x:c r="CM200" s="28">
        <x:v>75</x:v>
      </x:c>
      <x:c r="CN200" s="30" t="s">
        <x:v>154</x:v>
      </x:c>
      <x:c r="CO200" s="27">
        <x:v>99.8</x:v>
      </x:c>
      <x:c r="CP200" s="27">
        <x:v>99.6</x:v>
      </x:c>
      <x:c r="CQ200" s="26">
        <x:f t="shared" si="193"/>
        <x:v>66.712865994999973</x:v>
      </x:c>
      <x:c r="CR200" s="26">
        <x:f t="shared" si="194"/>
        <x:v>303.11728160000007</x:v>
      </x:c>
      <x:c r="CS200" s="26">
        <x:f t="shared" si="202"/>
        <x:v>270.64042999999998</x:v>
      </x:c>
      <x:c r="CT200" s="26">
        <x:f t="shared" si="155"/>
        <x:v>2.6151443470040023</x:v>
      </x:c>
      <x:c r="CU200" s="26">
        <x:f t="shared" si="156"/>
        <x:v>1.2624834778640013</x:v>
      </x:c>
      <x:c r="CV200" s="26">
        <x:f t="shared" si="157"/>
        <x:v>2.5249669557280024E-3</x:v>
      </x:c>
      <x:c r="CW200" s="26">
        <x:f t="shared" si="158"/>
        <x:v>0</x:v>
      </x:c>
      <x:c r="CX200" s="26">
        <x:f t="shared" si="203"/>
        <x:v>5.4128086</x:v>
      </x:c>
      <x:c r="CY200" s="26">
        <x:f t="shared" si="204"/>
        <x:v>0</x:v>
      </x:c>
    </x:row>
    <x:row r="201">
      <x:c r="A201" s="18">
        <x:v>2022</x:v>
      </x:c>
      <x:c r="B201" t="s">
        <x:v>447</x:v>
      </x:c>
      <x:c r="C201" t="s">
        <x:v>448</x:v>
      </x:c>
      <x:c r="D201" t="s">
        <x:v>449</x:v>
      </x:c>
      <x:c r="E201" s="18">
        <x:v>440705</x:v>
      </x:c>
      <x:c r="F201" t="s">
        <x:v>439</x:v>
      </x:c>
      <x:c r="G201" t="s">
        <x:v>430</x:v>
      </x:c>
      <x:c r="H201" s="18">
        <x:v>4412</x:v>
      </x:c>
      <x:c r="I201" t="s">
        <x:v>108</x:v>
      </x:c>
      <x:c r="J201" t="s">
        <x:v>78</x:v>
      </x:c>
      <x:c r="K201" t="s">
        <x:v>109</x:v>
      </x:c>
      <x:c r="L201" s="20">
        <x:v>60</x:v>
      </x:c>
      <x:c r="M201" t="s">
        <x:v>110</x:v>
      </x:c>
      <x:c r="N201" s="18">
        <x:v>2145</x:v>
      </x:c>
      <x:c r="O201" t="s">
        <x:v>88</x:v>
      </x:c>
      <x:c r="P201" s="18">
        <x:v>1</x:v>
      </x:c>
      <x:c r="Q201" s="19" t="s">
        <x:v>121</x:v>
      </x:c>
      <x:c r="R201" s="18">
        <x:v>446900</x:v>
      </x:c>
      <x:c r="S201" t="s">
        <x:v>112</x:v>
      </x:c>
      <x:c r="T201" s="19">
        <x:f t="shared" si="195"/>
        <x:v>446900</x:v>
      </x:c>
      <x:c r="U201" s="20">
        <x:v>0.7</x:v>
      </x:c>
      <x:c r="V201" t="s">
        <x:v>113</x:v>
      </x:c>
      <x:c r="W201" s="20">
        <x:v>19.440000000000001</x:v>
      </x:c>
      <x:c r="X201" s="21">
        <x:f t="shared" si="196"/>
        <x:v>5318.11</x:v>
      </x:c>
      <x:c r="Y201" s="21" t="n">
        <x:f>7.21*T201/1000</x:f>
        <x:v>3222.149</x:v>
      </x:c>
      <x:c r="Z201" s="21">
        <x:f t="shared" si="197"/>
        <x:v>893.8</x:v>
      </x:c>
      <x:c r="AA201" s="21" t="n">
        <x:f>W201/100*(1-0.25)*0.23*T201</x:f>
        <x:v>14986.3446</x:v>
      </x:c>
      <x:c r="AB201" s="21" t="n">
        <x:f>W201/100*(1-0.25)*0.06*T201</x:f>
        <x:v>3909.4812</x:v>
      </x:c>
      <x:c r="AC201" s="21">
        <x:f t="shared" si="200"/>
        <x:v>7.8189624000000002</x:v>
      </x:c>
      <x:c r="AD201" s="21"/>
      <x:c r="AE201" s="21">
        <x:f t="shared" si="201"/>
        <x:v>17.876000000000001</x:v>
      </x:c>
      <x:c r="AF201" s="21"/>
      <x:c r="AG201" s="19" t="s">
        <x:v>78</x:v>
      </x:c>
      <x:c r="AH201" t="s">
        <x:v>78</x:v>
      </x:c>
      <x:c r="AI201" t="s">
        <x:v>78</x:v>
      </x:c>
      <x:c r="AJ201" s="19"/>
      <x:c r="AK201" s="19" t="s">
        <x:v>78</x:v>
      </x:c>
      <x:c r="AL201" t="s">
        <x:v>78</x:v>
      </x:c>
      <x:c r="AM201" s="19" t="s">
        <x:v>78</x:v>
      </x:c>
      <x:c r="AN201" s="21"/>
      <x:c r="AO201" s="21"/>
      <x:c r="AP201" s="21"/>
      <x:c r="AQ201" s="21"/>
      <x:c r="AR201" s="21"/>
      <x:c r="AS201" s="21"/>
      <x:c r="AT201" s="21"/>
      <x:c r="AU201" s="21"/>
      <x:c r="AV201" s="21"/>
      <x:c r="AW201" t="s">
        <x:v>78</x:v>
      </x:c>
      <x:c r="AX201" s="19"/>
      <x:c r="AY201" s="21"/>
      <x:c r="AZ201" s="21"/>
      <x:c r="BA201" s="21"/>
      <x:c r="BB201" s="21"/>
      <x:c r="BC201" s="21"/>
      <x:c r="BD201" s="21"/>
      <x:c r="BE201" s="21"/>
      <x:c r="BF201" s="21"/>
      <x:c r="BG201" s="21"/>
      <x:c r="BH201" t="s">
        <x:v>81</x:v>
      </x:c>
      <x:c r="BI201" s="18">
        <x:v>113</x:v>
      </x:c>
      <x:c r="BJ201" s="18">
        <x:v>0</x:v>
      </x:c>
      <x:c r="BK201" s="18">
        <x:v>8.1</x:v>
      </x:c>
      <x:c r="BL201" s="18">
        <x:v>22</x:v>
      </x:c>
      <x:c r="BM201" s="18">
        <x:v>26</x:v>
      </x:c>
      <x:c r="BN201" s="18">
        <x:v>20.260000000000002</x:v>
      </x:c>
      <x:c r="BO201" s="22">
        <x:v>113.00225</x:v>
      </x:c>
      <x:c r="BP201" s="22">
        <x:v>22.438961111111102</x:v>
      </x:c>
      <x:c r="BQ201" s="18">
        <x:v>240</x:v>
      </x:c>
      <x:c r="BR201" s="18">
        <x:v>314208.99</x:v>
      </x:c>
      <x:c r="BS201" s="18">
        <x:v>5330.6229999999996</x:v>
      </x:c>
      <x:c r="BT201" s="18">
        <x:v>50.430999999999997</x:v>
      </x:c>
      <x:c r="BU201" s="18">
        <x:v>969.77300000000002</x:v>
      </x:c>
      <x:c r="BV201" s="18">
        <x:v>113.904</x:v>
      </x:c>
      <x:c r="BW201" s="18">
        <x:v>84096.748000000007</x:v>
      </x:c>
      <x:c r="BX201" s="18">
        <x:v>7.5220000000000002</x:v>
      </x:c>
      <x:c r="BY201" s="18">
        <x:v>3088.0790000000002</x:v>
      </x:c>
      <x:c r="BZ201" s="18">
        <x:v>3088.0790000000002</x:v>
      </x:c>
      <x:c r="CA201" s="23">
        <x:f t="shared" si="184"/>
        <x:v>5318.11</x:v>
      </x:c>
      <x:c r="CB201" s="23">
        <x:f t="shared" si="185"/>
        <x:v>3222.1489999999999</x:v>
      </x:c>
      <x:c r="CC201" s="23">
        <x:f t="shared" si="186"/>
        <x:v>893.8</x:v>
      </x:c>
      <x:c r="CD201" s="23">
        <x:f t="shared" si="187"/>
        <x:v>14986.3446</x:v>
      </x:c>
      <x:c r="CE201" s="23">
        <x:f t="shared" si="188"/>
        <x:v>3909.4812000000002</x:v>
      </x:c>
      <x:c r="CF201" s="23">
        <x:f t="shared" si="189"/>
        <x:v>7.8189624000000002</x:v>
      </x:c>
      <x:c r="CG201" s="23">
        <x:f t="shared" si="190"/>
        <x:v>0</x:v>
      </x:c>
      <x:c r="CH201" s="23">
        <x:f t="shared" si="191"/>
        <x:v>17.876000000000001</x:v>
      </x:c>
      <x:c r="CI201" s="23">
        <x:f t="shared" si="192"/>
        <x:v>0</x:v>
      </x:c>
      <x:c r="CJ201" s="24" t="s">
        <x:v>114</x:v>
      </x:c>
      <x:c r="CK201" s="29">
        <x:v>99.05</x:v>
      </x:c>
      <x:c r="CL201" s="26" t="s">
        <x:v>104</x:v>
      </x:c>
      <x:c r="CM201" s="28">
        <x:v>85</x:v>
      </x:c>
      <x:c r="CN201" s="30" t="s">
        <x:v>115</x:v>
      </x:c>
      <x:c r="CO201" s="27">
        <x:v>99.4</x:v>
      </x:c>
      <x:c r="CP201" s="27">
        <x:v>98.3</x:v>
      </x:c>
      <x:c r="CQ201" s="26">
        <x:f t="shared" si="193"/>
        <x:v>50.52204500000034</x:v>
      </x:c>
      <x:c r="CR201" s="26">
        <x:f t="shared" si="194"/>
        <x:v>483.32235000000003</x:v>
      </x:c>
      <x:c r="CS201" s="26">
        <x:f t="shared" si="202"/>
        <x:v>893.8</x:v>
      </x:c>
      <x:c r="CT201" s="26">
        <x:f t="shared" si="155"/>
        <x:v>89.918067599998423</x:v>
      </x:c>
      <x:c r="CU201" s="26">
        <x:f t="shared" si="156"/>
        <x:v>66.46118040000006</x:v>
      </x:c>
      <x:c r="CV201" s="26">
        <x:f t="shared" si="157"/>
        <x:v>0.13292236080000011</x:v>
      </x:c>
      <x:c r="CW201" s="26">
        <x:f t="shared" si="158"/>
        <x:v>0</x:v>
      </x:c>
      <x:c r="CX201" s="26">
        <x:f t="shared" si="203"/>
        <x:v>17.876000000000001</x:v>
      </x:c>
      <x:c r="CY201" s="26">
        <x:f t="shared" si="204"/>
        <x:v>0</x:v>
      </x:c>
    </x:row>
    <x:row r="202">
      <x:c r="A202" s="18">
        <x:v>2022</x:v>
      </x:c>
      <x:c r="B202" t="s">
        <x:v>450</x:v>
      </x:c>
      <x:c r="C202" t="s">
        <x:v>451</x:v>
      </x:c>
      <x:c r="D202" t="s">
        <x:v>452</x:v>
      </x:c>
      <x:c r="E202" s="18">
        <x:v>440705</x:v>
      </x:c>
      <x:c r="F202" t="s">
        <x:v>439</x:v>
      </x:c>
      <x:c r="G202" t="s">
        <x:v>430</x:v>
      </x:c>
      <x:c r="H202" s="18">
        <x:v>1713</x:v>
      </x:c>
      <x:c r="I202" t="s">
        <x:v>162</x:v>
      </x:c>
      <x:c r="J202" t="s">
        <x:v>78</x:v>
      </x:c>
      <x:c r="K202" t="s">
        <x:v>109</x:v>
      </x:c>
      <x:c r="L202" s="20">
        <x:v>0.84699999999999998</x:v>
      </x:c>
      <x:c r="M202" t="s">
        <x:v>125</x:v>
      </x:c>
      <x:c r="N202" s="18">
        <x:v>75</x:v>
      </x:c>
      <x:c r="O202" t="s">
        <x:v>88</x:v>
      </x:c>
      <x:c r="P202" s="18">
        <x:v>4</x:v>
      </x:c>
      <x:c r="Q202" s="19" t="s">
        <x:v>111</x:v>
      </x:c>
      <x:c r="R202" s="18">
        <x:v>39690.379999999997</x:v>
      </x:c>
      <x:c r="S202" t="s">
        <x:v>112</x:v>
      </x:c>
      <x:c r="T202" s="19">
        <x:f t="shared" si="195"/>
        <x:v>39690.379999999997</x:v>
      </x:c>
      <x:c r="U202" s="20">
        <x:v>0.39</x:v>
      </x:c>
      <x:c r="V202" t="s">
        <x:v>113</x:v>
      </x:c>
      <x:c r="W202" s="20">
        <x:v>10</x:v>
      </x:c>
      <x:c r="X202" s="21">
        <x:f t="shared" si="196"/>
        <x:v>263.14721939999998</x:v>
      </x:c>
      <x:c r="Y202" s="21" t="n">
        <x:f>8.96*T202/1000</x:f>
        <x:v>355.62580479999997</x:v>
      </x:c>
      <x:c r="Z202" s="21">
        <x:f t="shared" si="197"/>
        <x:v>79.380759999999995</x:v>
      </x:c>
      <x:c r="AA202" s="21" t="n">
        <x:f>W202/100*(1-0.44)*0.29*T202</x:f>
        <x:v>644.5717712</x:v>
      </x:c>
      <x:c r="AB202" s="21" t="n">
        <x:f>W202/100*(1-0.44)*0.07*T202</x:f>
        <x:v>155.58628960000001</x:v>
      </x:c>
      <x:c r="AC202" s="21" t="n">
        <x:f t="shared" ref="AC202:AC205" si="205">0.002*AB202</x:f>
        <x:v>0.3111725792</x:v>
      </x:c>
      <x:c r="AD202" s="21"/>
      <x:c r="AE202" s="21">
        <x:f t="shared" si="201"/>
        <x:v>1.5876151999999999</x:v>
      </x:c>
      <x:c r="AF202" s="21"/>
      <x:c r="AG202" s="19" t="s">
        <x:v>78</x:v>
      </x:c>
      <x:c r="AH202" t="s">
        <x:v>78</x:v>
      </x:c>
      <x:c r="AI202" t="s">
        <x:v>78</x:v>
      </x:c>
      <x:c r="AJ202" s="19"/>
      <x:c r="AK202" s="19" t="s">
        <x:v>78</x:v>
      </x:c>
      <x:c r="AL202" t="s">
        <x:v>78</x:v>
      </x:c>
      <x:c r="AM202" s="19" t="s">
        <x:v>78</x:v>
      </x:c>
      <x:c r="AN202" s="21"/>
      <x:c r="AO202" s="21"/>
      <x:c r="AP202" s="21"/>
      <x:c r="AQ202" s="21"/>
      <x:c r="AR202" s="21"/>
      <x:c r="AS202" s="21"/>
      <x:c r="AT202" s="21"/>
      <x:c r="AU202" s="21"/>
      <x:c r="AV202" s="21"/>
      <x:c r="AW202" t="s">
        <x:v>78</x:v>
      </x:c>
      <x:c r="AX202" s="19"/>
      <x:c r="AY202" s="21"/>
      <x:c r="AZ202" s="21"/>
      <x:c r="BA202" s="21"/>
      <x:c r="BB202" s="21"/>
      <x:c r="BC202" s="21"/>
      <x:c r="BD202" s="21"/>
      <x:c r="BE202" s="21"/>
      <x:c r="BF202" s="21"/>
      <x:c r="BG202" s="21"/>
      <x:c r="BH202" t="s">
        <x:v>81</x:v>
      </x:c>
      <x:c r="BI202" s="18">
        <x:v>113</x:v>
      </x:c>
      <x:c r="BJ202" s="18">
        <x:v>5</x:v>
      </x:c>
      <x:c r="BK202" s="18">
        <x:v>7.55</x:v>
      </x:c>
      <x:c r="BL202" s="18">
        <x:v>22</x:v>
      </x:c>
      <x:c r="BM202" s="18">
        <x:v>27</x:v>
      </x:c>
      <x:c r="BN202" s="18">
        <x:v>44.93</x:v>
      </x:c>
      <x:c r="BO202" s="22">
        <x:v>113.085430555556</x:v>
      </x:c>
      <x:c r="BP202" s="22">
        <x:v>22.462480555555601</x:v>
      </x:c>
      <x:c r="BQ202" s="18">
        <x:v>120</x:v>
      </x:c>
      <x:c r="BR202" s="18">
        <x:v>51210.659</x:v>
      </x:c>
      <x:c r="BS202" s="18">
        <x:v>232.18899999999999</x:v>
      </x:c>
      <x:c r="BT202" s="18">
        <x:v>1.589</x:v>
      </x:c>
      <x:c r="BU202" s="18">
        <x:v>130.58099999999999</x:v>
      </x:c>
      <x:c r="BV202" s="18">
        <x:v>9.6080000000000005</x:v>
      </x:c>
      <x:c r="BW202" s="18">
        <x:v>2059.931</x:v>
      </x:c>
      <x:c r="BX202" s="18">
        <x:v>1.1299999999999999</x:v>
      </x:c>
      <x:c r="BY202" s="18">
        <x:v>1135.145</x:v>
      </x:c>
      <x:c r="BZ202" s="18">
        <x:v>1135.145</x:v>
      </x:c>
      <x:c r="CA202" s="23">
        <x:f t="shared" si="184"/>
        <x:v>263.14721939999998</x:v>
      </x:c>
      <x:c r="CB202" s="23">
        <x:f t="shared" si="185"/>
        <x:v>355.62580479999997</x:v>
      </x:c>
      <x:c r="CC202" s="23">
        <x:f t="shared" si="186"/>
        <x:v>79.380759999999995</x:v>
      </x:c>
      <x:c r="CD202" s="23">
        <x:f t="shared" si="187"/>
        <x:v>644.57177119999994</x:v>
      </x:c>
      <x:c r="CE202" s="23">
        <x:f t="shared" si="188"/>
        <x:v>155.58628960000001</x:v>
      </x:c>
      <x:c r="CF202" s="23">
        <x:f t="shared" si="189"/>
        <x:v>0.31117257920000002</x:v>
      </x:c>
      <x:c r="CG202" s="23">
        <x:f t="shared" si="190"/>
        <x:v>0</x:v>
      </x:c>
      <x:c r="CH202" s="23">
        <x:f t="shared" si="191"/>
        <x:v>1.5876151999999999</x:v>
      </x:c>
      <x:c r="CI202" s="23">
        <x:f t="shared" si="192"/>
        <x:v>0</x:v>
      </x:c>
      <x:c r="CJ202" s="24" t="s">
        <x:v>180</x:v>
      </x:c>
      <x:c r="CK202" s="29">
        <x:v>70</x:v>
      </x:c>
      <x:c r="CL202" s="26" t="s">
        <x:v>97</x:v>
      </x:c>
      <x:c r="CM202" s="28">
        <x:v>70</x:v>
      </x:c>
      <x:c r="CN202" s="30" t="s">
        <x:v>453</x:v>
      </x:c>
      <x:c r="CO202" s="27">
        <x:v>99.8</x:v>
      </x:c>
      <x:c r="CP202" s="27">
        <x:v>99.6</x:v>
      </x:c>
      <x:c r="CQ202" s="26">
        <x:f t="shared" si="193"/>
        <x:v>78.944165820000009</x:v>
      </x:c>
      <x:c r="CR202" s="26">
        <x:f t="shared" si="194"/>
        <x:v>106.68774144000001</x:v>
      </x:c>
      <x:c r="CS202" s="26">
        <x:f t="shared" si="202"/>
        <x:v>79.380759999999995</x:v>
      </x:c>
      <x:c r="CT202" s="26">
        <x:f t="shared" si="155"/>
        <x:v>1.2891435424000011</x:v>
      </x:c>
      <x:c r="CU202" s="26">
        <x:f t="shared" si="156"/>
        <x:v>0.6223451584000006</x:v>
      </x:c>
      <x:c r="CV202" s="26">
        <x:f t="shared" si="157"/>
        <x:v>1.2446903168000013E-3</x:v>
      </x:c>
      <x:c r="CW202" s="26">
        <x:f t="shared" si="158"/>
        <x:v>0</x:v>
      </x:c>
      <x:c r="CX202" s="26">
        <x:f t="shared" si="203"/>
        <x:v>1.5876151999999999</x:v>
      </x:c>
      <x:c r="CY202" s="26">
        <x:f t="shared" si="204"/>
        <x:v>0</x:v>
      </x:c>
    </x:row>
    <x:row r="203">
      <x:c r="A203" s="18">
        <x:v>2022</x:v>
      </x:c>
      <x:c r="B203" t="s">
        <x:v>454</x:v>
      </x:c>
      <x:c r="C203" t="s">
        <x:v>455</x:v>
      </x:c>
      <x:c r="D203" t="s">
        <x:v>456</x:v>
      </x:c>
      <x:c r="E203" s="18">
        <x:v>440705</x:v>
      </x:c>
      <x:c r="F203" t="s">
        <x:v>439</x:v>
      </x:c>
      <x:c r="G203" t="s">
        <x:v>430</x:v>
      </x:c>
      <x:c r="H203" s="18">
        <x:v>1713</x:v>
      </x:c>
      <x:c r="I203" t="s">
        <x:v>162</x:v>
      </x:c>
      <x:c r="J203" t="s">
        <x:v>78</x:v>
      </x:c>
      <x:c r="K203" t="s">
        <x:v>109</x:v>
      </x:c>
      <x:c r="L203" s="20">
        <x:v>0.7</x:v>
      </x:c>
      <x:c r="M203" t="s">
        <x:v>125</x:v>
      </x:c>
      <x:c r="N203" s="18">
        <x:v>35</x:v>
      </x:c>
      <x:c r="O203" t="s">
        <x:v>88</x:v>
      </x:c>
      <x:c r="P203" s="18">
        <x:v>4</x:v>
      </x:c>
      <x:c r="Q203" s="19" t="s">
        <x:v>111</x:v>
      </x:c>
      <x:c r="R203" s="18">
        <x:v>31610.75</x:v>
      </x:c>
      <x:c r="S203" t="s">
        <x:v>112</x:v>
      </x:c>
      <x:c r="T203" s="19">
        <x:f t="shared" si="195"/>
        <x:v>31610.75</x:v>
      </x:c>
      <x:c r="U203" s="20">
        <x:v>0.39</x:v>
      </x:c>
      <x:c r="V203" t="s">
        <x:v>113</x:v>
      </x:c>
      <x:c r="W203" s="20">
        <x:v>10</x:v>
      </x:c>
      <x:c r="X203" s="21">
        <x:f t="shared" si="196"/>
        <x:v>209.5792725</x:v>
      </x:c>
      <x:c r="Y203" s="21" t="n">
        <x:f>8.96*T203/1000</x:f>
        <x:v>283.23232</x:v>
      </x:c>
      <x:c r="Z203" s="21">
        <x:f t="shared" si="197"/>
        <x:v>63.221499999999999</x:v>
      </x:c>
      <x:c r="AA203" s="21" t="n">
        <x:f>W203/100*(1-0.44)*0.29*T203</x:f>
        <x:v>513.3585800000001</x:v>
      </x:c>
      <x:c r="AB203" s="21" t="n">
        <x:f>W203/100*(1-0.44)*0.07*T203</x:f>
        <x:v>123.91414000000002</x:v>
      </x:c>
      <x:c r="AC203" s="21">
        <x:f t="shared" si="205"/>
        <x:v>0.24782828000000004</x:v>
      </x:c>
      <x:c r="AD203" s="21"/>
      <x:c r="AE203" s="21">
        <x:f t="shared" si="201"/>
        <x:v>1.2644300000000002</x:v>
      </x:c>
      <x:c r="AF203" s="21"/>
      <x:c r="AG203" s="19" t="s">
        <x:v>78</x:v>
      </x:c>
      <x:c r="AH203" t="s">
        <x:v>78</x:v>
      </x:c>
      <x:c r="AI203" t="s">
        <x:v>78</x:v>
      </x:c>
      <x:c r="AJ203" s="19"/>
      <x:c r="AK203" s="19" t="s">
        <x:v>78</x:v>
      </x:c>
      <x:c r="AL203" t="s">
        <x:v>78</x:v>
      </x:c>
      <x:c r="AM203" s="19" t="s">
        <x:v>78</x:v>
      </x:c>
      <x:c r="AN203" s="21"/>
      <x:c r="AO203" s="21"/>
      <x:c r="AP203" s="21"/>
      <x:c r="AQ203" s="21"/>
      <x:c r="AR203" s="21"/>
      <x:c r="AS203" s="21"/>
      <x:c r="AT203" s="21"/>
      <x:c r="AU203" s="21"/>
      <x:c r="AV203" s="21"/>
      <x:c r="AW203" t="s">
        <x:v>78</x:v>
      </x:c>
      <x:c r="AX203" s="19"/>
      <x:c r="AY203" s="21"/>
      <x:c r="AZ203" s="21"/>
      <x:c r="BA203" s="21"/>
      <x:c r="BB203" s="21"/>
      <x:c r="BC203" s="21"/>
      <x:c r="BD203" s="21"/>
      <x:c r="BE203" s="21"/>
      <x:c r="BF203" s="21"/>
      <x:c r="BG203" s="21"/>
      <x:c r="BH203" t="s">
        <x:v>82</x:v>
      </x:c>
      <x:c r="BI203" s="18">
        <x:v>113</x:v>
      </x:c>
      <x:c r="BJ203" s="18">
        <x:v>7</x:v>
      </x:c>
      <x:c r="BK203" s="18">
        <x:v>56.93</x:v>
      </x:c>
      <x:c r="BL203" s="18">
        <x:v>22</x:v>
      </x:c>
      <x:c r="BM203" s="18">
        <x:v>13</x:v>
      </x:c>
      <x:c r="BN203" s="18">
        <x:v>41.2</x:v>
      </x:c>
      <x:c r="BO203" s="22">
        <x:v>113.132480555556</x:v>
      </x:c>
      <x:c r="BP203" s="22">
        <x:v>22.228111111111101</x:v>
      </x:c>
      <x:c r="BQ203" s="18">
        <x:v>100</x:v>
      </x:c>
      <x:c r="BR203" s="18">
        <x:v>110847.73299999999</x:v>
      </x:c>
      <x:c r="BS203" s="18">
        <x:v>184.923</x:v>
      </x:c>
      <x:c r="BT203" s="18">
        <x:v>5.141</x:v>
      </x:c>
      <x:c r="BU203" s="18">
        <x:v>103.999</x:v>
      </x:c>
      <x:c r="BV203" s="18">
        <x:v>31.86</x:v>
      </x:c>
      <x:c r="BW203" s="18">
        <x:v>1640.598</x:v>
      </x:c>
      <x:c r="BX203" s="18">
        <x:v>1.8779999999999999</x:v>
      </x:c>
      <x:c r="BY203" s="18">
        <x:v>904.06700000000001</x:v>
      </x:c>
      <x:c r="BZ203" s="18">
        <x:v>904.06700000000001</x:v>
      </x:c>
      <x:c r="CA203" s="23">
        <x:f t="shared" si="184"/>
        <x:v>209.5792725</x:v>
      </x:c>
      <x:c r="CB203" s="23">
        <x:f t="shared" si="185"/>
        <x:v>283.23232000000002</x:v>
      </x:c>
      <x:c r="CC203" s="23">
        <x:f t="shared" si="186"/>
        <x:v>63.221499999999999</x:v>
      </x:c>
      <x:c r="CD203" s="23">
        <x:f t="shared" si="187"/>
        <x:v>513.35858000000007</x:v>
      </x:c>
      <x:c r="CE203" s="23">
        <x:f t="shared" si="188"/>
        <x:v>123.91414000000002</x:v>
      </x:c>
      <x:c r="CF203" s="23">
        <x:f t="shared" si="189"/>
        <x:v>0.24782828000000004</x:v>
      </x:c>
      <x:c r="CG203" s="23">
        <x:f t="shared" si="190"/>
        <x:v>0</x:v>
      </x:c>
      <x:c r="CH203" s="23">
        <x:f t="shared" si="191"/>
        <x:v>1.2644300000000002</x:v>
      </x:c>
      <x:c r="CI203" s="23">
        <x:f t="shared" si="192"/>
        <x:v>0</x:v>
      </x:c>
      <x:c r="CJ203" s="24" t="s">
        <x:v>180</x:v>
      </x:c>
      <x:c r="CK203" s="29">
        <x:v>97</x:v>
      </x:c>
      <x:c r="CL203" s="26" t="s">
        <x:v>97</x:v>
      </x:c>
      <x:c r="CM203" s="28">
        <x:v>70</x:v>
      </x:c>
      <x:c r="CN203" s="30" t="s">
        <x:v>291</x:v>
      </x:c>
      <x:c r="CO203" s="27">
        <x:v>98.9</x:v>
      </x:c>
      <x:c r="CP203" s="27">
        <x:v>97</x:v>
      </x:c>
      <x:c r="CQ203" s="26">
        <x:f t="shared" si="193"/>
        <x:v>6.287378175000006</x:v>
      </x:c>
      <x:c r="CR203" s="26">
        <x:f t="shared" si="194"/>
        <x:v>84.969696000000013</x:v>
      </x:c>
      <x:c r="CS203" s="26">
        <x:f t="shared" si="202"/>
        <x:v>63.221499999999999</x:v>
      </x:c>
      <x:c r="CT203" s="26">
        <x:f t="shared" si="155"/>
        <x:v>5.6469443799999492</x:v>
      </x:c>
      <x:c r="CU203" s="26">
        <x:f t="shared" si="156"/>
        <x:v>3.717424200000004</x:v>
      </x:c>
      <x:c r="CV203" s="26">
        <x:f t="shared" si="157"/>
        <x:v>7.4348484000000079E-3</x:v>
      </x:c>
      <x:c r="CW203" s="26">
        <x:f t="shared" si="158"/>
        <x:v>0</x:v>
      </x:c>
      <x:c r="CX203" s="26">
        <x:f t="shared" si="203"/>
        <x:v>1.2644300000000002</x:v>
      </x:c>
      <x:c r="CY203" s="26">
        <x:f t="shared" si="204"/>
        <x:v>0</x:v>
      </x:c>
    </x:row>
    <x:row r="204">
      <x:c r="A204" s="18">
        <x:v>2022</x:v>
      </x:c>
      <x:c r="B204" t="s">
        <x:v>457</x:v>
      </x:c>
      <x:c r="C204" t="s">
        <x:v>458</x:v>
      </x:c>
      <x:c r="D204" t="s">
        <x:v>459</x:v>
      </x:c>
      <x:c r="E204" s="18">
        <x:v>440705</x:v>
      </x:c>
      <x:c r="F204" t="s">
        <x:v>439</x:v>
      </x:c>
      <x:c r="G204" t="s">
        <x:v>430</x:v>
      </x:c>
      <x:c r="H204" s="18">
        <x:v>2221</x:v>
      </x:c>
      <x:c r="I204" t="s">
        <x:v>158</x:v>
      </x:c>
      <x:c r="J204" t="s">
        <x:v>460</x:v>
      </x:c>
      <x:c r="K204" t="s">
        <x:v>109</x:v>
      </x:c>
      <x:c r="L204" s="20">
        <x:v>8</x:v>
      </x:c>
      <x:c r="M204" t="s">
        <x:v>125</x:v>
      </x:c>
      <x:c r="N204" s="18">
        <x:v>410</x:v>
      </x:c>
      <x:c r="O204" t="s">
        <x:v>88</x:v>
      </x:c>
      <x:c r="P204" s="18">
        <x:v>4</x:v>
      </x:c>
      <x:c r="Q204" s="19" t="s">
        <x:v>111</x:v>
      </x:c>
      <x:c r="R204" s="18">
        <x:v>350578.67700000003</x:v>
      </x:c>
      <x:c r="S204" t="s">
        <x:v>112</x:v>
      </x:c>
      <x:c r="T204" s="19">
        <x:f t="shared" si="195"/>
        <x:v>350578.67700000003</x:v>
      </x:c>
      <x:c r="U204" s="20">
        <x:v>0.55000000000000004</x:v>
      </x:c>
      <x:c r="V204" t="s">
        <x:v>113</x:v>
      </x:c>
      <x:c r="W204" s="20">
        <x:v>15.59</x:v>
      </x:c>
      <x:c r="X204" s="21">
        <x:f t="shared" si="196"/>
        <x:v>3277.9106299500004</x:v>
      </x:c>
      <x:c r="Y204" s="21" t="n">
        <x:f>8.96*T204/1000</x:f>
        <x:v>3141.1849459200002</x:v>
      </x:c>
      <x:c r="Z204" s="21">
        <x:f t="shared" si="197"/>
        <x:v>701.15735400000005</x:v>
      </x:c>
      <x:c r="AA204" s="21" t="n">
        <x:f>W204/100*(1-0.44)*0.29*T204</x:f>
        <x:v>8876.007036874322</x:v>
      </x:c>
      <x:c r="AB204" s="21" t="n">
        <x:f>W204/100*(1-0.44)*0.07*T204</x:f>
        <x:v>2142.4844571765607</x:v>
      </x:c>
      <x:c r="AC204" s="21">
        <x:f t="shared" si="205"/>
        <x:v>4.2849689143531213</x:v>
      </x:c>
      <x:c r="AD204" s="21"/>
      <x:c r="AE204" s="21">
        <x:f t="shared" si="201"/>
        <x:v>14.023147080000001</x:v>
      </x:c>
      <x:c r="AF204" s="21"/>
      <x:c r="AG204" s="19" t="s">
        <x:v>78</x:v>
      </x:c>
      <x:c r="AH204" t="s">
        <x:v>78</x:v>
      </x:c>
      <x:c r="AI204" t="s">
        <x:v>78</x:v>
      </x:c>
      <x:c r="AJ204" s="19"/>
      <x:c r="AK204" s="19" t="s">
        <x:v>78</x:v>
      </x:c>
      <x:c r="AL204" t="s">
        <x:v>78</x:v>
      </x:c>
      <x:c r="AM204" s="19" t="s">
        <x:v>78</x:v>
      </x:c>
      <x:c r="AN204" s="21"/>
      <x:c r="AO204" s="21"/>
      <x:c r="AP204" s="21"/>
      <x:c r="AQ204" s="21"/>
      <x:c r="AR204" s="21"/>
      <x:c r="AS204" s="21"/>
      <x:c r="AT204" s="21"/>
      <x:c r="AU204" s="21"/>
      <x:c r="AV204" s="21"/>
      <x:c r="AW204" t="s">
        <x:v>78</x:v>
      </x:c>
      <x:c r="AX204" s="19"/>
      <x:c r="AY204" s="21"/>
      <x:c r="AZ204" s="21"/>
      <x:c r="BA204" s="21"/>
      <x:c r="BB204" s="21"/>
      <x:c r="BC204" s="21"/>
      <x:c r="BD204" s="21"/>
      <x:c r="BE204" s="21"/>
      <x:c r="BF204" s="21"/>
      <x:c r="BG204" s="21"/>
      <x:c r="BH204" t="s">
        <x:v>81</x:v>
      </x:c>
      <x:c r="BI204" s="18">
        <x:v>113</x:v>
      </x:c>
      <x:c r="BJ204" s="18">
        <x:v>3</x:v>
      </x:c>
      <x:c r="BK204" s="18">
        <x:v>31.82</x:v>
      </x:c>
      <x:c r="BL204" s="18">
        <x:v>22</x:v>
      </x:c>
      <x:c r="BM204" s="18">
        <x:v>21</x:v>
      </x:c>
      <x:c r="BN204" s="18">
        <x:v>58.93</x:v>
      </x:c>
      <x:c r="BO204" s="22">
        <x:v>113.058838888889</x:v>
      </x:c>
      <x:c r="BP204" s="22">
        <x:v>22.366369444444398</x:v>
      </x:c>
      <x:c r="BQ204" s="18">
        <x:v>180</x:v>
      </x:c>
      <x:c r="BR204" s="18">
        <x:v>252780.34299999999</x:v>
      </x:c>
      <x:c r="BS204" s="18">
        <x:v>979.51700000000005</x:v>
      </x:c>
      <x:c r="BT204" s="18">
        <x:v>28.491</x:v>
      </x:c>
      <x:c r="BU204" s="18">
        <x:v>354.084</x:v>
      </x:c>
      <x:c r="BV204" s="18">
        <x:v>122.52500000000001</x:v>
      </x:c>
      <x:c r="BW204" s="18">
        <x:v>48979.311999999998</x:v>
      </x:c>
      <x:c r="BX204" s="18">
        <x:v>7.3040000000000003</x:v>
      </x:c>
      <x:c r="BY204" s="18">
        <x:v>10026.549999999999</x:v>
      </x:c>
      <x:c r="BZ204" s="18">
        <x:v>10026.549999999999</x:v>
      </x:c>
      <x:c r="CA204" s="23">
        <x:f t="shared" si="184"/>
        <x:v>3277.9106299500004</x:v>
      </x:c>
      <x:c r="CB204" s="23">
        <x:f t="shared" si="185"/>
        <x:v>3141.1849459200002</x:v>
      </x:c>
      <x:c r="CC204" s="23">
        <x:f t="shared" si="186"/>
        <x:v>701.15735400000005</x:v>
      </x:c>
      <x:c r="CD204" s="23">
        <x:f t="shared" si="187"/>
        <x:v>8876.0070368743218</x:v>
      </x:c>
      <x:c r="CE204" s="23">
        <x:f t="shared" si="188"/>
        <x:v>2142.4844571765607</x:v>
      </x:c>
      <x:c r="CF204" s="23">
        <x:f t="shared" si="189"/>
        <x:v>4.2849689143531213</x:v>
      </x:c>
      <x:c r="CG204" s="23">
        <x:f t="shared" si="190"/>
        <x:v>0</x:v>
      </x:c>
      <x:c r="CH204" s="23">
        <x:f t="shared" si="191"/>
        <x:v>14.023147080000001</x:v>
      </x:c>
      <x:c r="CI204" s="23">
        <x:f t="shared" si="192"/>
        <x:v>0</x:v>
      </x:c>
      <x:c r="CJ204" s="24" t="s">
        <x:v>114</x:v>
      </x:c>
      <x:c r="CK204" s="29">
        <x:v>95</x:v>
      </x:c>
      <x:c r="CL204" s="26" t="s">
        <x:v>97</x:v>
      </x:c>
      <x:c r="CM204" s="28">
        <x:v>75</x:v>
      </x:c>
      <x:c r="CN204" s="30" t="s">
        <x:v>461</x:v>
      </x:c>
      <x:c r="CO204" s="27">
        <x:v>99.4</x:v>
      </x:c>
      <x:c r="CP204" s="27">
        <x:v>98.3</x:v>
      </x:c>
      <x:c r="CQ204" s="26">
        <x:f t="shared" si="193"/>
        <x:v>163.89553149750017</x:v>
      </x:c>
      <x:c r="CR204" s="26">
        <x:f t="shared" si="194"/>
        <x:v>785.29623648000006</x:v>
      </x:c>
      <x:c r="CS204" s="26">
        <x:f t="shared" si="202"/>
        <x:v>701.15735400000005</x:v>
      </x:c>
      <x:c r="CT204" s="26">
        <x:f t="shared" si="155"/>
        <x:v>53.256042221244989</x:v>
      </x:c>
      <x:c r="CU204" s="26">
        <x:f t="shared" si="156"/>
        <x:v>36.422235772001564</x:v>
      </x:c>
      <x:c r="CV204" s="26">
        <x:f t="shared" si="157"/>
        <x:v>7.2844471544003128E-2</x:v>
      </x:c>
      <x:c r="CW204" s="26">
        <x:f t="shared" si="158"/>
        <x:v>0</x:v>
      </x:c>
      <x:c r="CX204" s="26">
        <x:f t="shared" si="203"/>
        <x:v>14.023147080000001</x:v>
      </x:c>
      <x:c r="CY204" s="26">
        <x:f t="shared" si="204"/>
        <x:v>0</x:v>
      </x:c>
    </x:row>
    <x:row r="205">
      <x:c r="A205" s="18">
        <x:v>2022</x:v>
      </x:c>
      <x:c r="B205" t="s">
        <x:v>457</x:v>
      </x:c>
      <x:c r="C205" t="s">
        <x:v>458</x:v>
      </x:c>
      <x:c r="D205" t="s">
        <x:v>459</x:v>
      </x:c>
      <x:c r="E205" s="18">
        <x:v>440705</x:v>
      </x:c>
      <x:c r="F205" t="s">
        <x:v>439</x:v>
      </x:c>
      <x:c r="G205" t="s">
        <x:v>430</x:v>
      </x:c>
      <x:c r="H205" s="18">
        <x:v>2221</x:v>
      </x:c>
      <x:c r="I205" t="s">
        <x:v>158</x:v>
      </x:c>
      <x:c r="J205" t="s">
        <x:v>460</x:v>
      </x:c>
      <x:c r="K205" t="s">
        <x:v>109</x:v>
      </x:c>
      <x:c r="L205" s="20">
        <x:v>6</x:v>
      </x:c>
      <x:c r="M205" t="s">
        <x:v>125</x:v>
      </x:c>
      <x:c r="N205" s="18">
        <x:v>410</x:v>
      </x:c>
      <x:c r="O205" t="s">
        <x:v>88</x:v>
      </x:c>
      <x:c r="P205" s="18">
        <x:v>4</x:v>
      </x:c>
      <x:c r="Q205" s="19" t="s">
        <x:v>111</x:v>
      </x:c>
      <x:c r="R205" s="18">
        <x:v>262934.00699999998</x:v>
      </x:c>
      <x:c r="S205" t="s">
        <x:v>112</x:v>
      </x:c>
      <x:c r="T205" s="19">
        <x:f t="shared" si="195"/>
        <x:v>262934.00699999998</x:v>
      </x:c>
      <x:c r="U205" s="20">
        <x:v>0.55000000000000004</x:v>
      </x:c>
      <x:c r="V205" t="s">
        <x:v>113</x:v>
      </x:c>
      <x:c r="W205" s="20">
        <x:v>15.59</x:v>
      </x:c>
      <x:c r="X205" s="21">
        <x:f t="shared" si="196"/>
        <x:v>2458.4329654500002</x:v>
      </x:c>
      <x:c r="Y205" s="21" t="n">
        <x:f>8.96*T205/1000</x:f>
        <x:v>2355.88870272</x:v>
      </x:c>
      <x:c r="Z205" s="21">
        <x:f t="shared" si="197"/>
        <x:v>525.86801400000002</x:v>
      </x:c>
      <x:c r="AA205" s="21" t="n">
        <x:f>W205/100*(1-0.44)*0.29*T205</x:f>
        <x:v>6657.00525866712</x:v>
      </x:c>
      <x:c r="AB205" s="21" t="n">
        <x:f>W205/100*(1-0.44)*0.07*T205</x:f>
        <x:v>1606.8633382989603</x:v>
      </x:c>
      <x:c r="AC205" s="21">
        <x:f t="shared" si="205"/>
        <x:v>3.2137266765979207</x:v>
      </x:c>
      <x:c r="AD205" s="21"/>
      <x:c r="AE205" s="21">
        <x:f t="shared" si="201"/>
        <x:v>10.517360279999998</x:v>
      </x:c>
      <x:c r="AF205" s="21"/>
      <x:c r="AG205" s="19" t="s">
        <x:v>78</x:v>
      </x:c>
      <x:c r="AH205" t="s">
        <x:v>78</x:v>
      </x:c>
      <x:c r="AI205" t="s">
        <x:v>78</x:v>
      </x:c>
      <x:c r="AJ205" s="19"/>
      <x:c r="AK205" s="19" t="s">
        <x:v>78</x:v>
      </x:c>
      <x:c r="AL205" t="s">
        <x:v>78</x:v>
      </x:c>
      <x:c r="AM205" s="19" t="s">
        <x:v>78</x:v>
      </x:c>
      <x:c r="AN205" s="21"/>
      <x:c r="AO205" s="21"/>
      <x:c r="AP205" s="21"/>
      <x:c r="AQ205" s="21"/>
      <x:c r="AR205" s="21"/>
      <x:c r="AS205" s="21"/>
      <x:c r="AT205" s="21"/>
      <x:c r="AU205" s="21"/>
      <x:c r="AV205" s="21"/>
      <x:c r="AW205" t="s">
        <x:v>78</x:v>
      </x:c>
      <x:c r="AX205" s="19"/>
      <x:c r="AY205" s="21"/>
      <x:c r="AZ205" s="21"/>
      <x:c r="BA205" s="21"/>
      <x:c r="BB205" s="21"/>
      <x:c r="BC205" s="21"/>
      <x:c r="BD205" s="21"/>
      <x:c r="BE205" s="21"/>
      <x:c r="BF205" s="21"/>
      <x:c r="BG205" s="21"/>
      <x:c r="BH205" t="s">
        <x:v>81</x:v>
      </x:c>
      <x:c r="BI205" s="18">
        <x:v>113</x:v>
      </x:c>
      <x:c r="BJ205" s="18">
        <x:v>3</x:v>
      </x:c>
      <x:c r="BK205" s="18">
        <x:v>31.82</x:v>
      </x:c>
      <x:c r="BL205" s="18">
        <x:v>22</x:v>
      </x:c>
      <x:c r="BM205" s="18">
        <x:v>21</x:v>
      </x:c>
      <x:c r="BN205" s="18">
        <x:v>58.93</x:v>
      </x:c>
      <x:c r="BO205" s="22">
        <x:v>113.058838888889</x:v>
      </x:c>
      <x:c r="BP205" s="22">
        <x:v>22.366369444444398</x:v>
      </x:c>
      <x:c r="BQ205" s="18">
        <x:v>180</x:v>
      </x:c>
      <x:c r="BR205" s="18">
        <x:v>189585.25700000001</x:v>
      </x:c>
      <x:c r="BS205" s="18">
        <x:v>848.88199999999995</x:v>
      </x:c>
      <x:c r="BT205" s="18">
        <x:v>21.446000000000002</x:v>
      </x:c>
      <x:c r="BU205" s="18">
        <x:v>297.11500000000001</x:v>
      </x:c>
      <x:c r="BV205" s="18">
        <x:v>91.984999999999999</x:v>
      </x:c>
      <x:c r="BW205" s="18">
        <x:v>36439.656000000003</x:v>
      </x:c>
      <x:c r="BX205" s="18">
        <x:v>5.4660000000000002</x:v>
      </x:c>
      <x:c r="BY205" s="18">
        <x:v>7519.9129999999996</x:v>
      </x:c>
      <x:c r="BZ205" s="18">
        <x:v>7519.9129999999996</x:v>
      </x:c>
      <x:c r="CA205" s="23">
        <x:f t="shared" si="184"/>
        <x:v>2458.4329654500002</x:v>
      </x:c>
      <x:c r="CB205" s="23">
        <x:f t="shared" si="185"/>
        <x:v>2355.8887027199999</x:v>
      </x:c>
      <x:c r="CC205" s="23">
        <x:f t="shared" si="186"/>
        <x:v>525.86801400000002</x:v>
      </x:c>
      <x:c r="CD205" s="23">
        <x:f t="shared" si="187"/>
        <x:v>6657.00525866712</x:v>
      </x:c>
      <x:c r="CE205" s="23">
        <x:f t="shared" si="188"/>
        <x:v>1606.8633382989603</x:v>
      </x:c>
      <x:c r="CF205" s="23">
        <x:f t="shared" si="189"/>
        <x:v>3.2137266765979207</x:v>
      </x:c>
      <x:c r="CG205" s="23">
        <x:f t="shared" si="190"/>
        <x:v>0</x:v>
      </x:c>
      <x:c r="CH205" s="23">
        <x:f t="shared" si="191"/>
        <x:v>10.517360279999998</x:v>
      </x:c>
      <x:c r="CI205" s="23">
        <x:f t="shared" si="192"/>
        <x:v>0</x:v>
      </x:c>
      <x:c r="CJ205" s="24" t="s">
        <x:v>114</x:v>
      </x:c>
      <x:c r="CK205" s="29">
        <x:v>95</x:v>
      </x:c>
      <x:c r="CL205" s="26" t="s">
        <x:v>97</x:v>
      </x:c>
      <x:c r="CM205" s="28">
        <x:v>75</x:v>
      </x:c>
      <x:c r="CN205" s="30" t="s">
        <x:v>461</x:v>
      </x:c>
      <x:c r="CO205" s="27">
        <x:v>99.4</x:v>
      </x:c>
      <x:c r="CP205" s="27">
        <x:v>98.3</x:v>
      </x:c>
      <x:c r="CQ205" s="26">
        <x:f t="shared" si="193"/>
        <x:v>122.92164827250012</x:v>
      </x:c>
      <x:c r="CR205" s="26">
        <x:f t="shared" si="194"/>
        <x:v>588.97217567999996</x:v>
      </x:c>
      <x:c r="CS205" s="26">
        <x:f t="shared" si="202"/>
        <x:v>525.86801400000002</x:v>
      </x:c>
      <x:c r="CT205" s="26">
        <x:f t="shared" si="155"/>
        <x:v>39.942031552002014</x:v>
      </x:c>
      <x:c r="CU205" s="26">
        <x:f t="shared" si="156"/>
        <x:v>27.316676751082351</x:v>
      </x:c>
      <x:c r="CV205" s="26">
        <x:f t="shared" si="157"/>
        <x:v>5.4633353502164701E-2</x:v>
      </x:c>
      <x:c r="CW205" s="26">
        <x:f t="shared" si="158"/>
        <x:v>0</x:v>
      </x:c>
      <x:c r="CX205" s="26">
        <x:f t="shared" si="203"/>
        <x:v>10.517360279999998</x:v>
      </x:c>
      <x:c r="CY205" s="26">
        <x:f t="shared" si="204"/>
        <x:v>0</x:v>
      </x:c>
    </x:row>
    <x:row r="206">
      <x:c r="A206" s="18">
        <x:v>2022</x:v>
      </x:c>
      <x:c r="B206" t="s">
        <x:v>462</x:v>
      </x:c>
      <x:c r="C206" t="s">
        <x:v>463</x:v>
      </x:c>
      <x:c r="D206" t="s">
        <x:v>464</x:v>
      </x:c>
      <x:c r="E206" s="18">
        <x:v>440705</x:v>
      </x:c>
      <x:c r="F206" t="s">
        <x:v>439</x:v>
      </x:c>
      <x:c r="G206" t="s">
        <x:v>430</x:v>
      </x:c>
      <x:c r="H206" s="18">
        <x:v>4411</x:v>
      </x:c>
      <x:c r="I206" t="s">
        <x:v>102</x:v>
      </x:c>
      <x:c r="J206" t="s">
        <x:v>78</x:v>
      </x:c>
      <x:c r="K206" t="s">
        <x:v>72</x:v>
      </x:c>
      <x:c r="L206" s="18">
        <x:v>45.3</x:v>
      </x:c>
      <x:c r="M206" t="s">
        <x:v>73</x:v>
      </x:c>
      <x:c r="N206" s="18">
        <x:v>404.73</x:v>
      </x:c>
      <x:c r="O206" t="s">
        <x:v>88</x:v>
      </x:c>
      <x:c r="P206" s="18">
        <x:v>15</x:v>
      </x:c>
      <x:c r="Q206" s="19" t="s">
        <x:v>96</x:v>
      </x:c>
      <x:c r="R206" s="18">
        <x:v>20956.060000000001</x:v>
      </x:c>
      <x:c r="S206" t="s">
        <x:v>76</x:v>
      </x:c>
      <x:c r="T206" s="19">
        <x:f t="shared" si="195"/>
        <x:v>20956.060000000001</x:v>
      </x:c>
      <x:c r="U206" s="20">
        <x:v>1.405</x:v>
      </x:c>
      <x:c r="V206" t="s">
        <x:v>77</x:v>
      </x:c>
      <x:c r="W206" s="19" t="s">
        <x:v>78</x:v>
      </x:c>
      <x:c r="X206" s="21" t="n">
        <x:f>2*U206*T206*10000/1000000000</x:f>
        <x:v>0.588865286</x:v>
      </x:c>
      <x:c r="Y206" s="21" t="n">
        <x:f>4.1*T206*10000/1000000</x:f>
        <x:v>859.19846</x:v>
      </x:c>
      <x:c r="Z206" s="21" t="n">
        <x:f>1.3*T206*10000/1000000</x:f>
        <x:v>272.4287800000001</x:v>
      </x:c>
      <x:c r="AA206" s="21" t="n">
        <x:f>0.03*T206*10000/1000000</x:f>
        <x:v>6.286818000000001</x:v>
      </x:c>
      <x:c r="AB206" s="21" t="n">
        <x:f>0.03*T206*10000/1000000</x:f>
        <x:v>6.286818000000001</x:v>
      </x:c>
      <x:c r="AC206" s="21"/>
      <x:c r="AD206" s="21"/>
      <x:c r="AE206" s="21" t="n">
        <x:f>0.02*T206*10000/1000000</x:f>
        <x:v>4.191212</x:v>
      </x:c>
      <x:c r="AF206" s="21"/>
      <x:c r="AG206" s="19" t="s">
        <x:v>78</x:v>
      </x:c>
      <x:c r="AH206" t="s">
        <x:v>78</x:v>
      </x:c>
      <x:c r="AI206" t="s">
        <x:v>78</x:v>
      </x:c>
      <x:c r="AJ206" s="19"/>
      <x:c r="AK206" s="19" t="s">
        <x:v>78</x:v>
      </x:c>
      <x:c r="AL206" t="s">
        <x:v>78</x:v>
      </x:c>
      <x:c r="AM206" s="19" t="s">
        <x:v>78</x:v>
      </x:c>
      <x:c r="AN206" s="21"/>
      <x:c r="AO206" s="21"/>
      <x:c r="AP206" s="21"/>
      <x:c r="AQ206" s="21"/>
      <x:c r="AR206" s="21"/>
      <x:c r="AS206" s="21"/>
      <x:c r="AT206" s="21"/>
      <x:c r="AU206" s="21"/>
      <x:c r="AV206" s="21"/>
      <x:c r="AW206" t="s">
        <x:v>78</x:v>
      </x:c>
      <x:c r="AX206" s="19"/>
      <x:c r="AY206" s="21"/>
      <x:c r="AZ206" s="21"/>
      <x:c r="BA206" s="21"/>
      <x:c r="BB206" s="21"/>
      <x:c r="BC206" s="21"/>
      <x:c r="BD206" s="21"/>
      <x:c r="BE206" s="21"/>
      <x:c r="BF206" s="21"/>
      <x:c r="BG206" s="21"/>
      <x:c r="BH206" t="s">
        <x:v>81</x:v>
      </x:c>
      <x:c r="BI206" s="18">
        <x:v>113</x:v>
      </x:c>
      <x:c r="BJ206" s="18">
        <x:v>3</x:v>
      </x:c>
      <x:c r="BK206" s="18">
        <x:v>3</x:v>
      </x:c>
      <x:c r="BL206" s="18">
        <x:v>22</x:v>
      </x:c>
      <x:c r="BM206" s="18">
        <x:v>15</x:v>
      </x:c>
      <x:c r="BN206" s="18">
        <x:v>0</x:v>
      </x:c>
      <x:c r="BO206" s="22">
        <x:v>113.050833333333</x:v>
      </x:c>
      <x:c r="BP206" s="22">
        <x:v>22.25</x:v>
      </x:c>
      <x:c r="BQ206" s="18">
        <x:v>80</x:v>
      </x:c>
      <x:c r="BR206" s="18">
        <x:v>444279.10200000001</x:v>
      </x:c>
      <x:c r="BS206" s="18">
        <x:v>0.93200000000000005</x:v>
      </x:c>
      <x:c r="BT206" s="18">
        <x:v>0.93200000000000005</x:v>
      </x:c>
      <x:c r="BU206" s="18">
        <x:v>172.197</x:v>
      </x:c>
      <x:c r="BV206" s="18">
        <x:v>172.197</x:v>
      </x:c>
      <x:c r="BW206" s="18">
        <x:v>0.222</x:v>
      </x:c>
      <x:c r="BX206" s="18">
        <x:v>0.222</x:v>
      </x:c>
      <x:c r="BY206" s="18">
        <x:v>35206.180999999997</x:v>
      </x:c>
      <x:c r="BZ206" s="18">
        <x:v>35206.180999999997</x:v>
      </x:c>
      <x:c r="CA206" s="23">
        <x:f t="shared" si="184"/>
        <x:v>0.58886528599999999</x:v>
      </x:c>
      <x:c r="CB206" s="23">
        <x:f t="shared" si="185"/>
        <x:v>859.19845999999995</x:v>
      </x:c>
      <x:c r="CC206" s="23">
        <x:f t="shared" si="186"/>
        <x:v>272.42878000000007</x:v>
      </x:c>
      <x:c r="CD206" s="23">
        <x:f t="shared" si="187"/>
        <x:v>6.2868180000000011</x:v>
      </x:c>
      <x:c r="CE206" s="23">
        <x:f t="shared" si="188"/>
        <x:v>6.2868180000000011</x:v>
      </x:c>
      <x:c r="CF206" s="23">
        <x:f t="shared" si="189"/>
        <x:v>0</x:v>
      </x:c>
      <x:c r="CG206" s="23">
        <x:f t="shared" si="190"/>
        <x:v>0</x:v>
      </x:c>
      <x:c r="CH206" s="23">
        <x:f t="shared" si="191"/>
        <x:v>4.1912120000000002</x:v>
      </x:c>
      <x:c r="CI206" s="23">
        <x:f t="shared" si="192"/>
        <x:v>0</x:v>
      </x:c>
      <x:c r="CJ206" s="24" t="s">
        <x:v>78</x:v>
      </x:c>
      <x:c r="CK206" s="25">
        <x:v>0</x:v>
      </x:c>
      <x:c r="CL206" s="26" t="s">
        <x:v>78</x:v>
      </x:c>
      <x:c r="CM206" s="26">
        <x:v>42</x:v>
      </x:c>
      <x:c r="CN206" s="27" t="s">
        <x:v>78</x:v>
      </x:c>
      <x:c r="CO206" s="27">
        <x:v>0</x:v>
      </x:c>
      <x:c r="CP206" s="27">
        <x:v>0</x:v>
      </x:c>
      <x:c r="CQ206" s="26">
        <x:f t="shared" si="193"/>
        <x:v>0.58886528599999999</x:v>
      </x:c>
      <x:c r="CR206" s="26">
        <x:f t="shared" si="194"/>
        <x:v>498.33510680000006</x:v>
      </x:c>
      <x:c r="CS206" s="26">
        <x:f t="shared" si="202"/>
        <x:v>272.42878000000007</x:v>
      </x:c>
      <x:c r="CT206" s="26">
        <x:f t="shared" si="155"/>
        <x:v>6.2868180000000011</x:v>
      </x:c>
      <x:c r="CU206" s="26">
        <x:f t="shared" si="156"/>
        <x:v>6.2868180000000011</x:v>
      </x:c>
      <x:c r="CV206" s="26">
        <x:f t="shared" si="157"/>
        <x:v>0</x:v>
      </x:c>
      <x:c r="CW206" s="26">
        <x:f t="shared" si="158"/>
        <x:v>0</x:v>
      </x:c>
      <x:c r="CX206" s="26">
        <x:f t="shared" si="203"/>
        <x:v>4.1912120000000002</x:v>
      </x:c>
      <x:c r="CY206" s="26">
        <x:f t="shared" si="204"/>
        <x:v>0</x:v>
      </x:c>
    </x:row>
    <x:row r="207">
      <x:c r="A207" s="18">
        <x:v>2022</x:v>
      </x:c>
      <x:c r="B207" t="s">
        <x:v>462</x:v>
      </x:c>
      <x:c r="C207" t="s">
        <x:v>463</x:v>
      </x:c>
      <x:c r="D207" t="s">
        <x:v>464</x:v>
      </x:c>
      <x:c r="E207" s="18">
        <x:v>440705</x:v>
      </x:c>
      <x:c r="F207" t="s">
        <x:v>439</x:v>
      </x:c>
      <x:c r="G207" t="s">
        <x:v>430</x:v>
      </x:c>
      <x:c r="H207" s="18">
        <x:v>4411</x:v>
      </x:c>
      <x:c r="I207" t="s">
        <x:v>102</x:v>
      </x:c>
      <x:c r="J207" t="s">
        <x:v>78</x:v>
      </x:c>
      <x:c r="K207" t="s">
        <x:v>72</x:v>
      </x:c>
      <x:c r="L207" s="18">
        <x:v>45.3</x:v>
      </x:c>
      <x:c r="M207" t="s">
        <x:v>73</x:v>
      </x:c>
      <x:c r="N207" s="18">
        <x:v>404.73</x:v>
      </x:c>
      <x:c r="O207" t="s">
        <x:v>88</x:v>
      </x:c>
      <x:c r="P207" s="18">
        <x:v>15</x:v>
      </x:c>
      <x:c r="Q207" s="19" t="s">
        <x:v>96</x:v>
      </x:c>
      <x:c r="R207" s="18">
        <x:v>23629.584999999999</x:v>
      </x:c>
      <x:c r="S207" t="s">
        <x:v>76</x:v>
      </x:c>
      <x:c r="T207" s="19">
        <x:f t="shared" si="195"/>
        <x:v>23629.584999999999</x:v>
      </x:c>
      <x:c r="U207" s="20">
        <x:v>1.405</x:v>
      </x:c>
      <x:c r="V207" t="s">
        <x:v>77</x:v>
      </x:c>
      <x:c r="W207" s="19" t="s">
        <x:v>78</x:v>
      </x:c>
      <x:c r="X207" s="21" t="n">
        <x:f>2*U207*T207*10000/1000000000</x:f>
        <x:v>0.6639913385</x:v>
      </x:c>
      <x:c r="Y207" s="21" t="n">
        <x:f>4.1*T207*10000/1000000</x:f>
        <x:v>968.8129849999999</x:v>
      </x:c>
      <x:c r="Z207" s="21" t="n">
        <x:f>1.3*T207*10000/1000000</x:f>
        <x:v>307.184605</x:v>
      </x:c>
      <x:c r="AA207" s="21" t="n">
        <x:f>0.03*T207*10000/1000000</x:f>
        <x:v>7.088875499999999</x:v>
      </x:c>
      <x:c r="AB207" s="21" t="n">
        <x:f>0.03*T207*10000/1000000</x:f>
        <x:v>7.088875499999999</x:v>
      </x:c>
      <x:c r="AC207" s="21"/>
      <x:c r="AD207" s="21"/>
      <x:c r="AE207" s="21" t="n">
        <x:f>0.02*T207*10000/1000000</x:f>
        <x:v>4.725917</x:v>
      </x:c>
      <x:c r="AF207" s="21"/>
      <x:c r="AG207" s="19" t="s">
        <x:v>78</x:v>
      </x:c>
      <x:c r="AH207" t="s">
        <x:v>78</x:v>
      </x:c>
      <x:c r="AI207" t="s">
        <x:v>78</x:v>
      </x:c>
      <x:c r="AJ207" s="19"/>
      <x:c r="AK207" s="19" t="s">
        <x:v>78</x:v>
      </x:c>
      <x:c r="AL207" t="s">
        <x:v>78</x:v>
      </x:c>
      <x:c r="AM207" s="19" t="s">
        <x:v>78</x:v>
      </x:c>
      <x:c r="AN207" s="21"/>
      <x:c r="AO207" s="21"/>
      <x:c r="AP207" s="21"/>
      <x:c r="AQ207" s="21"/>
      <x:c r="AR207" s="21"/>
      <x:c r="AS207" s="21"/>
      <x:c r="AT207" s="21"/>
      <x:c r="AU207" s="21"/>
      <x:c r="AV207" s="21"/>
      <x:c r="AW207" t="s">
        <x:v>78</x:v>
      </x:c>
      <x:c r="AX207" s="19"/>
      <x:c r="AY207" s="21"/>
      <x:c r="AZ207" s="21"/>
      <x:c r="BA207" s="21"/>
      <x:c r="BB207" s="21"/>
      <x:c r="BC207" s="21"/>
      <x:c r="BD207" s="21"/>
      <x:c r="BE207" s="21"/>
      <x:c r="BF207" s="21"/>
      <x:c r="BG207" s="21"/>
      <x:c r="BH207" t="s">
        <x:v>79</x:v>
      </x:c>
      <x:c r="BI207" s="18">
        <x:v>113</x:v>
      </x:c>
      <x:c r="BJ207" s="18">
        <x:v>3</x:v>
      </x:c>
      <x:c r="BK207" s="18">
        <x:v>3</x:v>
      </x:c>
      <x:c r="BL207" s="18">
        <x:v>22</x:v>
      </x:c>
      <x:c r="BM207" s="18">
        <x:v>15</x:v>
      </x:c>
      <x:c r="BN207" s="18">
        <x:v>0</x:v>
      </x:c>
      <x:c r="BO207" s="22">
        <x:v>113.050833333333</x:v>
      </x:c>
      <x:c r="BP207" s="22">
        <x:v>22.25</x:v>
      </x:c>
      <x:c r="BQ207" s="18">
        <x:v>80</x:v>
      </x:c>
      <x:c r="BR207" s="18">
        <x:v>377184.103</x:v>
      </x:c>
      <x:c r="BS207" s="18">
        <x:v>0.69</x:v>
      </x:c>
      <x:c r="BT207" s="18">
        <x:v>0.69</x:v>
      </x:c>
      <x:c r="BU207" s="18">
        <x:v>130.01499999999999</x:v>
      </x:c>
      <x:c r="BV207" s="18">
        <x:v>130.01499999999999</x:v>
      </x:c>
      <x:c r="BW207" s="18">
        <x:v>0.28599999999999998</x:v>
      </x:c>
      <x:c r="BX207" s="18">
        <x:v>0.28599999999999998</x:v>
      </x:c>
      <x:c r="BY207" s="18">
        <x:v>39697.703000000001</x:v>
      </x:c>
      <x:c r="BZ207" s="18">
        <x:v>39697.703000000001</x:v>
      </x:c>
      <x:c r="CA207" s="23">
        <x:f t="shared" si="184"/>
        <x:v>0.66399133850000003</x:v>
      </x:c>
      <x:c r="CB207" s="23">
        <x:f t="shared" si="185"/>
        <x:v>968.81298499999991</x:v>
      </x:c>
      <x:c r="CC207" s="23">
        <x:f t="shared" si="186"/>
        <x:v>307.18460499999998</x:v>
      </x:c>
      <x:c r="CD207" s="23">
        <x:f t="shared" si="187"/>
        <x:v>7.0888754999999994</x:v>
      </x:c>
      <x:c r="CE207" s="23">
        <x:f t="shared" si="188"/>
        <x:v>7.0888754999999994</x:v>
      </x:c>
      <x:c r="CF207" s="23">
        <x:f t="shared" si="189"/>
        <x:v>0</x:v>
      </x:c>
      <x:c r="CG207" s="23">
        <x:f t="shared" si="190"/>
        <x:v>0</x:v>
      </x:c>
      <x:c r="CH207" s="23">
        <x:f t="shared" si="191"/>
        <x:v>4.7259169999999999</x:v>
      </x:c>
      <x:c r="CI207" s="23">
        <x:f t="shared" si="192"/>
        <x:v>0</x:v>
      </x:c>
      <x:c r="CJ207" s="24" t="s">
        <x:v>78</x:v>
      </x:c>
      <x:c r="CK207" s="25">
        <x:v>0</x:v>
      </x:c>
      <x:c r="CL207" s="26" t="s">
        <x:v>78</x:v>
      </x:c>
      <x:c r="CM207" s="26">
        <x:v>42</x:v>
      </x:c>
      <x:c r="CN207" s="27" t="s">
        <x:v>78</x:v>
      </x:c>
      <x:c r="CO207" s="27">
        <x:v>0</x:v>
      </x:c>
      <x:c r="CP207" s="27">
        <x:v>0</x:v>
      </x:c>
      <x:c r="CQ207" s="26">
        <x:f t="shared" si="193"/>
        <x:v>0.66399133850000003</x:v>
      </x:c>
      <x:c r="CR207" s="26">
        <x:f t="shared" si="194"/>
        <x:v>561.91153129999998</x:v>
      </x:c>
      <x:c r="CS207" s="26">
        <x:f t="shared" si="202"/>
        <x:v>307.18460499999998</x:v>
      </x:c>
      <x:c r="CT207" s="26">
        <x:f t="shared" si="155"/>
        <x:v>7.0888754999999994</x:v>
      </x:c>
      <x:c r="CU207" s="26">
        <x:f t="shared" si="156"/>
        <x:v>7.0888754999999994</x:v>
      </x:c>
      <x:c r="CV207" s="26">
        <x:f t="shared" si="157"/>
        <x:v>0</x:v>
      </x:c>
      <x:c r="CW207" s="26">
        <x:f t="shared" si="158"/>
        <x:v>0</x:v>
      </x:c>
      <x:c r="CX207" s="26">
        <x:f t="shared" si="203"/>
        <x:v>4.7259169999999999</x:v>
      </x:c>
      <x:c r="CY207" s="26">
        <x:f t="shared" si="204"/>
        <x:v>0</x:v>
      </x:c>
    </x:row>
    <x:row r="208">
      <x:c r="A208" s="18">
        <x:v>2022</x:v>
      </x:c>
      <x:c r="B208" t="s">
        <x:v>465</x:v>
      </x:c>
      <x:c r="C208" t="s">
        <x:v>466</x:v>
      </x:c>
      <x:c r="D208" t="s">
        <x:v>467</x:v>
      </x:c>
      <x:c r="E208" s="18">
        <x:v>440705</x:v>
      </x:c>
      <x:c r="F208" t="s">
        <x:v>439</x:v>
      </x:c>
      <x:c r="G208" t="s">
        <x:v>430</x:v>
      </x:c>
      <x:c r="H208" s="18">
        <x:v>2221</x:v>
      </x:c>
      <x:c r="I208" t="s">
        <x:v>158</x:v>
      </x:c>
      <x:c r="J208" t="s">
        <x:v>78</x:v>
      </x:c>
      <x:c r="K208" t="s">
        <x:v>109</x:v>
      </x:c>
      <x:c r="L208" s="20">
        <x:v>0.7</x:v>
      </x:c>
      <x:c r="M208" t="s">
        <x:v>125</x:v>
      </x:c>
      <x:c r="N208" s="18">
        <x:v>35</x:v>
      </x:c>
      <x:c r="O208" t="s">
        <x:v>88</x:v>
      </x:c>
      <x:c r="P208" s="18">
        <x:v>5</x:v>
      </x:c>
      <x:c r="Q208" s="19" t="s">
        <x:v>238</x:v>
      </x:c>
      <x:c r="R208" s="18">
        <x:v>80856</x:v>
      </x:c>
      <x:c r="S208" t="s">
        <x:v>112</x:v>
      </x:c>
      <x:c r="T208" s="19" t="n">
        <x:f t="shared" ref="T208:T234" si="206">R208</x:f>
        <x:v>80856</x:v>
      </x:c>
      <x:c r="U208" s="20">
        <x:v>0.20499999999999999</x:v>
      </x:c>
      <x:c r="V208" t="s">
        <x:v>113</x:v>
      </x:c>
      <x:c r="W208" s="20">
        <x:v>6.99</x:v>
      </x:c>
      <x:c r="X208" s="21" t="n">
        <x:f t="shared" ref="X208:X232" si="207">2*U208/100*(1-0.15)*T208</x:f>
        <x:v>281.78315999999995</x:v>
      </x:c>
      <x:c r="Y208" s="21" t="n">
        <x:f>8.96*T208/1000</x:f>
        <x:v>724.4697600000002</x:v>
      </x:c>
      <x:c r="Z208" s="21" t="n">
        <x:f t="shared" ref="Z208:Z232" si="208">2*T208/1000</x:f>
        <x:v>161.712</x:v>
      </x:c>
      <x:c r="AA208" s="21" t="n">
        <x:f>W208/100*(1-0.44)*0.29*T208</x:f>
        <x:v>917.8579065600001</x:v>
      </x:c>
      <x:c r="AB208" s="21" t="n">
        <x:f>W208/100*(1-0.44)*0.07*T208</x:f>
        <x:v>221.55190848000007</x:v>
      </x:c>
      <x:c r="AC208" s="21" t="n">
        <x:f t="shared" ref="AC208:AC210" si="209">0.002*AB208</x:f>
        <x:v>0.4431038169600001</x:v>
      </x:c>
      <x:c r="AD208" s="21"/>
      <x:c r="AE208" s="21" t="n">
        <x:f t="shared" ref="AE208:AE232" si="210">0.04*T208/1000</x:f>
        <x:v>3.2342400000000002</x:v>
      </x:c>
      <x:c r="AF208" s="21"/>
      <x:c r="AG208" s="19" t="s">
        <x:v>78</x:v>
      </x:c>
      <x:c r="AH208" t="s">
        <x:v>78</x:v>
      </x:c>
      <x:c r="AI208" t="s">
        <x:v>78</x:v>
      </x:c>
      <x:c r="AJ208" s="19"/>
      <x:c r="AK208" s="19" t="s">
        <x:v>78</x:v>
      </x:c>
      <x:c r="AL208" t="s">
        <x:v>78</x:v>
      </x:c>
      <x:c r="AM208" s="19" t="s">
        <x:v>78</x:v>
      </x:c>
      <x:c r="AN208" s="21"/>
      <x:c r="AO208" s="21"/>
      <x:c r="AP208" s="21"/>
      <x:c r="AQ208" s="21"/>
      <x:c r="AR208" s="21"/>
      <x:c r="AS208" s="21"/>
      <x:c r="AT208" s="21"/>
      <x:c r="AU208" s="21"/>
      <x:c r="AV208" s="21"/>
      <x:c r="AW208" t="s">
        <x:v>78</x:v>
      </x:c>
      <x:c r="AX208" s="19"/>
      <x:c r="AY208" s="21"/>
      <x:c r="AZ208" s="21"/>
      <x:c r="BA208" s="21"/>
      <x:c r="BB208" s="21"/>
      <x:c r="BC208" s="21"/>
      <x:c r="BD208" s="21"/>
      <x:c r="BE208" s="21"/>
      <x:c r="BF208" s="21"/>
      <x:c r="BG208" s="21"/>
      <x:c r="BH208" t="s">
        <x:v>81</x:v>
      </x:c>
      <x:c r="BI208" s="18">
        <x:v>113</x:v>
      </x:c>
      <x:c r="BJ208" s="18">
        <x:v>3</x:v>
      </x:c>
      <x:c r="BK208" s="18">
        <x:v>40</x:v>
      </x:c>
      <x:c r="BL208" s="18">
        <x:v>22</x:v>
      </x:c>
      <x:c r="BM208" s="18">
        <x:v>20</x:v>
      </x:c>
      <x:c r="BN208" s="18">
        <x:v>21</x:v>
      </x:c>
      <x:c r="BO208" s="22">
        <x:v>113.061111111111</x:v>
      </x:c>
      <x:c r="BP208" s="22">
        <x:v>22.339166666666699</x:v>
      </x:c>
      <x:c r="BQ208" s="18">
        <x:v>60</x:v>
      </x:c>
      <x:c r="BR208" s="18">
        <x:v>74724.267000000007</x:v>
      </x:c>
      <x:c r="BS208" s="18">
        <x:v>363.85399999999998</x:v>
      </x:c>
      <x:c r="BT208" s="18">
        <x:v>7.0129999999999999</x:v>
      </x:c>
      <x:c r="BU208" s="18">
        <x:v>266.01799999999997</x:v>
      </x:c>
      <x:c r="BV208" s="18">
        <x:v>30.922000000000001</x:v>
      </x:c>
      <x:c r="BW208" s="18">
        <x:v>2616.8139999999999</x:v>
      </x:c>
      <x:c r="BX208" s="18">
        <x:v>5.3879999999999999</x:v>
      </x:c>
      <x:c r="BY208" s="18">
        <x:v>654.125</x:v>
      </x:c>
      <x:c r="BZ208" s="18">
        <x:v>654.125</x:v>
      </x:c>
      <x:c r="CA208" s="23">
        <x:f t="shared" si="184"/>
        <x:v>281.78315999999995</x:v>
      </x:c>
      <x:c r="CB208" s="23">
        <x:f t="shared" si="185"/>
        <x:v>724.46976000000018</x:v>
      </x:c>
      <x:c r="CC208" s="23">
        <x:f t="shared" si="186"/>
        <x:v>161.71199999999999</x:v>
      </x:c>
      <x:c r="CD208" s="23">
        <x:f t="shared" si="187"/>
        <x:v>917.85790656000006</x:v>
      </x:c>
      <x:c r="CE208" s="23">
        <x:f t="shared" si="188"/>
        <x:v>221.55190848000007</x:v>
      </x:c>
      <x:c r="CF208" s="23">
        <x:f t="shared" si="189"/>
        <x:v>0.44310381696000012</x:v>
      </x:c>
      <x:c r="CG208" s="23">
        <x:f t="shared" si="190"/>
        <x:v>0</x:v>
      </x:c>
      <x:c r="CH208" s="23">
        <x:f t="shared" si="191"/>
        <x:v>3.2342400000000002</x:v>
      </x:c>
      <x:c r="CI208" s="23">
        <x:f t="shared" si="192"/>
        <x:v>0</x:v>
      </x:c>
      <x:c r="CJ208" s="24" t="s">
        <x:v>356</x:v>
      </x:c>
      <x:c r="CK208" s="29">
        <x:v>93.69</x:v>
      </x:c>
      <x:c r="CL208" s="26" t="s">
        <x:v>97</x:v>
      </x:c>
      <x:c r="CM208" s="28">
        <x:v>75</x:v>
      </x:c>
      <x:c r="CN208" s="30" t="s">
        <x:v>168</x:v>
      </x:c>
      <x:c r="CO208" s="27">
        <x:v>99.4</x:v>
      </x:c>
      <x:c r="CP208" s="27">
        <x:v>98.3</x:v>
      </x:c>
      <x:c r="CQ208" s="26">
        <x:f t="shared" si="193"/>
        <x:v>17.780517396000011</x:v>
      </x:c>
      <x:c r="CR208" s="26">
        <x:f t="shared" si="194"/>
        <x:v>181.11744000000004</x:v>
      </x:c>
      <x:c r="CS208" s="26">
        <x:f t="shared" si="202"/>
        <x:v>161.71199999999999</x:v>
      </x:c>
      <x:c r="CT208" s="26">
        <x:f t="shared" si="155"/>
        <x:v>5.5071474393599029</x:v>
      </x:c>
      <x:c r="CU208" s="26">
        <x:f t="shared" si="156"/>
        <x:v>3.7663824441600045</x:v>
      </x:c>
      <x:c r="CV208" s="26">
        <x:f t="shared" si="157"/>
        <x:v>7.5327648883200087E-3</x:v>
      </x:c>
      <x:c r="CW208" s="26">
        <x:f t="shared" si="158"/>
        <x:v>0</x:v>
      </x:c>
      <x:c r="CX208" s="26">
        <x:f t="shared" si="203"/>
        <x:v>3.2342400000000002</x:v>
      </x:c>
      <x:c r="CY208" s="26">
        <x:f t="shared" si="204"/>
        <x:v>0</x:v>
      </x:c>
    </x:row>
    <x:row r="209">
      <x:c r="A209" s="18">
        <x:v>2022</x:v>
      </x:c>
      <x:c r="B209" t="s">
        <x:v>468</x:v>
      </x:c>
      <x:c r="C209" t="s">
        <x:v>469</x:v>
      </x:c>
      <x:c r="D209" t="s">
        <x:v>470</x:v>
      </x:c>
      <x:c r="E209" s="18">
        <x:v>440705</x:v>
      </x:c>
      <x:c r="F209" t="s">
        <x:v>439</x:v>
      </x:c>
      <x:c r="G209" t="s">
        <x:v>430</x:v>
      </x:c>
      <x:c r="H209" s="18">
        <x:v>4412</x:v>
      </x:c>
      <x:c r="I209" t="s">
        <x:v>108</x:v>
      </x:c>
      <x:c r="J209" t="s">
        <x:v>78</x:v>
      </x:c>
      <x:c r="K209" t="s">
        <x:v>109</x:v>
      </x:c>
      <x:c r="L209" s="20">
        <x:v>0.92</x:v>
      </x:c>
      <x:c r="M209" t="s">
        <x:v>125</x:v>
      </x:c>
      <x:c r="N209" s="18">
        <x:v>75</x:v>
      </x:c>
      <x:c r="O209" t="s">
        <x:v>88</x:v>
      </x:c>
      <x:c r="P209" s="18">
        <x:v>1</x:v>
      </x:c>
      <x:c r="Q209" s="19" t="s">
        <x:v>121</x:v>
      </x:c>
      <x:c r="R209" s="18">
        <x:v>21767.681</x:v>
      </x:c>
      <x:c r="S209" t="s">
        <x:v>112</x:v>
      </x:c>
      <x:c r="T209" s="19">
        <x:f t="shared" si="206"/>
        <x:v>21767.681</x:v>
      </x:c>
      <x:c r="U209" s="20">
        <x:v>0.62</x:v>
      </x:c>
      <x:c r="V209" t="s">
        <x:v>113</x:v>
      </x:c>
      <x:c r="W209" s="20">
        <x:v>16.98</x:v>
      </x:c>
      <x:c r="X209" s="21">
        <x:f t="shared" si="207"/>
        <x:v>229.43135773999998</x:v>
      </x:c>
      <x:c r="Y209" s="21" t="n">
        <x:f>8.96*T209/1000</x:f>
        <x:v>195.03842176000003</x:v>
      </x:c>
      <x:c r="Z209" s="21">
        <x:f t="shared" si="208"/>
        <x:v>43.535361999999999</x:v>
      </x:c>
      <x:c r="AA209" s="21" t="n">
        <x:f>W209/100*(1-0.44)*0.29*T209</x:f>
        <x:v>600.25512276912</x:v>
      </x:c>
      <x:c r="AB209" s="21" t="n">
        <x:f>W209/100*(1-0.44)*0.07*T209</x:f>
        <x:v>144.88916756496002</x:v>
      </x:c>
      <x:c r="AC209" s="21">
        <x:f t="shared" si="209"/>
        <x:v>0.28977833512992002</x:v>
      </x:c>
      <x:c r="AD209" s="21"/>
      <x:c r="AE209" s="21">
        <x:f t="shared" si="210"/>
        <x:v>0.8707072400000001</x:v>
      </x:c>
      <x:c r="AF209" s="21"/>
      <x:c r="AG209" s="19" t="s">
        <x:v>78</x:v>
      </x:c>
      <x:c r="AH209" t="s">
        <x:v>78</x:v>
      </x:c>
      <x:c r="AI209" t="s">
        <x:v>78</x:v>
      </x:c>
      <x:c r="AJ209" s="19"/>
      <x:c r="AK209" s="19" t="s">
        <x:v>78</x:v>
      </x:c>
      <x:c r="AL209" t="s">
        <x:v>78</x:v>
      </x:c>
      <x:c r="AM209" s="19" t="s">
        <x:v>78</x:v>
      </x:c>
      <x:c r="AN209" s="21"/>
      <x:c r="AO209" s="21"/>
      <x:c r="AP209" s="21"/>
      <x:c r="AQ209" s="21"/>
      <x:c r="AR209" s="21"/>
      <x:c r="AS209" s="21"/>
      <x:c r="AT209" s="21"/>
      <x:c r="AU209" s="21"/>
      <x:c r="AV209" s="21"/>
      <x:c r="AW209" t="s">
        <x:v>78</x:v>
      </x:c>
      <x:c r="AX209" s="19"/>
      <x:c r="AY209" s="21"/>
      <x:c r="AZ209" s="21"/>
      <x:c r="BA209" s="21"/>
      <x:c r="BB209" s="21"/>
      <x:c r="BC209" s="21"/>
      <x:c r="BD209" s="21"/>
      <x:c r="BE209" s="21"/>
      <x:c r="BF209" s="21"/>
      <x:c r="BG209" s="21"/>
      <x:c r="BH209" t="s">
        <x:v>90</x:v>
      </x:c>
      <x:c r="BI209" s="18">
        <x:v>113</x:v>
      </x:c>
      <x:c r="BJ209" s="18">
        <x:v>7</x:v>
      </x:c>
      <x:c r="BK209" s="18">
        <x:v>54.59</x:v>
      </x:c>
      <x:c r="BL209" s="18">
        <x:v>22</x:v>
      </x:c>
      <x:c r="BM209" s="18">
        <x:v>13</x:v>
      </x:c>
      <x:c r="BN209" s="18">
        <x:v>42.6</x:v>
      </x:c>
      <x:c r="BO209" s="22">
        <x:v>113.13183055555599</x:v>
      </x:c>
      <x:c r="BP209" s="22">
        <x:v>22.2285</x:v>
      </x:c>
      <x:c r="BQ209" s="18">
        <x:v>120</x:v>
      </x:c>
      <x:c r="BR209" s="18">
        <x:v>29818.73</x:v>
      </x:c>
      <x:c r="BS209" s="18">
        <x:v>62.8</x:v>
      </x:c>
      <x:c r="BT209" s="18">
        <x:v>2.1179999999999999</x:v>
      </x:c>
      <x:c r="BU209" s="18">
        <x:v>26.120999999999999</x:v>
      </x:c>
      <x:c r="BV209" s="18">
        <x:v>5.1260000000000003</x:v>
      </x:c>
      <x:c r="BW209" s="18">
        <x:v>2926.4470000000001</x:v>
      </x:c>
      <x:c r="BX209" s="18">
        <x:v>0.45500000000000002</x:v>
      </x:c>
      <x:c r="BY209" s="18">
        <x:v>296.04000000000002</x:v>
      </x:c>
      <x:c r="BZ209" s="18">
        <x:v>296.04000000000002</x:v>
      </x:c>
      <x:c r="CA209" s="23">
        <x:f t="shared" si="184"/>
        <x:v>229.43135773999998</x:v>
      </x:c>
      <x:c r="CB209" s="23">
        <x:f t="shared" si="185"/>
        <x:v>195.03842176000003</x:v>
      </x:c>
      <x:c r="CC209" s="23">
        <x:f t="shared" si="186"/>
        <x:v>43.535361999999999</x:v>
      </x:c>
      <x:c r="CD209" s="23">
        <x:f t="shared" si="187"/>
        <x:v>600.25512276912002</x:v>
      </x:c>
      <x:c r="CE209" s="23">
        <x:f t="shared" si="188"/>
        <x:v>144.88916756496002</x:v>
      </x:c>
      <x:c r="CF209" s="23">
        <x:f t="shared" si="189"/>
        <x:v>0.28977833512992002</x:v>
      </x:c>
      <x:c r="CG209" s="23">
        <x:f t="shared" si="190"/>
        <x:v>0</x:v>
      </x:c>
      <x:c r="CH209" s="23">
        <x:f t="shared" si="191"/>
        <x:v>0.8707072400000001</x:v>
      </x:c>
      <x:c r="CI209" s="23">
        <x:f t="shared" si="192"/>
        <x:v>0</x:v>
      </x:c>
      <x:c r="CJ209" s="24" t="s">
        <x:v>153</x:v>
      </x:c>
      <x:c r="CK209" s="29">
        <x:v>85.8</x:v>
      </x:c>
      <x:c r="CL209" s="26" t="s">
        <x:v>97</x:v>
      </x:c>
      <x:c r="CM209" s="28">
        <x:v>83</x:v>
      </x:c>
      <x:c r="CN209" s="30" t="s">
        <x:v>168</x:v>
      </x:c>
      <x:c r="CO209" s="27">
        <x:v>99.4</x:v>
      </x:c>
      <x:c r="CP209" s="27">
        <x:v>98.3</x:v>
      </x:c>
      <x:c r="CQ209" s="26">
        <x:f t="shared" si="193"/>
        <x:v>32.579252799080002</x:v>
      </x:c>
      <x:c r="CR209" s="26">
        <x:f t="shared" si="194"/>
        <x:v>33.156531699200016</x:v>
      </x:c>
      <x:c r="CS209" s="26">
        <x:f t="shared" si="202"/>
        <x:v>43.535361999999999</x:v>
      </x:c>
      <x:c r="CT209" s="26">
        <x:f t="shared" si="155"/>
        <x:v>3.6015307366146567</x:v>
      </x:c>
      <x:c r="CU209" s="26">
        <x:f t="shared" si="156"/>
        <x:v>2.4631158486043225</x:v>
      </x:c>
      <x:c r="CV209" s="26">
        <x:f t="shared" si="157"/>
        <x:v>4.9262316972086446E-3</x:v>
      </x:c>
      <x:c r="CW209" s="26">
        <x:f t="shared" si="158"/>
        <x:v>0</x:v>
      </x:c>
      <x:c r="CX209" s="26">
        <x:f t="shared" si="203"/>
        <x:v>0.8707072400000001</x:v>
      </x:c>
      <x:c r="CY209" s="26">
        <x:f t="shared" si="204"/>
        <x:v>0</x:v>
      </x:c>
    </x:row>
    <x:row r="210">
      <x:c r="A210" s="18">
        <x:v>2022</x:v>
      </x:c>
      <x:c r="B210" t="s">
        <x:v>468</x:v>
      </x:c>
      <x:c r="C210" t="s">
        <x:v>469</x:v>
      </x:c>
      <x:c r="D210" t="s">
        <x:v>470</x:v>
      </x:c>
      <x:c r="E210" s="18">
        <x:v>440705</x:v>
      </x:c>
      <x:c r="F210" t="s">
        <x:v>439</x:v>
      </x:c>
      <x:c r="G210" t="s">
        <x:v>430</x:v>
      </x:c>
      <x:c r="H210" s="18">
        <x:v>4412</x:v>
      </x:c>
      <x:c r="I210" t="s">
        <x:v>108</x:v>
      </x:c>
      <x:c r="J210" t="s">
        <x:v>78</x:v>
      </x:c>
      <x:c r="K210" t="s">
        <x:v>109</x:v>
      </x:c>
      <x:c r="L210" s="20">
        <x:v>0.92</x:v>
      </x:c>
      <x:c r="M210" t="s">
        <x:v>125</x:v>
      </x:c>
      <x:c r="N210" s="18">
        <x:v>75</x:v>
      </x:c>
      <x:c r="O210" t="s">
        <x:v>88</x:v>
      </x:c>
      <x:c r="P210" s="18">
        <x:v>1</x:v>
      </x:c>
      <x:c r="Q210" s="19" t="s">
        <x:v>121</x:v>
      </x:c>
      <x:c r="R210" s="18">
        <x:v>39857.769</x:v>
      </x:c>
      <x:c r="S210" t="s">
        <x:v>112</x:v>
      </x:c>
      <x:c r="T210" s="19">
        <x:f t="shared" si="206"/>
        <x:v>39857.769</x:v>
      </x:c>
      <x:c r="U210" s="20">
        <x:v>0.62</x:v>
      </x:c>
      <x:c r="V210" t="s">
        <x:v>113</x:v>
      </x:c>
      <x:c r="W210" s="20">
        <x:v>16.98</x:v>
      </x:c>
      <x:c r="X210" s="21">
        <x:f t="shared" si="207"/>
        <x:v>420.10088525999998</x:v>
      </x:c>
      <x:c r="Y210" s="21" t="n">
        <x:f>8.96*T210/1000</x:f>
        <x:v>357.12561024</x:v>
      </x:c>
      <x:c r="Z210" s="21">
        <x:f t="shared" si="208"/>
        <x:v>79.715537999999995</x:v>
      </x:c>
      <x:c r="AA210" s="21" t="n">
        <x:f>W210/100*(1-0.44)*0.29*T210</x:f>
        <x:v>1099.09870621488</x:v>
      </x:c>
      <x:c r="AB210" s="21" t="n">
        <x:f>W210/100*(1-0.44)*0.07*T210</x:f>
        <x:v>265.29968770704005</x:v>
      </x:c>
      <x:c r="AC210" s="21">
        <x:f t="shared" si="209"/>
        <x:v>0.53059937541408009</x:v>
      </x:c>
      <x:c r="AD210" s="21"/>
      <x:c r="AE210" s="21">
        <x:f t="shared" si="210"/>
        <x:v>1.5943107600000002</x:v>
      </x:c>
      <x:c r="AF210" s="21"/>
      <x:c r="AG210" s="19" t="s">
        <x:v>78</x:v>
      </x:c>
      <x:c r="AH210" t="s">
        <x:v>78</x:v>
      </x:c>
      <x:c r="AI210" t="s">
        <x:v>78</x:v>
      </x:c>
      <x:c r="AJ210" s="19"/>
      <x:c r="AK210" s="19" t="s">
        <x:v>78</x:v>
      </x:c>
      <x:c r="AL210" t="s">
        <x:v>78</x:v>
      </x:c>
      <x:c r="AM210" s="19" t="s">
        <x:v>78</x:v>
      </x:c>
      <x:c r="AN210" s="21"/>
      <x:c r="AO210" s="21"/>
      <x:c r="AP210" s="21"/>
      <x:c r="AQ210" s="21"/>
      <x:c r="AR210" s="21"/>
      <x:c r="AS210" s="21"/>
      <x:c r="AT210" s="21"/>
      <x:c r="AU210" s="21"/>
      <x:c r="AV210" s="21"/>
      <x:c r="AW210" t="s">
        <x:v>78</x:v>
      </x:c>
      <x:c r="AX210" s="19"/>
      <x:c r="AY210" s="21"/>
      <x:c r="AZ210" s="21"/>
      <x:c r="BA210" s="21"/>
      <x:c r="BB210" s="21"/>
      <x:c r="BC210" s="21"/>
      <x:c r="BD210" s="21"/>
      <x:c r="BE210" s="21"/>
      <x:c r="BF210" s="21"/>
      <x:c r="BG210" s="21"/>
      <x:c r="BH210" t="s">
        <x:v>90</x:v>
      </x:c>
      <x:c r="BI210" s="18">
        <x:v>113</x:v>
      </x:c>
      <x:c r="BJ210" s="18">
        <x:v>7</x:v>
      </x:c>
      <x:c r="BK210" s="18">
        <x:v>54.59</x:v>
      </x:c>
      <x:c r="BL210" s="18">
        <x:v>22</x:v>
      </x:c>
      <x:c r="BM210" s="18">
        <x:v>13</x:v>
      </x:c>
      <x:c r="BN210" s="18">
        <x:v>42.6</x:v>
      </x:c>
      <x:c r="BO210" s="22">
        <x:v>113.13183055555599</x:v>
      </x:c>
      <x:c r="BP210" s="22">
        <x:v>22.2285</x:v>
      </x:c>
      <x:c r="BQ210" s="18">
        <x:v>120</x:v>
      </x:c>
      <x:c r="BR210" s="18">
        <x:v>55377.64</x:v>
      </x:c>
      <x:c r="BS210" s="18">
        <x:v>114.99</x:v>
      </x:c>
      <x:c r="BT210" s="18">
        <x:v>3.9340000000000002</x:v>
      </x:c>
      <x:c r="BU210" s="18">
        <x:v>47.829000000000001</x:v>
      </x:c>
      <x:c r="BV210" s="18">
        <x:v>9.5190000000000001</x:v>
      </x:c>
      <x:c r="BW210" s="18">
        <x:v>5358.4780000000001</x:v>
      </x:c>
      <x:c r="BX210" s="18">
        <x:v>0.84399999999999997</x:v>
      </x:c>
      <x:c r="BY210" s="18">
        <x:v>542.06600000000003</x:v>
      </x:c>
      <x:c r="BZ210" s="18">
        <x:v>542.06600000000003</x:v>
      </x:c>
      <x:c r="CA210" s="23">
        <x:f t="shared" si="184"/>
        <x:v>420.10088525999998</x:v>
      </x:c>
      <x:c r="CB210" s="23">
        <x:f t="shared" si="185"/>
        <x:v>357.12561024000001</x:v>
      </x:c>
      <x:c r="CC210" s="23">
        <x:f t="shared" si="186"/>
        <x:v>79.715537999999995</x:v>
      </x:c>
      <x:c r="CD210" s="23">
        <x:f t="shared" si="187"/>
        <x:v>1099.0987062148799</x:v>
      </x:c>
      <x:c r="CE210" s="23">
        <x:f t="shared" si="188"/>
        <x:v>265.29968770704005</x:v>
      </x:c>
      <x:c r="CF210" s="23">
        <x:f t="shared" si="189"/>
        <x:v>0.53059937541408009</x:v>
      </x:c>
      <x:c r="CG210" s="23">
        <x:f t="shared" si="190"/>
        <x:v>0</x:v>
      </x:c>
      <x:c r="CH210" s="23">
        <x:f t="shared" si="191"/>
        <x:v>1.5943107600000002</x:v>
      </x:c>
      <x:c r="CI210" s="23">
        <x:f t="shared" si="192"/>
        <x:v>0</x:v>
      </x:c>
      <x:c r="CJ210" s="24" t="s">
        <x:v>153</x:v>
      </x:c>
      <x:c r="CK210" s="29">
        <x:v>85.8</x:v>
      </x:c>
      <x:c r="CL210" s="26" t="s">
        <x:v>97</x:v>
      </x:c>
      <x:c r="CM210" s="28">
        <x:v>83</x:v>
      </x:c>
      <x:c r="CN210" s="30" t="s">
        <x:v>168</x:v>
      </x:c>
      <x:c r="CO210" s="27">
        <x:v>99.4</x:v>
      </x:c>
      <x:c r="CP210" s="27">
        <x:v>98.3</x:v>
      </x:c>
      <x:c r="CQ210" s="26">
        <x:f t="shared" si="193"/>
        <x:v>59.654325706920005</x:v>
      </x:c>
      <x:c r="CR210" s="26">
        <x:f t="shared" si="194"/>
        <x:v>60.711353740800014</x:v>
      </x:c>
      <x:c r="CS210" s="26">
        <x:f t="shared" si="202"/>
        <x:v>79.715537999999995</x:v>
      </x:c>
      <x:c r="CT210" s="26">
        <x:f t="shared" si="155"/>
        <x:v>6.5945922372891639</x:v>
      </x:c>
      <x:c r="CU210" s="26">
        <x:f t="shared" si="156"/>
        <x:v>4.5100946910196846</x:v>
      </x:c>
      <x:c r="CV210" s="26">
        <x:f t="shared" si="157"/>
        <x:v>9.0201893820393703E-3</x:v>
      </x:c>
      <x:c r="CW210" s="26">
        <x:f t="shared" si="158"/>
        <x:v>0</x:v>
      </x:c>
      <x:c r="CX210" s="26">
        <x:f t="shared" si="203"/>
        <x:v>1.5943107600000002</x:v>
      </x:c>
      <x:c r="CY210" s="26">
        <x:f t="shared" si="204"/>
        <x:v>0</x:v>
      </x:c>
    </x:row>
    <x:row r="211">
      <x:c r="A211" s="18">
        <x:v>2022</x:v>
      </x:c>
      <x:c r="B211" t="s">
        <x:v>471</x:v>
      </x:c>
      <x:c r="C211" t="s">
        <x:v>472</x:v>
      </x:c>
      <x:c r="D211" t="s">
        <x:v>473</x:v>
      </x:c>
      <x:c r="E211" s="18">
        <x:v>440781</x:v>
      </x:c>
      <x:c r="F211" t="s">
        <x:v>474</x:v>
      </x:c>
      <x:c r="G211" t="s">
        <x:v>430</x:v>
      </x:c>
      <x:c r="H211" s="18">
        <x:v>4411</x:v>
      </x:c>
      <x:c r="I211" t="s">
        <x:v>102</x:v>
      </x:c>
      <x:c r="J211" t="s">
        <x:v>475</x:v>
      </x:c>
      <x:c r="K211" t="s">
        <x:v>109</x:v>
      </x:c>
      <x:c r="L211" s="20">
        <x:v>63</x:v>
      </x:c>
      <x:c r="M211" t="s">
        <x:v>110</x:v>
      </x:c>
      <x:c r="N211" s="18">
        <x:v>2026</x:v>
      </x:c>
      <x:c r="O211" t="s">
        <x:v>88</x:v>
      </x:c>
      <x:c r="P211" s="18">
        <x:v>1</x:v>
      </x:c>
      <x:c r="Q211" s="19" t="s">
        <x:v>121</x:v>
      </x:c>
      <x:c r="R211" s="18">
        <x:v>1454017.63</x:v>
      </x:c>
      <x:c r="S211" t="s">
        <x:v>112</x:v>
      </x:c>
      <x:c r="T211" s="19">
        <x:f t="shared" si="206"/>
        <x:v>1454017.63</x:v>
      </x:c>
      <x:c r="U211" s="20">
        <x:v>0.45</x:v>
      </x:c>
      <x:c r="V211" t="s">
        <x:v>113</x:v>
      </x:c>
      <x:c r="W211" s="20">
        <x:v>14.28</x:v>
      </x:c>
      <x:c r="X211" s="21">
        <x:f t="shared" si="207"/>
        <x:v>11123.2348695</x:v>
      </x:c>
      <x:c r="Y211" s="21" t="n">
        <x:f t="shared" ref="Y211:Y217" si="211">7.21*T211/1000</x:f>
        <x:v>10483.467112299999</x:v>
      </x:c>
      <x:c r="Z211" s="21">
        <x:f t="shared" si="208"/>
        <x:v>2908.0352599999997</x:v>
      </x:c>
      <x:c r="AA211" s="21" t="n">
        <x:f t="shared" ref="AA211:AA217" si="212">W211/100*(1-0.25)*0.23*T211</x:f>
        <x:v>35816.81627978999</x:v>
      </x:c>
      <x:c r="AB211" s="21" t="n">
        <x:f t="shared" ref="AB211:AB217" si="213">W211/100*(1-0.25)*0.06*T211</x:f>
        <x:v>9343.517290379998</x:v>
      </x:c>
      <x:c r="AC211" s="21" t="n">
        <x:f t="shared" ref="AC211:AC219" si="214">0.002*AB211</x:f>
        <x:v>18.687034580759995</x:v>
      </x:c>
      <x:c r="AD211" s="21"/>
      <x:c r="AE211" s="21">
        <x:f t="shared" si="210"/>
        <x:v>58.160705199999995</x:v>
      </x:c>
      <x:c r="AF211" s="21"/>
      <x:c r="AG211" s="19" t="s">
        <x:v>78</x:v>
      </x:c>
      <x:c r="AH211" s="18">
        <x:v>0</x:v>
      </x:c>
      <x:c r="AI211" t="s">
        <x:v>78</x:v>
      </x:c>
      <x:c r="AJ211" s="19"/>
      <x:c r="AK211" s="20">
        <x:v>0</x:v>
      </x:c>
      <x:c r="AL211" t="s">
        <x:v>78</x:v>
      </x:c>
      <x:c r="AM211" s="20">
        <x:v>0</x:v>
      </x:c>
      <x:c r="AN211" s="21"/>
      <x:c r="AO211" s="21"/>
      <x:c r="AP211" s="21"/>
      <x:c r="AQ211" s="21"/>
      <x:c r="AR211" s="21"/>
      <x:c r="AS211" s="21"/>
      <x:c r="AT211" s="21"/>
      <x:c r="AU211" s="21"/>
      <x:c r="AV211" s="21"/>
      <x:c r="AW211" s="18">
        <x:v>0</x:v>
      </x:c>
      <x:c r="AX211" s="19"/>
      <x:c r="AY211" s="21"/>
      <x:c r="AZ211" s="21"/>
      <x:c r="BA211" s="21"/>
      <x:c r="BB211" s="21"/>
      <x:c r="BC211" s="21"/>
      <x:c r="BD211" s="21"/>
      <x:c r="BE211" s="21"/>
      <x:c r="BF211" s="21"/>
      <x:c r="BG211" s="21"/>
      <x:c r="BH211" t="s">
        <x:v>81</x:v>
      </x:c>
      <x:c r="BI211" s="18">
        <x:v>112</x:v>
      </x:c>
      <x:c r="BJ211" s="18">
        <x:v>55</x:v>
      </x:c>
      <x:c r="BK211" s="18">
        <x:v>0.05</x:v>
      </x:c>
      <x:c r="BL211" s="18">
        <x:v>21</x:v>
      </x:c>
      <x:c r="BM211" s="18">
        <x:v>51</x:v>
      </x:c>
      <x:c r="BN211" s="18">
        <x:v>55.37</x:v>
      </x:c>
      <x:c r="BO211" s="22">
        <x:v>112.916680555556</x:v>
      </x:c>
      <x:c r="BP211" s="22">
        <x:v>21.8653805555556</x:v>
      </x:c>
      <x:c r="BQ211" s="18">
        <x:v>240</x:v>
      </x:c>
      <x:c r="BR211" s="18">
        <x:v>1077493.7</x:v>
      </x:c>
      <x:c r="BS211" s="18">
        <x:v>11149.406999999999</x:v>
      </x:c>
      <x:c r="BT211" s="18">
        <x:v>101.46</x:v>
      </x:c>
      <x:c r="BU211" s="18">
        <x:v>3155.2179999999998</x:v>
      </x:c>
      <x:c r="BV211" s="18">
        <x:v>631.04399999999998</x:v>
      </x:c>
      <x:c r="BW211" s="18">
        <x:v>204589.005</x:v>
      </x:c>
      <x:c r="BX211" s="18">
        <x:v>40.923999999999999</x:v>
      </x:c>
      <x:c r="BY211" s="18">
        <x:v>10047.262000000001</x:v>
      </x:c>
      <x:c r="BZ211" s="18">
        <x:v>10047.262000000001</x:v>
      </x:c>
      <x:c r="CA211" s="23">
        <x:f t="shared" si="184"/>
        <x:v>11123.2348695</x:v>
      </x:c>
      <x:c r="CB211" s="23">
        <x:f t="shared" si="185"/>
        <x:v>10483.467112299999</x:v>
      </x:c>
      <x:c r="CC211" s="23">
        <x:f t="shared" si="186"/>
        <x:v>2908.0352599999997</x:v>
      </x:c>
      <x:c r="CD211" s="23">
        <x:f t="shared" si="187"/>
        <x:v>35816.816279789993</x:v>
      </x:c>
      <x:c r="CE211" s="23">
        <x:f t="shared" si="188"/>
        <x:v>9343.5172903799976</x:v>
      </x:c>
      <x:c r="CF211" s="23">
        <x:f t="shared" si="189"/>
        <x:v>18.687034580759995</x:v>
      </x:c>
      <x:c r="CG211" s="23">
        <x:f t="shared" si="190"/>
        <x:v>0</x:v>
      </x:c>
      <x:c r="CH211" s="23">
        <x:f t="shared" si="191"/>
        <x:v>58.160705199999995</x:v>
      </x:c>
      <x:c r="CI211" s="23">
        <x:f t="shared" si="192"/>
        <x:v>0</x:v>
      </x:c>
      <x:c r="CJ211" s="24" t="s">
        <x:v>202</x:v>
      </x:c>
      <x:c r="CK211" s="25">
        <x:v>97.18</x:v>
      </x:c>
      <x:c r="CL211" s="26" t="s">
        <x:v>123</x:v>
      </x:c>
      <x:c r="CM211" s="26">
        <x:v>92.06</x:v>
      </x:c>
      <x:c r="CN211" s="27" t="s">
        <x:v>233</x:v>
      </x:c>
      <x:c r="CO211" s="27">
        <x:v>99.4</x:v>
      </x:c>
      <x:c r="CP211" s="27">
        <x:v>98.3</x:v>
      </x:c>
      <x:c r="CQ211" s="26">
        <x:f t="shared" si="193"/>
        <x:v>313.67522331989881</x:v>
      </x:c>
      <x:c r="CR211" s="26">
        <x:f t="shared" si="194"/>
        <x:v>832.38728871662022</x:v>
      </x:c>
      <x:c r="CS211" s="26">
        <x:f t="shared" si="202"/>
        <x:v>2908.0352599999997</x:v>
      </x:c>
      <x:c r="CT211" s="26">
        <x:f t="shared" si="155"/>
        <x:v>214.90089767873619</x:v>
      </x:c>
      <x:c r="CU211" s="26">
        <x:f t="shared" si="156"/>
        <x:v>158.8397939364601</x:v>
      </x:c>
      <x:c r="CV211" s="26">
        <x:f t="shared" si="157"/>
        <x:v>0.31767958787292022</x:v>
      </x:c>
      <x:c r="CW211" s="26">
        <x:f t="shared" si="158"/>
        <x:v>0</x:v>
      </x:c>
      <x:c r="CX211" s="26">
        <x:f t="shared" si="203"/>
        <x:v>58.160705199999995</x:v>
      </x:c>
      <x:c r="CY211" s="26">
        <x:f t="shared" si="204"/>
        <x:v>0</x:v>
      </x:c>
    </x:row>
    <x:row r="212">
      <x:c r="A212" s="18">
        <x:v>2022</x:v>
      </x:c>
      <x:c r="B212" t="s">
        <x:v>471</x:v>
      </x:c>
      <x:c r="C212" t="s">
        <x:v>472</x:v>
      </x:c>
      <x:c r="D212" t="s">
        <x:v>473</x:v>
      </x:c>
      <x:c r="E212" s="18">
        <x:v>440781</x:v>
      </x:c>
      <x:c r="F212" t="s">
        <x:v>474</x:v>
      </x:c>
      <x:c r="G212" t="s">
        <x:v>430</x:v>
      </x:c>
      <x:c r="H212" s="18">
        <x:v>4411</x:v>
      </x:c>
      <x:c r="I212" t="s">
        <x:v>102</x:v>
      </x:c>
      <x:c r="J212" t="s">
        <x:v>475</x:v>
      </x:c>
      <x:c r="K212" t="s">
        <x:v>109</x:v>
      </x:c>
      <x:c r="L212" s="20">
        <x:v>60</x:v>
      </x:c>
      <x:c r="M212" t="s">
        <x:v>110</x:v>
      </x:c>
      <x:c r="N212" s="18">
        <x:v>2026</x:v>
      </x:c>
      <x:c r="O212" t="s">
        <x:v>88</x:v>
      </x:c>
      <x:c r="P212" s="18">
        <x:v>1</x:v>
      </x:c>
      <x:c r="Q212" s="19" t="s">
        <x:v>121</x:v>
      </x:c>
      <x:c r="R212" s="18">
        <x:v>1326970.8</x:v>
      </x:c>
      <x:c r="S212" t="s">
        <x:v>112</x:v>
      </x:c>
      <x:c r="T212" s="19">
        <x:f t="shared" si="206"/>
        <x:v>1326970.8</x:v>
      </x:c>
      <x:c r="U212" s="20">
        <x:v>0.45</x:v>
      </x:c>
      <x:c r="V212" t="s">
        <x:v>113</x:v>
      </x:c>
      <x:c r="W212" s="20">
        <x:v>14.28</x:v>
      </x:c>
      <x:c r="X212" s="21">
        <x:f t="shared" si="207"/>
        <x:v>10151.326620000002</x:v>
      </x:c>
      <x:c r="Y212" s="21">
        <x:f t="shared" si="211"/>
        <x:v>9567.4594680000009</x:v>
      </x:c>
      <x:c r="Z212" s="21">
        <x:f t="shared" si="208"/>
        <x:v>2653.9416000000001</x:v>
      </x:c>
      <x:c r="AA212" s="21">
        <x:f t="shared" si="212"/>
        <x:v>32687.271716399999</x:v>
      </x:c>
      <x:c r="AB212" s="21">
        <x:f t="shared" si="213"/>
        <x:v>8527.1143607999984</x:v>
      </x:c>
      <x:c r="AC212" s="21">
        <x:f t="shared" si="214"/>
        <x:v>17.054228721599998</x:v>
      </x:c>
      <x:c r="AD212" s="21"/>
      <x:c r="AE212" s="21">
        <x:f t="shared" si="210"/>
        <x:v>53.078832000000006</x:v>
      </x:c>
      <x:c r="AF212" s="21"/>
      <x:c r="AG212" s="19" t="s">
        <x:v>78</x:v>
      </x:c>
      <x:c r="AH212" s="18">
        <x:v>0</x:v>
      </x:c>
      <x:c r="AI212" t="s">
        <x:v>78</x:v>
      </x:c>
      <x:c r="AJ212" s="19"/>
      <x:c r="AK212" s="20">
        <x:v>0</x:v>
      </x:c>
      <x:c r="AL212" t="s">
        <x:v>78</x:v>
      </x:c>
      <x:c r="AM212" s="20">
        <x:v>0</x:v>
      </x:c>
      <x:c r="AN212" s="21"/>
      <x:c r="AO212" s="21"/>
      <x:c r="AP212" s="21"/>
      <x:c r="AQ212" s="21"/>
      <x:c r="AR212" s="21"/>
      <x:c r="AS212" s="21"/>
      <x:c r="AT212" s="21"/>
      <x:c r="AU212" s="21"/>
      <x:c r="AV212" s="21"/>
      <x:c r="AW212" s="18">
        <x:v>0</x:v>
      </x:c>
      <x:c r="AX212" s="19"/>
      <x:c r="AY212" s="21"/>
      <x:c r="AZ212" s="21"/>
      <x:c r="BA212" s="21"/>
      <x:c r="BB212" s="21"/>
      <x:c r="BC212" s="21"/>
      <x:c r="BD212" s="21"/>
      <x:c r="BE212" s="21"/>
      <x:c r="BF212" s="21"/>
      <x:c r="BG212" s="21"/>
      <x:c r="BH212" t="s">
        <x:v>81</x:v>
      </x:c>
      <x:c r="BI212" s="18">
        <x:v>112</x:v>
      </x:c>
      <x:c r="BJ212" s="18">
        <x:v>55</x:v>
      </x:c>
      <x:c r="BK212" s="18">
        <x:v>0.05</x:v>
      </x:c>
      <x:c r="BL212" s="18">
        <x:v>21</x:v>
      </x:c>
      <x:c r="BM212" s="18">
        <x:v>51</x:v>
      </x:c>
      <x:c r="BN212" s="18">
        <x:v>55.37</x:v>
      </x:c>
      <x:c r="BO212" s="22">
        <x:v>112.916680555556</x:v>
      </x:c>
      <x:c r="BP212" s="22">
        <x:v>21.8653805555556</x:v>
      </x:c>
      <x:c r="BQ212" s="18">
        <x:v>240</x:v>
      </x:c>
      <x:c r="BR212" s="18">
        <x:v>1006234</x:v>
      </x:c>
      <x:c r="BS212" s="18">
        <x:v>10175.212</x:v>
      </x:c>
      <x:c r="BT212" s="18">
        <x:v>92.593999999999994</x:v>
      </x:c>
      <x:c r="BU212" s="18">
        <x:v>2879.527</x:v>
      </x:c>
      <x:c r="BV212" s="18">
        <x:v>575.90499999999997</x:v>
      </x:c>
      <x:c r="BW212" s="18">
        <x:v>186712.753</x:v>
      </x:c>
      <x:c r="BX212" s="18">
        <x:v>37.348999999999997</x:v>
      </x:c>
      <x:c r="BY212" s="18">
        <x:v>9169.3680000000004</x:v>
      </x:c>
      <x:c r="BZ212" s="18">
        <x:v>9169.3680000000004</x:v>
      </x:c>
      <x:c r="CA212" s="23">
        <x:f t="shared" si="184"/>
        <x:v>10151.326620000002</x:v>
      </x:c>
      <x:c r="CB212" s="23">
        <x:f t="shared" si="185"/>
        <x:v>9567.4594680000009</x:v>
      </x:c>
      <x:c r="CC212" s="23">
        <x:f t="shared" si="186"/>
        <x:v>2653.9416000000001</x:v>
      </x:c>
      <x:c r="CD212" s="23">
        <x:f t="shared" si="187"/>
        <x:v>32687.271716399999</x:v>
      </x:c>
      <x:c r="CE212" s="23">
        <x:f t="shared" si="188"/>
        <x:v>8527.1143607999984</x:v>
      </x:c>
      <x:c r="CF212" s="23">
        <x:f t="shared" si="189"/>
        <x:v>17.054228721599998</x:v>
      </x:c>
      <x:c r="CG212" s="23">
        <x:f t="shared" si="190"/>
        <x:v>0</x:v>
      </x:c>
      <x:c r="CH212" s="23">
        <x:f t="shared" si="191"/>
        <x:v>53.078832000000006</x:v>
      </x:c>
      <x:c r="CI212" s="23">
        <x:f t="shared" si="192"/>
        <x:v>0</x:v>
      </x:c>
      <x:c r="CJ212" s="24" t="s">
        <x:v>202</x:v>
      </x:c>
      <x:c r="CK212" s="25">
        <x:v>96.65</x:v>
      </x:c>
      <x:c r="CL212" s="26" t="s">
        <x:v>123</x:v>
      </x:c>
      <x:c r="CM212" s="26">
        <x:v>83.69</x:v>
      </x:c>
      <x:c r="CN212" s="27" t="s">
        <x:v>233</x:v>
      </x:c>
      <x:c r="CO212" s="27">
        <x:v>99.4</x:v>
      </x:c>
      <x:c r="CP212" s="27">
        <x:v>98.3</x:v>
      </x:c>
      <x:c r="CQ212" s="26">
        <x:f t="shared" si="193"/>
        <x:v>340.0694417699998</x:v>
      </x:c>
      <x:c r="CR212" s="26">
        <x:f t="shared" si="194"/>
        <x:v>1560.4526392308003</x:v>
      </x:c>
      <x:c r="CS212" s="26">
        <x:f t="shared" si="202"/>
        <x:v>2653.9416000000001</x:v>
      </x:c>
      <x:c r="CT212" s="26">
        <x:f t="shared" si="155"/>
        <x:v>196.12363029839653</x:v>
      </x:c>
      <x:c r="CU212" s="26">
        <x:f t="shared" si="156"/>
        <x:v>144.96094413360009</x:v>
      </x:c>
      <x:c r="CV212" s="26">
        <x:f t="shared" si="157"/>
        <x:v>0.28992188826720022</x:v>
      </x:c>
      <x:c r="CW212" s="26">
        <x:f t="shared" si="158"/>
        <x:v>0</x:v>
      </x:c>
      <x:c r="CX212" s="26">
        <x:f t="shared" si="203"/>
        <x:v>53.078832000000006</x:v>
      </x:c>
      <x:c r="CY212" s="26">
        <x:f t="shared" si="204"/>
        <x:v>0</x:v>
      </x:c>
    </x:row>
    <x:row r="213">
      <x:c r="A213" s="18">
        <x:v>2022</x:v>
      </x:c>
      <x:c r="B213" t="s">
        <x:v>471</x:v>
      </x:c>
      <x:c r="C213" t="s">
        <x:v>472</x:v>
      </x:c>
      <x:c r="D213" t="s">
        <x:v>473</x:v>
      </x:c>
      <x:c r="E213" s="18">
        <x:v>440781</x:v>
      </x:c>
      <x:c r="F213" t="s">
        <x:v>474</x:v>
      </x:c>
      <x:c r="G213" t="s">
        <x:v>430</x:v>
      </x:c>
      <x:c r="H213" s="18">
        <x:v>4411</x:v>
      </x:c>
      <x:c r="I213" t="s">
        <x:v>102</x:v>
      </x:c>
      <x:c r="J213" t="s">
        <x:v>475</x:v>
      </x:c>
      <x:c r="K213" t="s">
        <x:v>109</x:v>
      </x:c>
      <x:c r="L213" s="20">
        <x:v>63</x:v>
      </x:c>
      <x:c r="M213" t="s">
        <x:v>110</x:v>
      </x:c>
      <x:c r="N213" s="18">
        <x:v>2028</x:v>
      </x:c>
      <x:c r="O213" t="s">
        <x:v>88</x:v>
      </x:c>
      <x:c r="P213" s="18">
        <x:v>1</x:v>
      </x:c>
      <x:c r="Q213" s="19" t="s">
        <x:v>121</x:v>
      </x:c>
      <x:c r="R213" s="18">
        <x:v>1488350.66</x:v>
      </x:c>
      <x:c r="S213" t="s">
        <x:v>112</x:v>
      </x:c>
      <x:c r="T213" s="19">
        <x:f t="shared" si="206"/>
        <x:v>1488350.66</x:v>
      </x:c>
      <x:c r="U213" s="20">
        <x:v>0.45</x:v>
      </x:c>
      <x:c r="V213" t="s">
        <x:v>113</x:v>
      </x:c>
      <x:c r="W213" s="20">
        <x:v>14.28</x:v>
      </x:c>
      <x:c r="X213" s="21">
        <x:f t="shared" si="207"/>
        <x:v>11385.882549</x:v>
      </x:c>
      <x:c r="Y213" s="21">
        <x:f t="shared" si="211"/>
        <x:v>10731.008258599999</x:v>
      </x:c>
      <x:c r="Z213" s="21">
        <x:f t="shared" si="208"/>
        <x:v>2976.7013199999997</x:v>
      </x:c>
      <x:c r="AA213" s="21">
        <x:f t="shared" si="212"/>
        <x:v>36662.541807779999</x:v>
      </x:c>
      <x:c r="AB213" s="21">
        <x:f t="shared" si="213"/>
        <x:v>9564.141341159997</x:v>
      </x:c>
      <x:c r="AC213" s="21">
        <x:f t="shared" si="214"/>
        <x:v>19.128282682319995</x:v>
      </x:c>
      <x:c r="AD213" s="21"/>
      <x:c r="AE213" s="21">
        <x:f t="shared" si="210"/>
        <x:v>59.534026399999995</x:v>
      </x:c>
      <x:c r="AF213" s="21"/>
      <x:c r="AG213" s="19" t="s">
        <x:v>78</x:v>
      </x:c>
      <x:c r="AH213" s="18">
        <x:v>0</x:v>
      </x:c>
      <x:c r="AI213" t="s">
        <x:v>78</x:v>
      </x:c>
      <x:c r="AJ213" s="19"/>
      <x:c r="AK213" s="20">
        <x:v>0</x:v>
      </x:c>
      <x:c r="AL213" t="s">
        <x:v>78</x:v>
      </x:c>
      <x:c r="AM213" s="20">
        <x:v>0</x:v>
      </x:c>
      <x:c r="AN213" s="21"/>
      <x:c r="AO213" s="21"/>
      <x:c r="AP213" s="21"/>
      <x:c r="AQ213" s="21"/>
      <x:c r="AR213" s="21"/>
      <x:c r="AS213" s="21"/>
      <x:c r="AT213" s="21"/>
      <x:c r="AU213" s="21"/>
      <x:c r="AV213" s="21"/>
      <x:c r="AW213" s="18">
        <x:v>0</x:v>
      </x:c>
      <x:c r="AX213" s="19"/>
      <x:c r="AY213" s="21"/>
      <x:c r="AZ213" s="21"/>
      <x:c r="BA213" s="21"/>
      <x:c r="BB213" s="21"/>
      <x:c r="BC213" s="21"/>
      <x:c r="BD213" s="21"/>
      <x:c r="BE213" s="21"/>
      <x:c r="BF213" s="21"/>
      <x:c r="BG213" s="21"/>
      <x:c r="BH213" t="s">
        <x:v>79</x:v>
      </x:c>
      <x:c r="BI213" s="18">
        <x:v>112</x:v>
      </x:c>
      <x:c r="BJ213" s="18">
        <x:v>55</x:v>
      </x:c>
      <x:c r="BK213" s="18">
        <x:v>5.0199999999999996</x:v>
      </x:c>
      <x:c r="BL213" s="18">
        <x:v>21</x:v>
      </x:c>
      <x:c r="BM213" s="18">
        <x:v>51</x:v>
      </x:c>
      <x:c r="BN213" s="18">
        <x:v>54.07</x:v>
      </x:c>
      <x:c r="BO213" s="22">
        <x:v>112.918061111111</x:v>
      </x:c>
      <x:c r="BP213" s="22">
        <x:v>21.8650194444444</x:v>
      </x:c>
      <x:c r="BQ213" s="18">
        <x:v>240</x:v>
      </x:c>
      <x:c r="BR213" s="18">
        <x:v>1106665.2</x:v>
      </x:c>
      <x:c r="BS213" s="18">
        <x:v>11412.673000000001</x:v>
      </x:c>
      <x:c r="BT213" s="18">
        <x:v>103.855</x:v>
      </x:c>
      <x:c r="BU213" s="18">
        <x:v>3229.721</x:v>
      </x:c>
      <x:c r="BV213" s="18">
        <x:v>645.94399999999996</x:v>
      </x:c>
      <x:c r="BW213" s="18">
        <x:v>209419.86799999999</x:v>
      </x:c>
      <x:c r="BX213" s="18">
        <x:v>41.890999999999998</x:v>
      </x:c>
      <x:c r="BY213" s="18">
        <x:v>10284.503000000001</x:v>
      </x:c>
      <x:c r="BZ213" s="18">
        <x:v>10284.503000000001</x:v>
      </x:c>
      <x:c r="CA213" s="23">
        <x:f t="shared" si="184"/>
        <x:v>11385.882549</x:v>
      </x:c>
      <x:c r="CB213" s="23">
        <x:f t="shared" si="185"/>
        <x:v>10731.008258599999</x:v>
      </x:c>
      <x:c r="CC213" s="23">
        <x:f t="shared" si="186"/>
        <x:v>2976.7013199999997</x:v>
      </x:c>
      <x:c r="CD213" s="23">
        <x:f t="shared" si="187"/>
        <x:v>36662.541807779999</x:v>
      </x:c>
      <x:c r="CE213" s="23">
        <x:f t="shared" si="188"/>
        <x:v>9564.141341159997</x:v>
      </x:c>
      <x:c r="CF213" s="23">
        <x:f t="shared" si="189"/>
        <x:v>19.128282682319995</x:v>
      </x:c>
      <x:c r="CG213" s="23">
        <x:f t="shared" si="190"/>
        <x:v>0</x:v>
      </x:c>
      <x:c r="CH213" s="23">
        <x:f t="shared" si="191"/>
        <x:v>59.534026399999995</x:v>
      </x:c>
      <x:c r="CI213" s="23">
        <x:f t="shared" si="192"/>
        <x:v>0</x:v>
      </x:c>
      <x:c r="CJ213" s="24" t="s">
        <x:v>202</x:v>
      </x:c>
      <x:c r="CK213" s="25">
        <x:v>97.91</x:v>
      </x:c>
      <x:c r="CL213" s="26" t="s">
        <x:v>123</x:v>
      </x:c>
      <x:c r="CM213" s="26">
        <x:v>81.709999999999994</x:v>
      </x:c>
      <x:c r="CN213" s="27" t="s">
        <x:v>233</x:v>
      </x:c>
      <x:c r="CO213" s="27">
        <x:v>99.4</x:v>
      </x:c>
      <x:c r="CP213" s="27">
        <x:v>98.3</x:v>
      </x:c>
      <x:c r="CQ213" s="26">
        <x:f t="shared" si="193"/>
        <x:v>237.96494527410033</x:v>
      </x:c>
      <x:c r="CR213" s="26">
        <x:f t="shared" si="194"/>
        <x:v>1962.7014104979405</x:v>
      </x:c>
      <x:c r="CS213" s="26">
        <x:f t="shared" si="202"/>
        <x:v>2976.7013199999997</x:v>
      </x:c>
      <x:c r="CT213" s="26">
        <x:f t="shared" si="155"/>
        <x:v>219.97525084667612</x:v>
      </x:c>
      <x:c r="CU213" s="26">
        <x:f t="shared" si="156"/>
        <x:v>162.5904027997201</x:v>
      </x:c>
      <x:c r="CV213" s="26">
        <x:f t="shared" si="157"/>
        <x:v>0.32518080559944018</x:v>
      </x:c>
      <x:c r="CW213" s="26">
        <x:f t="shared" si="158"/>
        <x:v>0</x:v>
      </x:c>
      <x:c r="CX213" s="26">
        <x:f t="shared" si="203"/>
        <x:v>59.534026399999995</x:v>
      </x:c>
      <x:c r="CY213" s="26">
        <x:f t="shared" si="204"/>
        <x:v>0</x:v>
      </x:c>
    </x:row>
    <x:row r="214">
      <x:c r="A214" s="18">
        <x:v>2022</x:v>
      </x:c>
      <x:c r="B214" t="s">
        <x:v>471</x:v>
      </x:c>
      <x:c r="C214" t="s">
        <x:v>472</x:v>
      </x:c>
      <x:c r="D214" t="s">
        <x:v>473</x:v>
      </x:c>
      <x:c r="E214" s="18">
        <x:v>440781</x:v>
      </x:c>
      <x:c r="F214" t="s">
        <x:v>474</x:v>
      </x:c>
      <x:c r="G214" t="s">
        <x:v>430</x:v>
      </x:c>
      <x:c r="H214" s="18">
        <x:v>4411</x:v>
      </x:c>
      <x:c r="I214" t="s">
        <x:v>102</x:v>
      </x:c>
      <x:c r="J214" t="s">
        <x:v>475</x:v>
      </x:c>
      <x:c r="K214" t="s">
        <x:v>109</x:v>
      </x:c>
      <x:c r="L214" s="20">
        <x:v>63</x:v>
      </x:c>
      <x:c r="M214" t="s">
        <x:v>110</x:v>
      </x:c>
      <x:c r="N214" s="18">
        <x:v>2028</x:v>
      </x:c>
      <x:c r="O214" t="s">
        <x:v>88</x:v>
      </x:c>
      <x:c r="P214" s="18">
        <x:v>1</x:v>
      </x:c>
      <x:c r="Q214" s="19" t="s">
        <x:v>121</x:v>
      </x:c>
      <x:c r="R214" s="18">
        <x:v>1342205.32</x:v>
      </x:c>
      <x:c r="S214" t="s">
        <x:v>112</x:v>
      </x:c>
      <x:c r="T214" s="19">
        <x:f t="shared" si="206"/>
        <x:v>1342205.32</x:v>
      </x:c>
      <x:c r="U214" s="20">
        <x:v>0.45</x:v>
      </x:c>
      <x:c r="V214" t="s">
        <x:v>113</x:v>
      </x:c>
      <x:c r="W214" s="20">
        <x:v>14.28</x:v>
      </x:c>
      <x:c r="X214" s="21">
        <x:f t="shared" si="207"/>
        <x:v>10267.870698000001</x:v>
      </x:c>
      <x:c r="Y214" s="21">
        <x:f t="shared" si="211"/>
        <x:v>9677.3003571999998</x:v>
      </x:c>
      <x:c r="Z214" s="21">
        <x:f t="shared" si="208"/>
        <x:v>2684.4106400000001</x:v>
      </x:c>
      <x:c r="AA214" s="21">
        <x:f t="shared" si="212"/>
        <x:v>33062.54364756</x:v>
      </x:c>
      <x:c r="AB214" s="21">
        <x:f t="shared" si="213"/>
        <x:v>8625.0113863199986</x:v>
      </x:c>
      <x:c r="AC214" s="21">
        <x:f t="shared" si="214"/>
        <x:v>17.250022772639998</x:v>
      </x:c>
      <x:c r="AD214" s="21"/>
      <x:c r="AE214" s="21">
        <x:f t="shared" si="210"/>
        <x:v>53.688212800000002</x:v>
      </x:c>
      <x:c r="AF214" s="21"/>
      <x:c r="AG214" s="19" t="s">
        <x:v>78</x:v>
      </x:c>
      <x:c r="AH214" s="18">
        <x:v>0</x:v>
      </x:c>
      <x:c r="AI214" t="s">
        <x:v>78</x:v>
      </x:c>
      <x:c r="AJ214" s="19"/>
      <x:c r="AK214" s="20">
        <x:v>0</x:v>
      </x:c>
      <x:c r="AL214" t="s">
        <x:v>78</x:v>
      </x:c>
      <x:c r="AM214" s="20">
        <x:v>0</x:v>
      </x:c>
      <x:c r="AN214" s="21"/>
      <x:c r="AO214" s="21"/>
      <x:c r="AP214" s="21"/>
      <x:c r="AQ214" s="21"/>
      <x:c r="AR214" s="21"/>
      <x:c r="AS214" s="21"/>
      <x:c r="AT214" s="21"/>
      <x:c r="AU214" s="21"/>
      <x:c r="AV214" s="21"/>
      <x:c r="AW214" s="18">
        <x:v>0</x:v>
      </x:c>
      <x:c r="AX214" s="19"/>
      <x:c r="AY214" s="21"/>
      <x:c r="AZ214" s="21"/>
      <x:c r="BA214" s="21"/>
      <x:c r="BB214" s="21"/>
      <x:c r="BC214" s="21"/>
      <x:c r="BD214" s="21"/>
      <x:c r="BE214" s="21"/>
      <x:c r="BF214" s="21"/>
      <x:c r="BG214" s="21"/>
      <x:c r="BH214" t="s">
        <x:v>82</x:v>
      </x:c>
      <x:c r="BI214" s="18">
        <x:v>112</x:v>
      </x:c>
      <x:c r="BJ214" s="18">
        <x:v>55</x:v>
      </x:c>
      <x:c r="BK214" s="18">
        <x:v>9.66</x:v>
      </x:c>
      <x:c r="BL214" s="18">
        <x:v>21</x:v>
      </x:c>
      <x:c r="BM214" s="18">
        <x:v>51</x:v>
      </x:c>
      <x:c r="BN214" s="18">
        <x:v>53.64</x:v>
      </x:c>
      <x:c r="BO214" s="22">
        <x:v>112.91934999999999</x:v>
      </x:c>
      <x:c r="BP214" s="22">
        <x:v>21.864899999999999</x:v>
      </x:c>
      <x:c r="BQ214" s="18">
        <x:v>240</x:v>
      </x:c>
      <x:c r="BR214" s="18">
        <x:v>972441.59999999998</x:v>
      </x:c>
      <x:c r="BS214" s="18">
        <x:v>10292.030000000001</x:v>
      </x:c>
      <x:c r="BT214" s="18">
        <x:v>93.656999999999996</x:v>
      </x:c>
      <x:c r="BU214" s="18">
        <x:v>2912.5859999999998</x:v>
      </x:c>
      <x:c r="BV214" s="18">
        <x:v>582.51700000000005</x:v>
      </x:c>
      <x:c r="BW214" s="18">
        <x:v>188856.342</x:v>
      </x:c>
      <x:c r="BX214" s="18">
        <x:v>37.777000000000001</x:v>
      </x:c>
      <x:c r="BY214" s="18">
        <x:v>9274.6389999999992</x:v>
      </x:c>
      <x:c r="BZ214" s="18">
        <x:v>9274.6389999999992</x:v>
      </x:c>
      <x:c r="CA214" s="23">
        <x:f t="shared" si="184"/>
        <x:v>10267.870698000001</x:v>
      </x:c>
      <x:c r="CB214" s="23">
        <x:f t="shared" si="185"/>
        <x:v>9677.3003571999998</x:v>
      </x:c>
      <x:c r="CC214" s="23">
        <x:f t="shared" si="186"/>
        <x:v>2684.4106400000001</x:v>
      </x:c>
      <x:c r="CD214" s="23">
        <x:f t="shared" si="187"/>
        <x:v>33062.54364756</x:v>
      </x:c>
      <x:c r="CE214" s="23">
        <x:f t="shared" si="188"/>
        <x:v>8625.0113863199986</x:v>
      </x:c>
      <x:c r="CF214" s="23">
        <x:f t="shared" si="189"/>
        <x:v>17.250022772639998</x:v>
      </x:c>
      <x:c r="CG214" s="23">
        <x:f t="shared" si="190"/>
        <x:v>0</x:v>
      </x:c>
      <x:c r="CH214" s="23">
        <x:f t="shared" si="191"/>
        <x:v>53.688212800000002</x:v>
      </x:c>
      <x:c r="CI214" s="23">
        <x:f t="shared" si="192"/>
        <x:v>0</x:v>
      </x:c>
      <x:c r="CJ214" s="24" t="s">
        <x:v>202</x:v>
      </x:c>
      <x:c r="CK214" s="25">
        <x:v>95.74</x:v>
      </x:c>
      <x:c r="CL214" s="26" t="s">
        <x:v>123</x:v>
      </x:c>
      <x:c r="CM214" s="26">
        <x:v>83</x:v>
      </x:c>
      <x:c r="CN214" s="27" t="s">
        <x:v>233</x:v>
      </x:c>
      <x:c r="CO214" s="27">
        <x:v>99.4</x:v>
      </x:c>
      <x:c r="CP214" s="27">
        <x:v>98.3</x:v>
      </x:c>
      <x:c r="CQ214" s="26">
        <x:f t="shared" si="193"/>
        <x:v>437.4112917348009</x:v>
      </x:c>
      <x:c r="CR214" s="26">
        <x:f t="shared" si="194"/>
        <x:v>1645.1410607240005</x:v>
      </x:c>
      <x:c r="CS214" s="26">
        <x:f t="shared" si="202"/>
        <x:v>2684.4106400000001</x:v>
      </x:c>
      <x:c r="CT214" s="26">
        <x:f t="shared" si="155"/>
        <x:v>198.37526188535651</x:v>
      </x:c>
      <x:c r="CU214" s="26">
        <x:f t="shared" si="156"/>
        <x:v>146.62519356744011</x:v>
      </x:c>
      <x:c r="CV214" s="26">
        <x:f t="shared" si="157"/>
        <x:v>0.29325038713488022</x:v>
      </x:c>
      <x:c r="CW214" s="26">
        <x:f t="shared" si="158"/>
        <x:v>0</x:v>
      </x:c>
      <x:c r="CX214" s="26">
        <x:f t="shared" si="203"/>
        <x:v>53.688212800000002</x:v>
      </x:c>
      <x:c r="CY214" s="26">
        <x:f t="shared" si="204"/>
        <x:v>0</x:v>
      </x:c>
    </x:row>
    <x:row r="215">
      <x:c r="A215" s="18">
        <x:v>2022</x:v>
      </x:c>
      <x:c r="B215" t="s">
        <x:v>471</x:v>
      </x:c>
      <x:c r="C215" t="s">
        <x:v>472</x:v>
      </x:c>
      <x:c r="D215" t="s">
        <x:v>473</x:v>
      </x:c>
      <x:c r="E215" s="18">
        <x:v>440781</x:v>
      </x:c>
      <x:c r="F215" t="s">
        <x:v>474</x:v>
      </x:c>
      <x:c r="G215" t="s">
        <x:v>430</x:v>
      </x:c>
      <x:c r="H215" s="18">
        <x:v>4411</x:v>
      </x:c>
      <x:c r="I215" t="s">
        <x:v>102</x:v>
      </x:c>
      <x:c r="J215" t="s">
        <x:v>475</x:v>
      </x:c>
      <x:c r="K215" t="s">
        <x:v>109</x:v>
      </x:c>
      <x:c r="L215" s="20">
        <x:v>63</x:v>
      </x:c>
      <x:c r="M215" t="s">
        <x:v>110</x:v>
      </x:c>
      <x:c r="N215" s="18">
        <x:v>2028</x:v>
      </x:c>
      <x:c r="O215" t="s">
        <x:v>88</x:v>
      </x:c>
      <x:c r="P215" s="18">
        <x:v>1</x:v>
      </x:c>
      <x:c r="Q215" s="19" t="s">
        <x:v>121</x:v>
      </x:c>
      <x:c r="R215" s="18">
        <x:v>1472561.66</x:v>
      </x:c>
      <x:c r="S215" t="s">
        <x:v>112</x:v>
      </x:c>
      <x:c r="T215" s="19">
        <x:f t="shared" si="206"/>
        <x:v>1472561.66</x:v>
      </x:c>
      <x:c r="U215" s="20">
        <x:v>0.45</x:v>
      </x:c>
      <x:c r="V215" t="s">
        <x:v>113</x:v>
      </x:c>
      <x:c r="W215" s="20">
        <x:v>14.28</x:v>
      </x:c>
      <x:c r="X215" s="21">
        <x:f t="shared" si="207"/>
        <x:v>11265.096699</x:v>
      </x:c>
      <x:c r="Y215" s="21">
        <x:f t="shared" si="211"/>
        <x:v>10617.169568599998</x:v>
      </x:c>
      <x:c r="Z215" s="21">
        <x:f t="shared" si="208"/>
        <x:v>2945.1233199999997</x:v>
      </x:c>
      <x:c r="AA215" s="21">
        <x:f t="shared" si="212"/>
        <x:v>36273.611370779996</x:v>
      </x:c>
      <x:c r="AB215" s="21">
        <x:f t="shared" si="213"/>
        <x:v>9462.6812271599974</x:v>
      </x:c>
      <x:c r="AC215" s="21">
        <x:f t="shared" si="214"/>
        <x:v>18.925362454319995</x:v>
      </x:c>
      <x:c r="AD215" s="21"/>
      <x:c r="AE215" s="21">
        <x:f t="shared" si="210"/>
        <x:v>58.902466399999994</x:v>
      </x:c>
      <x:c r="AF215" s="21"/>
      <x:c r="AG215" s="19" t="s">
        <x:v>78</x:v>
      </x:c>
      <x:c r="AH215" s="18">
        <x:v>0</x:v>
      </x:c>
      <x:c r="AI215" t="s">
        <x:v>78</x:v>
      </x:c>
      <x:c r="AJ215" s="19"/>
      <x:c r="AK215" s="20">
        <x:v>0</x:v>
      </x:c>
      <x:c r="AL215" t="s">
        <x:v>78</x:v>
      </x:c>
      <x:c r="AM215" s="20">
        <x:v>0</x:v>
      </x:c>
      <x:c r="AN215" s="21"/>
      <x:c r="AO215" s="21"/>
      <x:c r="AP215" s="21"/>
      <x:c r="AQ215" s="21"/>
      <x:c r="AR215" s="21"/>
      <x:c r="AS215" s="21"/>
      <x:c r="AT215" s="21"/>
      <x:c r="AU215" s="21"/>
      <x:c r="AV215" s="21"/>
      <x:c r="AW215" s="18">
        <x:v>0</x:v>
      </x:c>
      <x:c r="AX215" s="19"/>
      <x:c r="AY215" s="21"/>
      <x:c r="AZ215" s="21"/>
      <x:c r="BA215" s="21"/>
      <x:c r="BB215" s="21"/>
      <x:c r="BC215" s="21"/>
      <x:c r="BD215" s="21"/>
      <x:c r="BE215" s="21"/>
      <x:c r="BF215" s="21"/>
      <x:c r="BG215" s="21"/>
      <x:c r="BH215" t="s">
        <x:v>83</x:v>
      </x:c>
      <x:c r="BI215" s="18">
        <x:v>112</x:v>
      </x:c>
      <x:c r="BJ215" s="18">
        <x:v>55</x:v>
      </x:c>
      <x:c r="BK215" s="18">
        <x:v>12.29</x:v>
      </x:c>
      <x:c r="BL215" s="18">
        <x:v>21</x:v>
      </x:c>
      <x:c r="BM215" s="18">
        <x:v>51</x:v>
      </x:c>
      <x:c r="BN215" s="18">
        <x:v>53.89</x:v>
      </x:c>
      <x:c r="BO215" s="22">
        <x:v>112.920080555556</x:v>
      </x:c>
      <x:c r="BP215" s="22">
        <x:v>21.864969444444402</x:v>
      </x:c>
      <x:c r="BQ215" s="18">
        <x:v>240</x:v>
      </x:c>
      <x:c r="BR215" s="18">
        <x:v>1147942.1000000001</x:v>
      </x:c>
      <x:c r="BS215" s="18">
        <x:v>11291.602999999999</x:v>
      </x:c>
      <x:c r="BT215" s="18">
        <x:v>102.754</x:v>
      </x:c>
      <x:c r="BU215" s="18">
        <x:v>3195.4589999999998</x:v>
      </x:c>
      <x:c r="BV215" s="18">
        <x:v>639.09199999999998</x:v>
      </x:c>
      <x:c r="BW215" s="18">
        <x:v>207198.261</x:v>
      </x:c>
      <x:c r="BX215" s="18">
        <x:v>41.445999999999998</x:v>
      </x:c>
      <x:c r="BY215" s="18">
        <x:v>10175.401</x:v>
      </x:c>
      <x:c r="BZ215" s="18">
        <x:v>10175.401</x:v>
      </x:c>
      <x:c r="CA215" s="23">
        <x:f t="shared" si="184"/>
        <x:v>11265.096699</x:v>
      </x:c>
      <x:c r="CB215" s="23">
        <x:f t="shared" si="185"/>
        <x:v>10617.169568599998</x:v>
      </x:c>
      <x:c r="CC215" s="23">
        <x:f t="shared" si="186"/>
        <x:v>2945.1233199999997</x:v>
      </x:c>
      <x:c r="CD215" s="23">
        <x:f t="shared" si="187"/>
        <x:v>36273.611370779996</x:v>
      </x:c>
      <x:c r="CE215" s="23">
        <x:f t="shared" si="188"/>
        <x:v>9462.6812271599974</x:v>
      </x:c>
      <x:c r="CF215" s="23">
        <x:f t="shared" si="189"/>
        <x:v>18.925362454319995</x:v>
      </x:c>
      <x:c r="CG215" s="23">
        <x:f t="shared" si="190"/>
        <x:v>0</x:v>
      </x:c>
      <x:c r="CH215" s="23">
        <x:f t="shared" si="191"/>
        <x:v>58.902466399999994</x:v>
      </x:c>
      <x:c r="CI215" s="23">
        <x:f t="shared" si="192"/>
        <x:v>0</x:v>
      </x:c>
      <x:c r="CJ215" s="24" t="s">
        <x:v>202</x:v>
      </x:c>
      <x:c r="CK215" s="25">
        <x:v>95.88</x:v>
      </x:c>
      <x:c r="CL215" s="26" t="s">
        <x:v>123</x:v>
      </x:c>
      <x:c r="CM215" s="26">
        <x:v>80</x:v>
      </x:c>
      <x:c r="CN215" s="27" t="s">
        <x:v>233</x:v>
      </x:c>
      <x:c r="CO215" s="27">
        <x:v>99.4</x:v>
      </x:c>
      <x:c r="CP215" s="27">
        <x:v>98.3</x:v>
      </x:c>
      <x:c r="CQ215" s="26">
        <x:f t="shared" si="193"/>
        <x:v>464.12198399880015</x:v>
      </x:c>
      <x:c r="CR215" s="26">
        <x:f t="shared" si="194"/>
        <x:v>2123.4339137199991</x:v>
      </x:c>
      <x:c r="CS215" s="26">
        <x:f t="shared" si="202"/>
        <x:v>2945.1233199999997</x:v>
      </x:c>
      <x:c r="CT215" s="26">
        <x:f t="shared" si="155"/>
        <x:v>217.64166822467615</x:v>
      </x:c>
      <x:c r="CU215" s="26">
        <x:f t="shared" si="156"/>
        <x:v>160.8655808617201</x:v>
      </x:c>
      <x:c r="CV215" s="26">
        <x:f t="shared" si="157"/>
        <x:v>0.32173116172344018</x:v>
      </x:c>
      <x:c r="CW215" s="26">
        <x:f t="shared" si="158"/>
        <x:v>0</x:v>
      </x:c>
      <x:c r="CX215" s="26">
        <x:f t="shared" si="203"/>
        <x:v>58.902466399999994</x:v>
      </x:c>
      <x:c r="CY215" s="26">
        <x:f t="shared" si="204"/>
        <x:v>0</x:v>
      </x:c>
    </x:row>
    <x:row r="216">
      <x:c r="A216" s="18">
        <x:v>2022</x:v>
      </x:c>
      <x:c r="B216" t="s">
        <x:v>471</x:v>
      </x:c>
      <x:c r="C216" t="s">
        <x:v>472</x:v>
      </x:c>
      <x:c r="D216" t="s">
        <x:v>473</x:v>
      </x:c>
      <x:c r="E216" s="18">
        <x:v>440781</x:v>
      </x:c>
      <x:c r="F216" t="s">
        <x:v>474</x:v>
      </x:c>
      <x:c r="G216" t="s">
        <x:v>430</x:v>
      </x:c>
      <x:c r="H216" s="18">
        <x:v>4411</x:v>
      </x:c>
      <x:c r="I216" t="s">
        <x:v>102</x:v>
      </x:c>
      <x:c r="J216" t="s">
        <x:v>475</x:v>
      </x:c>
      <x:c r="K216" t="s">
        <x:v>109</x:v>
      </x:c>
      <x:c r="L216" s="20">
        <x:v>100</x:v>
      </x:c>
      <x:c r="M216" t="s">
        <x:v>110</x:v>
      </x:c>
      <x:c r="N216" s="18">
        <x:v>3091</x:v>
      </x:c>
      <x:c r="O216" t="s">
        <x:v>88</x:v>
      </x:c>
      <x:c r="P216" s="18">
        <x:v>1</x:v>
      </x:c>
      <x:c r="Q216" s="19" t="s">
        <x:v>121</x:v>
      </x:c>
      <x:c r="R216" s="18">
        <x:v>2577915.27</x:v>
      </x:c>
      <x:c r="S216" t="s">
        <x:v>112</x:v>
      </x:c>
      <x:c r="T216" s="19">
        <x:f t="shared" si="206"/>
        <x:v>2577915.27</x:v>
      </x:c>
      <x:c r="U216" s="20">
        <x:v>0.45</x:v>
      </x:c>
      <x:c r="V216" t="s">
        <x:v>113</x:v>
      </x:c>
      <x:c r="W216" s="20">
        <x:v>14.28</x:v>
      </x:c>
      <x:c r="X216" s="21">
        <x:f t="shared" si="207"/>
        <x:v>19721.051815500003</x:v>
      </x:c>
      <x:c r="Y216" s="21">
        <x:f t="shared" si="211"/>
        <x:v>18586.769096700002</x:v>
      </x:c>
      <x:c r="Z216" s="21">
        <x:f t="shared" si="208"/>
        <x:v>5155.8305399999999</x:v>
      </x:c>
      <x:c r="AA216" s="21">
        <x:f t="shared" si="212"/>
        <x:v>63501.786845909999</x:v>
      </x:c>
      <x:c r="AB216" s="21">
        <x:f t="shared" si="213"/>
        <x:v>16565.683525019995</x:v>
      </x:c>
      <x:c r="AC216" s="21">
        <x:f t="shared" si="214"/>
        <x:v>33.131367050039991</x:v>
      </x:c>
      <x:c r="AD216" s="21"/>
      <x:c r="AE216" s="21">
        <x:f t="shared" si="210"/>
        <x:v>103.1166108</x:v>
      </x:c>
      <x:c r="AF216" s="21"/>
      <x:c r="AG216" s="19" t="s">
        <x:v>78</x:v>
      </x:c>
      <x:c r="AH216" s="18">
        <x:v>0</x:v>
      </x:c>
      <x:c r="AI216" t="s">
        <x:v>78</x:v>
      </x:c>
      <x:c r="AJ216" s="19"/>
      <x:c r="AK216" s="20">
        <x:v>0</x:v>
      </x:c>
      <x:c r="AL216" t="s">
        <x:v>78</x:v>
      </x:c>
      <x:c r="AM216" s="20">
        <x:v>0</x:v>
      </x:c>
      <x:c r="AN216" s="21"/>
      <x:c r="AO216" s="21"/>
      <x:c r="AP216" s="21"/>
      <x:c r="AQ216" s="21"/>
      <x:c r="AR216" s="21"/>
      <x:c r="AS216" s="21"/>
      <x:c r="AT216" s="21"/>
      <x:c r="AU216" s="21"/>
      <x:c r="AV216" s="21"/>
      <x:c r="AW216" s="18">
        <x:v>0</x:v>
      </x:c>
      <x:c r="AX216" s="19"/>
      <x:c r="AY216" s="21"/>
      <x:c r="AZ216" s="21"/>
      <x:c r="BA216" s="21"/>
      <x:c r="BB216" s="21"/>
      <x:c r="BC216" s="21"/>
      <x:c r="BD216" s="21"/>
      <x:c r="BE216" s="21"/>
      <x:c r="BF216" s="21"/>
      <x:c r="BG216" s="21"/>
      <x:c r="BH216" t="s">
        <x:v>89</x:v>
      </x:c>
      <x:c r="BI216" s="18">
        <x:v>112</x:v>
      </x:c>
      <x:c r="BJ216" s="18">
        <x:v>55</x:v>
      </x:c>
      <x:c r="BK216" s="18">
        <x:v>17.8</x:v>
      </x:c>
      <x:c r="BL216" s="18">
        <x:v>21</x:v>
      </x:c>
      <x:c r="BM216" s="18">
        <x:v>51</x:v>
      </x:c>
      <x:c r="BN216" s="18">
        <x:v>54.22</x:v>
      </x:c>
      <x:c r="BO216" s="22">
        <x:v>112.92161111111101</x:v>
      </x:c>
      <x:c r="BP216" s="22">
        <x:v>21.8650611111111</x:v>
      </x:c>
      <x:c r="BQ216" s="18">
        <x:v>240</x:v>
      </x:c>
      <x:c r="BR216" s="18">
        <x:v>2241520.2000000002</x:v>
      </x:c>
      <x:c r="BS216" s="18">
        <x:v>20056.181</x:v>
      </x:c>
      <x:c r="BT216" s="18">
        <x:v>182.511</x:v>
      </x:c>
      <x:c r="BU216" s="18">
        <x:v>4588.6890000000003</x:v>
      </x:c>
      <x:c r="BV216" s="18">
        <x:v>780.077</x:v>
      </x:c>
      <x:c r="BW216" s="18">
        <x:v>362363.11300000001</x:v>
      </x:c>
      <x:c r="BX216" s="18">
        <x:v>72.483999999999995</x:v>
      </x:c>
      <x:c r="BY216" s="18">
        <x:v>17813.395</x:v>
      </x:c>
      <x:c r="BZ216" s="18">
        <x:v>17813.395</x:v>
      </x:c>
      <x:c r="CA216" s="23">
        <x:f t="shared" si="184"/>
        <x:v>19721.051815500003</x:v>
      </x:c>
      <x:c r="CB216" s="23">
        <x:f t="shared" si="185"/>
        <x:v>18586.769096700002</x:v>
      </x:c>
      <x:c r="CC216" s="23">
        <x:f t="shared" si="186"/>
        <x:v>5155.8305399999999</x:v>
      </x:c>
      <x:c r="CD216" s="23">
        <x:f t="shared" si="187"/>
        <x:v>63501.786845909999</x:v>
      </x:c>
      <x:c r="CE216" s="23">
        <x:f t="shared" si="188"/>
        <x:v>16565.683525019995</x:v>
      </x:c>
      <x:c r="CF216" s="23">
        <x:f t="shared" si="189"/>
        <x:v>33.131367050039991</x:v>
      </x:c>
      <x:c r="CG216" s="23">
        <x:f t="shared" si="190"/>
        <x:v>0</x:v>
      </x:c>
      <x:c r="CH216" s="23">
        <x:f t="shared" si="191"/>
        <x:v>103.1166108</x:v>
      </x:c>
      <x:c r="CI216" s="23">
        <x:f t="shared" si="192"/>
        <x:v>0</x:v>
      </x:c>
      <x:c r="CJ216" s="24" t="s">
        <x:v>202</x:v>
      </x:c>
      <x:c r="CK216" s="25">
        <x:v>97.99</x:v>
      </x:c>
      <x:c r="CL216" s="26" t="s">
        <x:v>123</x:v>
      </x:c>
      <x:c r="CM216" s="26">
        <x:v>92.06</x:v>
      </x:c>
      <x:c r="CN216" s="27" t="s">
        <x:v>233</x:v>
      </x:c>
      <x:c r="CO216" s="27">
        <x:v>99.4</x:v>
      </x:c>
      <x:c r="CP216" s="27">
        <x:v>98.3</x:v>
      </x:c>
      <x:c r="CQ216" s="26">
        <x:f t="shared" si="193"/>
        <x:v>396.39314149155018</x:v>
      </x:c>
      <x:c r="CR216" s="26">
        <x:f t="shared" si="194"/>
        <x:v>1475.7894662779806</x:v>
      </x:c>
      <x:c r="CS216" s="26">
        <x:f t="shared" si="202"/>
        <x:v>5155.8305399999999</x:v>
      </x:c>
      <x:c r="CT216" s="26">
        <x:f t="shared" si="155"/>
        <x:v>381.01072107545326</x:v>
      </x:c>
      <x:c r="CU216" s="26">
        <x:f t="shared" si="156"/>
        <x:v>281.61661992534016</x:v>
      </x:c>
      <x:c r="CV216" s="26">
        <x:f t="shared" si="157"/>
        <x:v>0.5632332398506803</x:v>
      </x:c>
      <x:c r="CW216" s="26">
        <x:f t="shared" si="158"/>
        <x:v>0</x:v>
      </x:c>
      <x:c r="CX216" s="26">
        <x:f t="shared" si="203"/>
        <x:v>103.1166108</x:v>
      </x:c>
      <x:c r="CY216" s="26">
        <x:f t="shared" si="204"/>
        <x:v>0</x:v>
      </x:c>
    </x:row>
    <x:row r="217">
      <x:c r="A217" s="18">
        <x:v>2022</x:v>
      </x:c>
      <x:c r="B217" t="s">
        <x:v>471</x:v>
      </x:c>
      <x:c r="C217" t="s">
        <x:v>472</x:v>
      </x:c>
      <x:c r="D217" t="s">
        <x:v>473</x:v>
      </x:c>
      <x:c r="E217" s="18">
        <x:v>440781</x:v>
      </x:c>
      <x:c r="F217" t="s">
        <x:v>474</x:v>
      </x:c>
      <x:c r="G217" t="s">
        <x:v>430</x:v>
      </x:c>
      <x:c r="H217" s="18">
        <x:v>4411</x:v>
      </x:c>
      <x:c r="I217" t="s">
        <x:v>102</x:v>
      </x:c>
      <x:c r="J217" t="s">
        <x:v>475</x:v>
      </x:c>
      <x:c r="K217" t="s">
        <x:v>109</x:v>
      </x:c>
      <x:c r="L217" s="20">
        <x:v>100</x:v>
      </x:c>
      <x:c r="M217" t="s">
        <x:v>110</x:v>
      </x:c>
      <x:c r="N217" s="18">
        <x:v>3091</x:v>
      </x:c>
      <x:c r="O217" t="s">
        <x:v>88</x:v>
      </x:c>
      <x:c r="P217" s="18">
        <x:v>1</x:v>
      </x:c>
      <x:c r="Q217" s="19" t="s">
        <x:v>121</x:v>
      </x:c>
      <x:c r="R217" s="18">
        <x:v>2546450.62</x:v>
      </x:c>
      <x:c r="S217" t="s">
        <x:v>112</x:v>
      </x:c>
      <x:c r="T217" s="19">
        <x:f t="shared" si="206"/>
        <x:v>2546450.62</x:v>
      </x:c>
      <x:c r="U217" s="20">
        <x:v>0.45</x:v>
      </x:c>
      <x:c r="V217" t="s">
        <x:v>113</x:v>
      </x:c>
      <x:c r="W217" s="20">
        <x:v>14.28</x:v>
      </x:c>
      <x:c r="X217" s="21">
        <x:f t="shared" si="207"/>
        <x:v>19480.347243000004</x:v>
      </x:c>
      <x:c r="Y217" s="21">
        <x:f t="shared" si="211"/>
        <x:v>18359.908970200002</x:v>
      </x:c>
      <x:c r="Z217" s="21">
        <x:f t="shared" si="208"/>
        <x:v>5092.9012400000001</x:v>
      </x:c>
      <x:c r="AA217" s="21">
        <x:f t="shared" si="212"/>
        <x:v>62726.718122459999</x:v>
      </x:c>
      <x:c r="AB217" s="21">
        <x:f t="shared" si="213"/>
        <x:v>16363.491684119997</x:v>
      </x:c>
      <x:c r="AC217" s="21">
        <x:f t="shared" si="214"/>
        <x:v>32.726983368239999</x:v>
      </x:c>
      <x:c r="AD217" s="21"/>
      <x:c r="AE217" s="21">
        <x:f t="shared" si="210"/>
        <x:v>101.85802480000001</x:v>
      </x:c>
      <x:c r="AF217" s="21"/>
      <x:c r="AG217" s="19" t="s">
        <x:v>78</x:v>
      </x:c>
      <x:c r="AH217" s="18">
        <x:v>0</x:v>
      </x:c>
      <x:c r="AI217" t="s">
        <x:v>78</x:v>
      </x:c>
      <x:c r="AJ217" s="19"/>
      <x:c r="AK217" s="20">
        <x:v>0</x:v>
      </x:c>
      <x:c r="AL217" t="s">
        <x:v>78</x:v>
      </x:c>
      <x:c r="AM217" s="20">
        <x:v>0</x:v>
      </x:c>
      <x:c r="AN217" s="21"/>
      <x:c r="AO217" s="21"/>
      <x:c r="AP217" s="21"/>
      <x:c r="AQ217" s="21"/>
      <x:c r="AR217" s="21"/>
      <x:c r="AS217" s="21"/>
      <x:c r="AT217" s="21"/>
      <x:c r="AU217" s="21"/>
      <x:c r="AV217" s="21"/>
      <x:c r="AW217" s="18">
        <x:v>0</x:v>
      </x:c>
      <x:c r="AX217" s="19"/>
      <x:c r="AY217" s="21"/>
      <x:c r="AZ217" s="21"/>
      <x:c r="BA217" s="21"/>
      <x:c r="BB217" s="21"/>
      <x:c r="BC217" s="21"/>
      <x:c r="BD217" s="21"/>
      <x:c r="BE217" s="21"/>
      <x:c r="BF217" s="21"/>
      <x:c r="BG217" s="21"/>
      <x:c r="BH217" t="s">
        <x:v>90</x:v>
      </x:c>
      <x:c r="BI217" s="18">
        <x:v>112</x:v>
      </x:c>
      <x:c r="BJ217" s="18">
        <x:v>55</x:v>
      </x:c>
      <x:c r="BK217" s="18">
        <x:v>22.48</x:v>
      </x:c>
      <x:c r="BL217" s="18">
        <x:v>21</x:v>
      </x:c>
      <x:c r="BM217" s="18">
        <x:v>51</x:v>
      </x:c>
      <x:c r="BN217" s="18">
        <x:v>54.4</x:v>
      </x:c>
      <x:c r="BO217" s="22">
        <x:v>112.92291111111101</x:v>
      </x:c>
      <x:c r="BP217" s="22">
        <x:v>21.865111111111101</x:v>
      </x:c>
      <x:c r="BQ217" s="18">
        <x:v>240</x:v>
      </x:c>
      <x:c r="BR217" s="18">
        <x:v>1908569.9</x:v>
      </x:c>
      <x:c r="BS217" s="18">
        <x:v>19811.385999999999</x:v>
      </x:c>
      <x:c r="BT217" s="18">
        <x:v>180.28399999999999</x:v>
      </x:c>
      <x:c r="BU217" s="18">
        <x:v>4532.6819999999998</x:v>
      </x:c>
      <x:c r="BV217" s="18">
        <x:v>770.55600000000004</x:v>
      </x:c>
      <x:c r="BW217" s="18">
        <x:v>357940.304</x:v>
      </x:c>
      <x:c r="BX217" s="18">
        <x:v>71.599999999999994</x:v>
      </x:c>
      <x:c r="BY217" s="18">
        <x:v>17595.973999999998</x:v>
      </x:c>
      <x:c r="BZ217" s="18">
        <x:v>17595.973999999998</x:v>
      </x:c>
      <x:c r="CA217" s="23">
        <x:f t="shared" si="184"/>
        <x:v>19480.347243000004</x:v>
      </x:c>
      <x:c r="CB217" s="23">
        <x:f t="shared" si="185"/>
        <x:v>18359.908970200002</x:v>
      </x:c>
      <x:c r="CC217" s="23">
        <x:f t="shared" si="186"/>
        <x:v>5092.9012400000001</x:v>
      </x:c>
      <x:c r="CD217" s="23">
        <x:f t="shared" si="187"/>
        <x:v>62726.718122459999</x:v>
      </x:c>
      <x:c r="CE217" s="23">
        <x:f t="shared" si="188"/>
        <x:v>16363.491684119997</x:v>
      </x:c>
      <x:c r="CF217" s="23">
        <x:f t="shared" si="189"/>
        <x:v>32.726983368239999</x:v>
      </x:c>
      <x:c r="CG217" s="23">
        <x:f t="shared" si="190"/>
        <x:v>0</x:v>
      </x:c>
      <x:c r="CH217" s="23">
        <x:f t="shared" si="191"/>
        <x:v>101.85802480000001</x:v>
      </x:c>
      <x:c r="CI217" s="23">
        <x:f t="shared" si="192"/>
        <x:v>0</x:v>
      </x:c>
      <x:c r="CJ217" s="24" t="s">
        <x:v>202</x:v>
      </x:c>
      <x:c r="CK217" s="25">
        <x:v>96.63</x:v>
      </x:c>
      <x:c r="CL217" s="26" t="s">
        <x:v>123</x:v>
      </x:c>
      <x:c r="CM217" s="26">
        <x:v>87.27</x:v>
      </x:c>
      <x:c r="CN217" s="27" t="s">
        <x:v>233</x:v>
      </x:c>
      <x:c r="CO217" s="27">
        <x:v>99.4</x:v>
      </x:c>
      <x:c r="CP217" s="27">
        <x:v>98.3</x:v>
      </x:c>
      <x:c r="CQ217" s="26">
        <x:f t="shared" si="193"/>
        <x:v>656.48770208910139</x:v>
      </x:c>
      <x:c r="CR217" s="26">
        <x:f t="shared" si="194"/>
        <x:v>2337.2164119064619</x:v>
      </x:c>
      <x:c r="CS217" s="26">
        <x:f t="shared" si="202"/>
        <x:v>5092.9012400000001</x:v>
      </x:c>
      <x:c r="CT217" s="26">
        <x:f t="shared" si="155"/>
        <x:v>376.36030873475335</x:v>
      </x:c>
      <x:c r="CU217" s="26">
        <x:f t="shared" si="156"/>
        <x:v>278.17935863004021</x:v>
      </x:c>
      <x:c r="CV217" s="26">
        <x:f t="shared" si="157"/>
        <x:v>0.55635871726008046</x:v>
      </x:c>
      <x:c r="CW217" s="26">
        <x:f t="shared" si="158"/>
        <x:v>0</x:v>
      </x:c>
      <x:c r="CX217" s="26">
        <x:f t="shared" si="203"/>
        <x:v>101.85802480000001</x:v>
      </x:c>
      <x:c r="CY217" s="26">
        <x:f t="shared" si="204"/>
        <x:v>0</x:v>
      </x:c>
    </x:row>
    <x:row r="218">
      <x:c r="A218" s="18">
        <x:v>2022</x:v>
      </x:c>
      <x:c r="B218" t="s">
        <x:v>476</x:v>
      </x:c>
      <x:c r="C218" t="s">
        <x:v>477</x:v>
      </x:c>
      <x:c r="D218" t="s">
        <x:v>478</x:v>
      </x:c>
      <x:c r="E218" s="18">
        <x:v>440783</x:v>
      </x:c>
      <x:c r="F218" t="s">
        <x:v>479</x:v>
      </x:c>
      <x:c r="G218" t="s">
        <x:v>430</x:v>
      </x:c>
      <x:c r="H218" s="18">
        <x:v>1713</x:v>
      </x:c>
      <x:c r="I218" t="s">
        <x:v>162</x:v>
      </x:c>
      <x:c r="J218" t="s">
        <x:v>78</x:v>
      </x:c>
      <x:c r="K218" t="s">
        <x:v>109</x:v>
      </x:c>
      <x:c r="L218" s="20">
        <x:v>0.3</x:v>
      </x:c>
      <x:c r="M218" t="s">
        <x:v>125</x:v>
      </x:c>
      <x:c r="N218" s="18">
        <x:v>35</x:v>
      </x:c>
      <x:c r="O218" t="s">
        <x:v>74</x:v>
      </x:c>
      <x:c r="P218" s="18">
        <x:v>4</x:v>
      </x:c>
      <x:c r="Q218" s="19" t="s">
        <x:v>111</x:v>
      </x:c>
      <x:c r="R218" s="18">
        <x:v>58673.32</x:v>
      </x:c>
      <x:c r="S218" t="s">
        <x:v>112</x:v>
      </x:c>
      <x:c r="T218" s="19">
        <x:f t="shared" si="206"/>
        <x:v>58673.32</x:v>
      </x:c>
      <x:c r="U218" s="20">
        <x:v>0.32</x:v>
      </x:c>
      <x:c r="V218" t="s">
        <x:v>113</x:v>
      </x:c>
      <x:c r="W218" s="20">
        <x:v>10.97</x:v>
      </x:c>
      <x:c r="X218" s="21">
        <x:f t="shared" si="207"/>
        <x:v>319.18286080000001</x:v>
      </x:c>
      <x:c r="Y218" s="21" t="n">
        <x:f>8.96*T218/1000</x:f>
        <x:v>525.7129472</x:v>
      </x:c>
      <x:c r="Z218" s="21">
        <x:f t="shared" si="208"/>
        <x:v>117.34663999999999</x:v>
      </x:c>
      <x:c r="AA218" s="21" t="n">
        <x:f>W218/100*(1-0.44)*0.29*T218</x:f>
        <x:v>1045.2816243296</x:v>
      </x:c>
      <x:c r="AB218" s="21" t="n">
        <x:f>W218/100*(1-0.44)*0.07*T218</x:f>
        <x:v>252.30935759680006</x:v>
      </x:c>
      <x:c r="AC218" s="21">
        <x:f t="shared" si="214"/>
        <x:v>0.50461871519360013</x:v>
      </x:c>
      <x:c r="AD218" s="21"/>
      <x:c r="AE218" s="21">
        <x:f t="shared" si="210"/>
        <x:v>2.3469328000000003</x:v>
      </x:c>
      <x:c r="AF218" s="21"/>
      <x:c r="AG218" s="19" t="s">
        <x:v>78</x:v>
      </x:c>
      <x:c r="AH218" t="s">
        <x:v>78</x:v>
      </x:c>
      <x:c r="AI218" t="s">
        <x:v>78</x:v>
      </x:c>
      <x:c r="AJ218" s="19"/>
      <x:c r="AK218" s="19" t="s">
        <x:v>78</x:v>
      </x:c>
      <x:c r="AL218" t="s">
        <x:v>78</x:v>
      </x:c>
      <x:c r="AM218" s="19" t="s">
        <x:v>78</x:v>
      </x:c>
      <x:c r="AN218" s="21"/>
      <x:c r="AO218" s="21"/>
      <x:c r="AP218" s="21"/>
      <x:c r="AQ218" s="21"/>
      <x:c r="AR218" s="21"/>
      <x:c r="AS218" s="21"/>
      <x:c r="AT218" s="21"/>
      <x:c r="AU218" s="21"/>
      <x:c r="AV218" s="21"/>
      <x:c r="AW218" t="s">
        <x:v>78</x:v>
      </x:c>
      <x:c r="AX218" s="19"/>
      <x:c r="AY218" s="21"/>
      <x:c r="AZ218" s="21"/>
      <x:c r="BA218" s="21"/>
      <x:c r="BB218" s="21"/>
      <x:c r="BC218" s="21"/>
      <x:c r="BD218" s="21"/>
      <x:c r="BE218" s="21"/>
      <x:c r="BF218" s="21"/>
      <x:c r="BG218" s="21"/>
      <x:c r="BH218" t="s">
        <x:v>81</x:v>
      </x:c>
      <x:c r="BI218" s="18">
        <x:v>112</x:v>
      </x:c>
      <x:c r="BJ218" s="18">
        <x:v>36</x:v>
      </x:c>
      <x:c r="BK218" s="18">
        <x:v>49.9</x:v>
      </x:c>
      <x:c r="BL218" s="18">
        <x:v>22</x:v>
      </x:c>
      <x:c r="BM218" s="18">
        <x:v>24</x:v>
      </x:c>
      <x:c r="BN218" s="18">
        <x:v>45.25</x:v>
      </x:c>
      <x:c r="BO218" s="22">
        <x:v>112.61386111111101</x:v>
      </x:c>
      <x:c r="BP218" s="22">
        <x:v>22.412569444444401</x:v>
      </x:c>
      <x:c r="BQ218" s="18">
        <x:v>60</x:v>
      </x:c>
      <x:c r="BR218" s="18">
        <x:v>61607</x:v>
      </x:c>
      <x:c r="BS218" s="18">
        <x:v>84.49</x:v>
      </x:c>
      <x:c r="BT218" s="18">
        <x:v>23.841000000000001</x:v>
      </x:c>
      <x:c r="BU218" s="18">
        <x:v>55.74</x:v>
      </x:c>
      <x:c r="BV218" s="18">
        <x:v>55.74</x:v>
      </x:c>
      <x:c r="BW218" s="18">
        <x:v>3340.5239999999999</x:v>
      </x:c>
      <x:c r="BX218" s="18">
        <x:v>1.5649999999999999</x:v>
      </x:c>
      <x:c r="BY218" s="18">
        <x:v>1678.057</x:v>
      </x:c>
      <x:c r="BZ218" s="18">
        <x:v>1678.057</x:v>
      </x:c>
      <x:c r="CA218" s="23">
        <x:f t="shared" si="184"/>
        <x:v>319.18286080000001</x:v>
      </x:c>
      <x:c r="CB218" s="23">
        <x:f t="shared" si="185"/>
        <x:v>525.71294720000003</x:v>
      </x:c>
      <x:c r="CC218" s="23">
        <x:f t="shared" si="186"/>
        <x:v>117.34663999999999</x:v>
      </x:c>
      <x:c r="CD218" s="23">
        <x:f t="shared" si="187"/>
        <x:v>1045.2816243295999</x:v>
      </x:c>
      <x:c r="CE218" s="23">
        <x:f t="shared" si="188"/>
        <x:v>252.30935759680006</x:v>
      </x:c>
      <x:c r="CF218" s="23">
        <x:f t="shared" si="189"/>
        <x:v>0.50461871519360013</x:v>
      </x:c>
      <x:c r="CG218" s="23">
        <x:f t="shared" si="190"/>
        <x:v>0</x:v>
      </x:c>
      <x:c r="CH218" s="23">
        <x:f t="shared" si="191"/>
        <x:v>2.3469328000000003</x:v>
      </x:c>
      <x:c r="CI218" s="23">
        <x:f t="shared" si="192"/>
        <x:v>0</x:v>
      </x:c>
      <x:c r="CJ218" s="24" t="s">
        <x:v>78</x:v>
      </x:c>
      <x:c r="CK218" s="25">
        <x:v>0</x:v>
      </x:c>
      <x:c r="CL218" s="26" t="s">
        <x:v>78</x:v>
      </x:c>
      <x:c r="CM218" s="26" t="n">
        <x:f>(1-BV218/BU218)*100</x:f>
        <x:v>0</x:v>
      </x:c>
      <x:c r="CN218" s="27" t="s">
        <x:v>78</x:v>
      </x:c>
      <x:c r="CO218" s="27">
        <x:v>98.8</x:v>
      </x:c>
      <x:c r="CP218" s="27">
        <x:v>97</x:v>
      </x:c>
      <x:c r="CQ218" s="26">
        <x:f t="shared" si="193"/>
        <x:v>319.18286080000001</x:v>
      </x:c>
      <x:c r="CR218" s="26">
        <x:f t="shared" si="194"/>
        <x:v>525.71294720000003</x:v>
      </x:c>
      <x:c r="CS218" s="26">
        <x:f t="shared" si="202"/>
        <x:v>117.34663999999999</x:v>
      </x:c>
      <x:c r="CT218" s="26">
        <x:f t="shared" si="155"/>
        <x:v>12.543379491955211</x:v>
      </x:c>
      <x:c r="CU218" s="26">
        <x:f t="shared" si="156"/>
        <x:v>7.5692807279040082</x:v>
      </x:c>
      <x:c r="CV218" s="26">
        <x:f t="shared" si="157"/>
        <x:v>1.5138561455808018E-2</x:v>
      </x:c>
      <x:c r="CW218" s="26">
        <x:f t="shared" si="158"/>
        <x:v>0</x:v>
      </x:c>
      <x:c r="CX218" s="26">
        <x:f t="shared" si="203"/>
        <x:v>2.3469328000000003</x:v>
      </x:c>
      <x:c r="CY218" s="26">
        <x:f t="shared" si="204"/>
        <x:v>0</x:v>
      </x:c>
    </x:row>
    <x:row r="219">
      <x:c r="A219" s="18">
        <x:v>2022</x:v>
      </x:c>
      <x:c r="B219" t="s">
        <x:v>480</x:v>
      </x:c>
      <x:c r="C219" t="s">
        <x:v>481</x:v>
      </x:c>
      <x:c r="D219" t="s">
        <x:v>482</x:v>
      </x:c>
      <x:c r="E219" s="18">
        <x:v>440783</x:v>
      </x:c>
      <x:c r="F219" t="s">
        <x:v>479</x:v>
      </x:c>
      <x:c r="G219" t="s">
        <x:v>430</x:v>
      </x:c>
      <x:c r="H219" s="18">
        <x:v>2221</x:v>
      </x:c>
      <x:c r="I219" t="s">
        <x:v>158</x:v>
      </x:c>
      <x:c r="J219" t="s">
        <x:v>78</x:v>
      </x:c>
      <x:c r="K219" t="s">
        <x:v>109</x:v>
      </x:c>
      <x:c r="L219" s="20">
        <x:v>0.6</x:v>
      </x:c>
      <x:c r="M219" t="s">
        <x:v>125</x:v>
      </x:c>
      <x:c r="N219" s="18">
        <x:v>35</x:v>
      </x:c>
      <x:c r="O219" t="s">
        <x:v>88</x:v>
      </x:c>
      <x:c r="P219" s="18">
        <x:v>1</x:v>
      </x:c>
      <x:c r="Q219" s="19" t="s">
        <x:v>121</x:v>
      </x:c>
      <x:c r="R219" s="18">
        <x:v>21150</x:v>
      </x:c>
      <x:c r="S219" t="s">
        <x:v>112</x:v>
      </x:c>
      <x:c r="T219" s="19">
        <x:f t="shared" si="206"/>
        <x:v>21150</x:v>
      </x:c>
      <x:c r="U219" s="20">
        <x:v>0.2</x:v>
      </x:c>
      <x:c r="V219" t="s">
        <x:v>113</x:v>
      </x:c>
      <x:c r="W219" s="20">
        <x:v>14</x:v>
      </x:c>
      <x:c r="X219" s="21">
        <x:f t="shared" si="207"/>
        <x:v>71.91</x:v>
      </x:c>
      <x:c r="Y219" s="21" t="n">
        <x:f>8.96*T219/1000</x:f>
        <x:v>189.50400000000002</x:v>
      </x:c>
      <x:c r="Z219" s="21">
        <x:f t="shared" si="208"/>
        <x:v>42.3</x:v>
      </x:c>
      <x:c r="AA219" s="21" t="n">
        <x:f>W219/100*(1-0.44)*0.29*T219</x:f>
        <x:v>480.86640000000006</x:v>
      </x:c>
      <x:c r="AB219" s="21" t="n">
        <x:f>W219/100*(1-0.44)*0.07*T219</x:f>
        <x:v>116.07120000000003</x:v>
      </x:c>
      <x:c r="AC219" s="21">
        <x:f t="shared" si="214"/>
        <x:v>0.23214240000000008</x:v>
      </x:c>
      <x:c r="AD219" s="21"/>
      <x:c r="AE219" s="21">
        <x:f t="shared" si="210"/>
        <x:v>0.84599999999999997</x:v>
      </x:c>
      <x:c r="AF219" s="21"/>
      <x:c r="AG219" s="19" t="s">
        <x:v>78</x:v>
      </x:c>
      <x:c r="AH219" t="s">
        <x:v>78</x:v>
      </x:c>
      <x:c r="AI219" t="s">
        <x:v>78</x:v>
      </x:c>
      <x:c r="AJ219" s="19"/>
      <x:c r="AK219" s="19" t="s">
        <x:v>78</x:v>
      </x:c>
      <x:c r="AL219" t="s">
        <x:v>78</x:v>
      </x:c>
      <x:c r="AM219" s="19" t="s">
        <x:v>78</x:v>
      </x:c>
      <x:c r="AN219" s="21"/>
      <x:c r="AO219" s="21"/>
      <x:c r="AP219" s="21"/>
      <x:c r="AQ219" s="21"/>
      <x:c r="AR219" s="21"/>
      <x:c r="AS219" s="21"/>
      <x:c r="AT219" s="21"/>
      <x:c r="AU219" s="21"/>
      <x:c r="AV219" s="21"/>
      <x:c r="AW219" t="s">
        <x:v>78</x:v>
      </x:c>
      <x:c r="AX219" s="19"/>
      <x:c r="AY219" s="21"/>
      <x:c r="AZ219" s="21"/>
      <x:c r="BA219" s="21"/>
      <x:c r="BB219" s="21"/>
      <x:c r="BC219" s="21"/>
      <x:c r="BD219" s="21"/>
      <x:c r="BE219" s="21"/>
      <x:c r="BF219" s="21"/>
      <x:c r="BG219" s="21"/>
      <x:c r="BH219" t="s">
        <x:v>81</x:v>
      </x:c>
      <x:c r="BI219" s="18">
        <x:v>112</x:v>
      </x:c>
      <x:c r="BJ219" s="18">
        <x:v>33</x:v>
      </x:c>
      <x:c r="BK219" s="18">
        <x:v>30.26</x:v>
      </x:c>
      <x:c r="BL219" s="18">
        <x:v>22</x:v>
      </x:c>
      <x:c r="BM219" s="18">
        <x:v>28</x:v>
      </x:c>
      <x:c r="BN219" s="18">
        <x:v>17.07</x:v>
      </x:c>
      <x:c r="BO219" s="22">
        <x:v>112.55840555555601</x:v>
      </x:c>
      <x:c r="BP219" s="22">
        <x:v>22.471408333333301</x:v>
      </x:c>
      <x:c r="BQ219" s="18">
        <x:v>60</x:v>
      </x:c>
      <x:c r="BR219" s="18">
        <x:v>35000</x:v>
      </x:c>
      <x:c r="BS219" s="18">
        <x:v>28.553000000000001</x:v>
      </x:c>
      <x:c r="BT219" s="18">
        <x:v>8.1989999999999998</x:v>
      </x:c>
      <x:c r="BU219" s="18">
        <x:v>59.643000000000001</x:v>
      </x:c>
      <x:c r="BV219" s="18">
        <x:v>17.893000000000001</x:v>
      </x:c>
      <x:c r="BW219" s="18">
        <x:v>1370.943</x:v>
      </x:c>
      <x:c r="BX219" s="18">
        <x:v>5.6349999999999998</x:v>
      </x:c>
      <x:c r="BY219" s="18">
        <x:v>287.64</x:v>
      </x:c>
      <x:c r="BZ219" s="18">
        <x:v>287.64</x:v>
      </x:c>
      <x:c r="CA219" s="23">
        <x:f t="shared" si="184"/>
        <x:v>71.91</x:v>
      </x:c>
      <x:c r="CB219" s="23">
        <x:f t="shared" si="185"/>
        <x:v>189.50400000000002</x:v>
      </x:c>
      <x:c r="CC219" s="23">
        <x:f t="shared" si="186"/>
        <x:v>42.3</x:v>
      </x:c>
      <x:c r="CD219" s="23">
        <x:f t="shared" si="187"/>
        <x:v>480.86640000000006</x:v>
      </x:c>
      <x:c r="CE219" s="23">
        <x:f t="shared" si="188"/>
        <x:v>116.07120000000003</x:v>
      </x:c>
      <x:c r="CF219" s="23">
        <x:f t="shared" si="189"/>
        <x:v>0.23214240000000008</x:v>
      </x:c>
      <x:c r="CG219" s="23">
        <x:f t="shared" si="190"/>
        <x:v>0</x:v>
      </x:c>
      <x:c r="CH219" s="23">
        <x:f t="shared" si="191"/>
        <x:v>0.84599999999999997</x:v>
      </x:c>
      <x:c r="CI219" s="23">
        <x:f t="shared" si="192"/>
        <x:v>0</x:v>
      </x:c>
      <x:c r="CJ219" s="24" t="s">
        <x:v>78</x:v>
      </x:c>
      <x:c r="CK219" s="25">
        <x:v>0</x:v>
      </x:c>
      <x:c r="CL219" s="26" t="s">
        <x:v>78</x:v>
      </x:c>
      <x:c r="CM219" s="26" t="n">
        <x:f>(1-BV219/BU219)*100</x:f>
        <x:v>69.99983233573093</x:v>
      </x:c>
      <x:c r="CN219" s="27" t="s">
        <x:v>78</x:v>
      </x:c>
      <x:c r="CO219" s="27">
        <x:v>98.8</x:v>
      </x:c>
      <x:c r="CP219" s="27">
        <x:v>97</x:v>
      </x:c>
      <x:c r="CQ219" s="26">
        <x:f t="shared" si="193"/>
        <x:v>71.91</x:v>
      </x:c>
      <x:c r="CR219" s="26">
        <x:f t="shared" si="194"/>
        <x:v>56.851517730496468</x:v>
      </x:c>
      <x:c r="CS219" s="26">
        <x:f t="shared" si="202"/>
        <x:v>42.3</x:v>
      </x:c>
      <x:c r="CT219" s="26">
        <x:f t="shared" si="155"/>
        <x:v>5.7703968000000057</x:v>
      </x:c>
      <x:c r="CU219" s="26">
        <x:f t="shared" si="156"/>
        <x:v>3.4821360000000041</x:v>
      </x:c>
      <x:c r="CV219" s="26">
        <x:f t="shared" si="157"/>
        <x:v>6.9642720000000083E-3</x:v>
      </x:c>
      <x:c r="CW219" s="26">
        <x:f t="shared" si="158"/>
        <x:v>0</x:v>
      </x:c>
      <x:c r="CX219" s="26">
        <x:f t="shared" si="203"/>
        <x:v>0.84599999999999997</x:v>
      </x:c>
      <x:c r="CY219" s="26">
        <x:f t="shared" si="204"/>
        <x:v>0</x:v>
      </x:c>
    </x:row>
    <x:row r="220">
      <x:c r="A220" s="18">
        <x:v>2022</x:v>
      </x:c>
      <x:c r="B220" t="s">
        <x:v>483</x:v>
      </x:c>
      <x:c r="C220" t="s">
        <x:v>78</x:v>
      </x:c>
      <x:c r="D220" t="s">
        <x:v>484</x:v>
      </x:c>
      <x:c r="E220" s="18">
        <x:v>440802</x:v>
      </x:c>
      <x:c r="F220" t="s">
        <x:v>485</x:v>
      </x:c>
      <x:c r="G220" t="s">
        <x:v>486</x:v>
      </x:c>
      <x:c r="H220" s="18">
        <x:v>4411</x:v>
      </x:c>
      <x:c r="I220" t="s">
        <x:v>102</x:v>
      </x:c>
      <x:c r="J220" t="s">
        <x:v>78</x:v>
      </x:c>
      <x:c r="K220" t="s">
        <x:v>109</x:v>
      </x:c>
      <x:c r="L220" s="20">
        <x:v>33</x:v>
      </x:c>
      <x:c r="M220" t="s">
        <x:v>110</x:v>
      </x:c>
      <x:c r="N220" s="18">
        <x:v>1077</x:v>
      </x:c>
      <x:c r="O220" t="s">
        <x:v>88</x:v>
      </x:c>
      <x:c r="P220" s="18">
        <x:v>4</x:v>
      </x:c>
      <x:c r="Q220" s="19" t="s">
        <x:v>111</x:v>
      </x:c>
      <x:c r="R220" s="18">
        <x:v>753720</x:v>
      </x:c>
      <x:c r="S220" t="s">
        <x:v>112</x:v>
      </x:c>
      <x:c r="T220" s="19">
        <x:f t="shared" si="206"/>
        <x:v>753720</x:v>
      </x:c>
      <x:c r="U220" s="20">
        <x:v>0.96</x:v>
      </x:c>
      <x:c r="V220" t="s">
        <x:v>113</x:v>
      </x:c>
      <x:c r="W220" s="20">
        <x:v>17.489999999999998</x:v>
      </x:c>
      <x:c r="X220" s="21">
        <x:f t="shared" si="207"/>
        <x:v>12300.710399999998</x:v>
      </x:c>
      <x:c r="Y220" s="21" t="n">
        <x:f t="shared" ref="Y220:Y225" si="215">7.21*T220/1000</x:f>
        <x:v>5434.3212</x:v>
      </x:c>
      <x:c r="Z220" s="21">
        <x:f t="shared" si="208"/>
        <x:v>1507.44</x:v>
      </x:c>
      <x:c r="AA220" s="21" t="n">
        <x:f t="shared" ref="AA220:AA225" si="216">W220/100*(1-0.25)*0.23*T220</x:f>
        <x:v>22739.92083</x:v>
      </x:c>
      <x:c r="AB220" s="21" t="n">
        <x:f t="shared" ref="AB220:AB225" si="217">W220/100*(1-0.25)*0.06*T220</x:f>
        <x:v>5932.153259999999</x:v>
      </x:c>
      <x:c r="AC220" s="21" t="n">
        <x:f t="shared" ref="AC220:AC230" si="218">0.002*AB220</x:f>
        <x:v>11.864306519999998</x:v>
      </x:c>
      <x:c r="AD220" s="21"/>
      <x:c r="AE220" s="21">
        <x:f t="shared" si="210"/>
        <x:v>30.148799999999998</x:v>
      </x:c>
      <x:c r="AF220" s="21"/>
      <x:c r="AG220" s="19" t="s">
        <x:v>78</x:v>
      </x:c>
      <x:c r="AH220" t="s">
        <x:v>78</x:v>
      </x:c>
      <x:c r="AI220" t="s">
        <x:v>78</x:v>
      </x:c>
      <x:c r="AJ220" s="19"/>
      <x:c r="AK220" s="19" t="s">
        <x:v>78</x:v>
      </x:c>
      <x:c r="AL220" t="s">
        <x:v>78</x:v>
      </x:c>
      <x:c r="AM220" s="19" t="s">
        <x:v>78</x:v>
      </x:c>
      <x:c r="AN220" s="21"/>
      <x:c r="AO220" s="21"/>
      <x:c r="AP220" s="21"/>
      <x:c r="AQ220" s="21"/>
      <x:c r="AR220" s="21"/>
      <x:c r="AS220" s="21"/>
      <x:c r="AT220" s="21"/>
      <x:c r="AU220" s="21"/>
      <x:c r="AV220" s="21"/>
      <x:c r="AW220" t="s">
        <x:v>78</x:v>
      </x:c>
      <x:c r="AX220" s="19"/>
      <x:c r="AY220" s="21"/>
      <x:c r="AZ220" s="21"/>
      <x:c r="BA220" s="21"/>
      <x:c r="BB220" s="21"/>
      <x:c r="BC220" s="21"/>
      <x:c r="BD220" s="21"/>
      <x:c r="BE220" s="21"/>
      <x:c r="BF220" s="21"/>
      <x:c r="BG220" s="21"/>
      <x:c r="BH220" t="s">
        <x:v>81</x:v>
      </x:c>
      <x:c r="BI220" s="18">
        <x:v>110</x:v>
      </x:c>
      <x:c r="BJ220" s="18">
        <x:v>24</x:v>
      </x:c>
      <x:c r="BK220" s="18">
        <x:v>30.82</x:v>
      </x:c>
      <x:c r="BL220" s="18">
        <x:v>21</x:v>
      </x:c>
      <x:c r="BM220" s="18">
        <x:v>18</x:v>
      </x:c>
      <x:c r="BN220" s="18">
        <x:v>41.8</x:v>
      </x:c>
      <x:c r="BO220" s="22">
        <x:v>110.408561111111</x:v>
      </x:c>
      <x:c r="BP220" s="22">
        <x:v>21.311611111111102</x:v>
      </x:c>
      <x:c r="BQ220" s="18">
        <x:v>210</x:v>
      </x:c>
      <x:c r="BR220" s="18">
        <x:v>668135.80500000005</x:v>
      </x:c>
      <x:c r="BS220" s="18">
        <x:v>12286.239</x:v>
      </x:c>
      <x:c r="BT220" s="18">
        <x:v>143.50299999999999</x:v>
      </x:c>
      <x:c r="BU220" s="18">
        <x:v>2110.4160000000002</x:v>
      </x:c>
      <x:c r="BV220" s="18">
        <x:v>358.77100000000002</x:v>
      </x:c>
      <x:c r="BW220" s="18">
        <x:v>129800.307</x:v>
      </x:c>
      <x:c r="BX220" s="18">
        <x:v>23.760999999999999</x:v>
      </x:c>
      <x:c r="BY220" s="18">
        <x:v>8893.8960000000006</x:v>
      </x:c>
      <x:c r="BZ220" s="18">
        <x:v>8893.8960000000006</x:v>
      </x:c>
      <x:c r="CA220" s="23">
        <x:f t="shared" si="184"/>
        <x:v>12300.710399999998</x:v>
      </x:c>
      <x:c r="CB220" s="23">
        <x:f t="shared" si="185"/>
        <x:v>5434.3212000000003</x:v>
      </x:c>
      <x:c r="CC220" s="23">
        <x:f t="shared" si="186"/>
        <x:v>1507.44</x:v>
      </x:c>
      <x:c r="CD220" s="23">
        <x:f t="shared" si="187"/>
        <x:v>22739.920829999999</x:v>
      </x:c>
      <x:c r="CE220" s="23">
        <x:f t="shared" si="188"/>
        <x:v>5932.1532599999991</x:v>
      </x:c>
      <x:c r="CF220" s="23">
        <x:f t="shared" si="189"/>
        <x:v>11.864306519999998</x:v>
      </x:c>
      <x:c r="CG220" s="23">
        <x:f t="shared" si="190"/>
        <x:v>0</x:v>
      </x:c>
      <x:c r="CH220" s="23">
        <x:f t="shared" si="191"/>
        <x:v>30.148799999999998</x:v>
      </x:c>
      <x:c r="CI220" s="23">
        <x:f t="shared" si="192"/>
        <x:v>0</x:v>
      </x:c>
      <x:c r="CJ220" s="24" t="s">
        <x:v>180</x:v>
      </x:c>
      <x:c r="CK220" s="29">
        <x:v>99.32</x:v>
      </x:c>
      <x:c r="CL220" s="26" t="s">
        <x:v>104</x:v>
      </x:c>
      <x:c r="CM220" s="28">
        <x:v>80</x:v>
      </x:c>
      <x:c r="CN220" s="30" t="s">
        <x:v>208</x:v>
      </x:c>
      <x:c r="CO220" s="27">
        <x:v>98.7</x:v>
      </x:c>
      <x:c r="CP220" s="27">
        <x:v>97</x:v>
      </x:c>
      <x:c r="CQ220" s="26">
        <x:f t="shared" si="193"/>
        <x:v>83.644830720000328</x:v>
      </x:c>
      <x:c r="CR220" s="26">
        <x:f t="shared" si="194"/>
        <x:v>1086.8642399999999</x:v>
      </x:c>
      <x:c r="CS220" s="26">
        <x:f t="shared" si="202"/>
        <x:v>1507.44</x:v>
      </x:c>
      <x:c r="CT220" s="26">
        <x:f t="shared" si="155"/>
        <x:v>295.61897079000028</x:v>
      </x:c>
      <x:c r="CU220" s="26">
        <x:f t="shared" si="156"/>
        <x:v>177.96459780000012</x:v>
      </x:c>
      <x:c r="CV220" s="26">
        <x:f t="shared" si="157"/>
        <x:v>0.35592919560000025</x:v>
      </x:c>
      <x:c r="CW220" s="26">
        <x:f t="shared" si="158"/>
        <x:v>0</x:v>
      </x:c>
      <x:c r="CX220" s="26">
        <x:f t="shared" si="203"/>
        <x:v>30.148799999999998</x:v>
      </x:c>
      <x:c r="CY220" s="26">
        <x:f t="shared" si="204"/>
        <x:v>0</x:v>
      </x:c>
    </x:row>
    <x:row r="221">
      <x:c r="A221" s="18">
        <x:v>2022</x:v>
      </x:c>
      <x:c r="B221" t="s">
        <x:v>483</x:v>
      </x:c>
      <x:c r="C221" t="s">
        <x:v>78</x:v>
      </x:c>
      <x:c r="D221" t="s">
        <x:v>484</x:v>
      </x:c>
      <x:c r="E221" s="18">
        <x:v>440802</x:v>
      </x:c>
      <x:c r="F221" t="s">
        <x:v>485</x:v>
      </x:c>
      <x:c r="G221" t="s">
        <x:v>486</x:v>
      </x:c>
      <x:c r="H221" s="18">
        <x:v>4411</x:v>
      </x:c>
      <x:c r="I221" t="s">
        <x:v>102</x:v>
      </x:c>
      <x:c r="J221" t="s">
        <x:v>78</x:v>
      </x:c>
      <x:c r="K221" t="s">
        <x:v>109</x:v>
      </x:c>
      <x:c r="L221" s="20">
        <x:v>33</x:v>
      </x:c>
      <x:c r="M221" t="s">
        <x:v>110</x:v>
      </x:c>
      <x:c r="N221" s="18">
        <x:v>1077</x:v>
      </x:c>
      <x:c r="O221" t="s">
        <x:v>88</x:v>
      </x:c>
      <x:c r="P221" s="18">
        <x:v>4</x:v>
      </x:c>
      <x:c r="Q221" s="19" t="s">
        <x:v>111</x:v>
      </x:c>
      <x:c r="R221" s="18">
        <x:v>590169</x:v>
      </x:c>
      <x:c r="S221" t="s">
        <x:v>112</x:v>
      </x:c>
      <x:c r="T221" s="19">
        <x:f t="shared" si="206"/>
        <x:v>590169</x:v>
      </x:c>
      <x:c r="U221" s="20">
        <x:v>0.96</x:v>
      </x:c>
      <x:c r="V221" t="s">
        <x:v>113</x:v>
      </x:c>
      <x:c r="W221" s="20">
        <x:v>17.489999999999998</x:v>
      </x:c>
      <x:c r="X221" s="21">
        <x:f t="shared" si="207"/>
        <x:v>9631.5580799999989</x:v>
      </x:c>
      <x:c r="Y221" s="21">
        <x:f t="shared" si="215"/>
        <x:v>4255.1184899999998</x:v>
      </x:c>
      <x:c r="Z221" s="21">
        <x:f t="shared" si="208"/>
        <x:v>1180.338</x:v>
      </x:c>
      <x:c r="AA221" s="21">
        <x:f t="shared" si="216"/>
        <x:v>17805.546272249998</x:v>
      </x:c>
      <x:c r="AB221" s="21">
        <x:f t="shared" si="217"/>
        <x:v>4644.9251144999998</x:v>
      </x:c>
      <x:c r="AC221" s="21">
        <x:f t="shared" si="218"/>
        <x:v>9.2898502290000007</x:v>
      </x:c>
      <x:c r="AD221" s="21"/>
      <x:c r="AE221" s="21">
        <x:f t="shared" si="210"/>
        <x:v>23.606760000000001</x:v>
      </x:c>
      <x:c r="AF221" s="21"/>
      <x:c r="AG221" s="19" t="s">
        <x:v>78</x:v>
      </x:c>
      <x:c r="AH221" t="s">
        <x:v>78</x:v>
      </x:c>
      <x:c r="AI221" t="s">
        <x:v>78</x:v>
      </x:c>
      <x:c r="AJ221" s="19"/>
      <x:c r="AK221" s="19" t="s">
        <x:v>78</x:v>
      </x:c>
      <x:c r="AL221" t="s">
        <x:v>78</x:v>
      </x:c>
      <x:c r="AM221" s="19" t="s">
        <x:v>78</x:v>
      </x:c>
      <x:c r="AN221" s="21"/>
      <x:c r="AO221" s="21"/>
      <x:c r="AP221" s="21"/>
      <x:c r="AQ221" s="21"/>
      <x:c r="AR221" s="21"/>
      <x:c r="AS221" s="21"/>
      <x:c r="AT221" s="21"/>
      <x:c r="AU221" s="21"/>
      <x:c r="AV221" s="21"/>
      <x:c r="AW221" t="s">
        <x:v>78</x:v>
      </x:c>
      <x:c r="AX221" s="19"/>
      <x:c r="AY221" s="21"/>
      <x:c r="AZ221" s="21"/>
      <x:c r="BA221" s="21"/>
      <x:c r="BB221" s="21"/>
      <x:c r="BC221" s="21"/>
      <x:c r="BD221" s="21"/>
      <x:c r="BE221" s="21"/>
      <x:c r="BF221" s="21"/>
      <x:c r="BG221" s="21"/>
      <x:c r="BH221" t="s">
        <x:v>79</x:v>
      </x:c>
      <x:c r="BI221" s="18">
        <x:v>110</x:v>
      </x:c>
      <x:c r="BJ221" s="18">
        <x:v>24</x:v>
      </x:c>
      <x:c r="BK221" s="18">
        <x:v>30.82</x:v>
      </x:c>
      <x:c r="BL221" s="18">
        <x:v>21</x:v>
      </x:c>
      <x:c r="BM221" s="18">
        <x:v>18</x:v>
      </x:c>
      <x:c r="BN221" s="18">
        <x:v>41.8</x:v>
      </x:c>
      <x:c r="BO221" s="22">
        <x:v>110.408561111111</x:v>
      </x:c>
      <x:c r="BP221" s="22">
        <x:v>21.311611111111102</x:v>
      </x:c>
      <x:c r="BQ221" s="18">
        <x:v>210</x:v>
      </x:c>
      <x:c r="BR221" s="18">
        <x:v>632382.20499999996</x:v>
      </x:c>
      <x:c r="BS221" s="18">
        <x:v>9620.2270000000008</x:v>
      </x:c>
      <x:c r="BT221" s="18">
        <x:v>112.364</x:v>
      </x:c>
      <x:c r="BU221" s="18">
        <x:v>1652.473</x:v>
      </x:c>
      <x:c r="BV221" s="18">
        <x:v>285.03500000000003</x:v>
      </x:c>
      <x:c r="BW221" s="18">
        <x:v>101634.715</x:v>
      </x:c>
      <x:c r="BX221" s="18">
        <x:v>17.283999999999999</x:v>
      </x:c>
      <x:c r="BY221" s="18">
        <x:v>6963.9939999999997</x:v>
      </x:c>
      <x:c r="BZ221" s="18">
        <x:v>6963.9939999999997</x:v>
      </x:c>
      <x:c r="CA221" s="23">
        <x:f t="shared" si="184"/>
        <x:v>9631.5580799999989</x:v>
      </x:c>
      <x:c r="CB221" s="23">
        <x:f t="shared" si="185"/>
        <x:v>4255.1184899999998</x:v>
      </x:c>
      <x:c r="CC221" s="23">
        <x:f t="shared" si="186"/>
        <x:v>1180.338</x:v>
      </x:c>
      <x:c r="CD221" s="23">
        <x:f t="shared" si="187"/>
        <x:v>17805.546272249998</x:v>
      </x:c>
      <x:c r="CE221" s="23">
        <x:f t="shared" si="188"/>
        <x:v>4644.9251144999998</x:v>
      </x:c>
      <x:c r="CF221" s="23">
        <x:f t="shared" si="189"/>
        <x:v>9.2898502290000007</x:v>
      </x:c>
      <x:c r="CG221" s="23">
        <x:f t="shared" si="190"/>
        <x:v>0</x:v>
      </x:c>
      <x:c r="CH221" s="23">
        <x:f t="shared" si="191"/>
        <x:v>23.606760000000001</x:v>
      </x:c>
      <x:c r="CI221" s="23">
        <x:f t="shared" si="192"/>
        <x:v>0</x:v>
      </x:c>
      <x:c r="CJ221" s="24" t="s">
        <x:v>180</x:v>
      </x:c>
      <x:c r="CK221" s="29">
        <x:v>99.32</x:v>
      </x:c>
      <x:c r="CL221" s="26" t="s">
        <x:v>104</x:v>
      </x:c>
      <x:c r="CM221" s="28">
        <x:v>80</x:v>
      </x:c>
      <x:c r="CN221" s="30" t="s">
        <x:v>208</x:v>
      </x:c>
      <x:c r="CO221" s="27">
        <x:v>98.7</x:v>
      </x:c>
      <x:c r="CP221" s="27">
        <x:v>97</x:v>
      </x:c>
      <x:c r="CQ221" s="26">
        <x:f t="shared" si="193"/>
        <x:v>65.494594944000269</x:v>
      </x:c>
      <x:c r="CR221" s="26">
        <x:f t="shared" si="194"/>
        <x:v>851.02369799999974</x:v>
      </x:c>
      <x:c r="CS221" s="26">
        <x:f t="shared" si="202"/>
        <x:v>1180.338</x:v>
      </x:c>
      <x:c r="CT221" s="26">
        <x:f t="shared" si="155"/>
        <x:v>231.47210153925019</x:v>
      </x:c>
      <x:c r="CU221" s="26">
        <x:f t="shared" si="156"/>
        <x:v>139.34775343500013</x:v>
      </x:c>
      <x:c r="CV221" s="26">
        <x:f t="shared" si="157"/>
        <x:v>0.27869550687000028</x:v>
      </x:c>
      <x:c r="CW221" s="26">
        <x:f t="shared" si="158"/>
        <x:v>0</x:v>
      </x:c>
      <x:c r="CX221" s="26">
        <x:f t="shared" si="203"/>
        <x:v>23.606760000000001</x:v>
      </x:c>
      <x:c r="CY221" s="26">
        <x:f t="shared" si="204"/>
        <x:v>0</x:v>
      </x:c>
    </x:row>
    <x:row r="222">
      <x:c r="A222" s="18">
        <x:v>2022</x:v>
      </x:c>
      <x:c r="B222" t="s">
        <x:v>483</x:v>
      </x:c>
      <x:c r="C222" t="s">
        <x:v>78</x:v>
      </x:c>
      <x:c r="D222" t="s">
        <x:v>484</x:v>
      </x:c>
      <x:c r="E222" s="18">
        <x:v>440802</x:v>
      </x:c>
      <x:c r="F222" t="s">
        <x:v>485</x:v>
      </x:c>
      <x:c r="G222" t="s">
        <x:v>486</x:v>
      </x:c>
      <x:c r="H222" s="18">
        <x:v>4411</x:v>
      </x:c>
      <x:c r="I222" t="s">
        <x:v>102</x:v>
      </x:c>
      <x:c r="J222" t="s">
        <x:v>78</x:v>
      </x:c>
      <x:c r="K222" t="s">
        <x:v>109</x:v>
      </x:c>
      <x:c r="L222" s="20">
        <x:v>33</x:v>
      </x:c>
      <x:c r="M222" t="s">
        <x:v>110</x:v>
      </x:c>
      <x:c r="N222" s="18">
        <x:v>1072</x:v>
      </x:c>
      <x:c r="O222" t="s">
        <x:v>88</x:v>
      </x:c>
      <x:c r="P222" s="18">
        <x:v>4</x:v>
      </x:c>
      <x:c r="Q222" s="19" t="s">
        <x:v>111</x:v>
      </x:c>
      <x:c r="R222" s="18">
        <x:v>741242</x:v>
      </x:c>
      <x:c r="S222" t="s">
        <x:v>112</x:v>
      </x:c>
      <x:c r="T222" s="19">
        <x:f t="shared" si="206"/>
        <x:v>741242</x:v>
      </x:c>
      <x:c r="U222" s="20">
        <x:v>0.96</x:v>
      </x:c>
      <x:c r="V222" t="s">
        <x:v>113</x:v>
      </x:c>
      <x:c r="W222" s="20">
        <x:v>17.489999999999998</x:v>
      </x:c>
      <x:c r="X222" s="21">
        <x:f t="shared" si="207"/>
        <x:v>12097.069439999997</x:v>
      </x:c>
      <x:c r="Y222" s="21">
        <x:f t="shared" si="215"/>
        <x:v>5344.3548200000005</x:v>
      </x:c>
      <x:c r="Z222" s="21">
        <x:f t="shared" si="208"/>
        <x:v>1482.4839999999999</x:v>
      </x:c>
      <x:c r="AA222" s="21">
        <x:f t="shared" si="216"/>
        <x:v>22363.456450499998</x:v>
      </x:c>
      <x:c r="AB222" s="21">
        <x:f t="shared" si="217"/>
        <x:v>5833.9451609999996</x:v>
      </x:c>
      <x:c r="AC222" s="21">
        <x:f t="shared" si="218"/>
        <x:v>11.667890322</x:v>
      </x:c>
      <x:c r="AD222" s="21"/>
      <x:c r="AE222" s="21">
        <x:f t="shared" si="210"/>
        <x:v>29.64968</x:v>
      </x:c>
      <x:c r="AF222" s="21"/>
      <x:c r="AG222" s="19" t="s">
        <x:v>78</x:v>
      </x:c>
      <x:c r="AH222" t="s">
        <x:v>78</x:v>
      </x:c>
      <x:c r="AI222" t="s">
        <x:v>78</x:v>
      </x:c>
      <x:c r="AJ222" s="19"/>
      <x:c r="AK222" s="19" t="s">
        <x:v>78</x:v>
      </x:c>
      <x:c r="AL222" t="s">
        <x:v>78</x:v>
      </x:c>
      <x:c r="AM222" s="19" t="s">
        <x:v>78</x:v>
      </x:c>
      <x:c r="AN222" s="21"/>
      <x:c r="AO222" s="21"/>
      <x:c r="AP222" s="21"/>
      <x:c r="AQ222" s="21"/>
      <x:c r="AR222" s="21"/>
      <x:c r="AS222" s="21"/>
      <x:c r="AT222" s="21"/>
      <x:c r="AU222" s="21"/>
      <x:c r="AV222" s="21"/>
      <x:c r="AW222" t="s">
        <x:v>78</x:v>
      </x:c>
      <x:c r="AX222" s="19"/>
      <x:c r="AY222" s="21"/>
      <x:c r="AZ222" s="21"/>
      <x:c r="BA222" s="21"/>
      <x:c r="BB222" s="21"/>
      <x:c r="BC222" s="21"/>
      <x:c r="BD222" s="21"/>
      <x:c r="BE222" s="21"/>
      <x:c r="BF222" s="21"/>
      <x:c r="BG222" s="21"/>
      <x:c r="BH222" t="s">
        <x:v>82</x:v>
      </x:c>
      <x:c r="BI222" s="18">
        <x:v>110</x:v>
      </x:c>
      <x:c r="BJ222" s="18">
        <x:v>24</x:v>
      </x:c>
      <x:c r="BK222" s="18">
        <x:v>30.82</x:v>
      </x:c>
      <x:c r="BL222" s="18">
        <x:v>21</x:v>
      </x:c>
      <x:c r="BM222" s="18">
        <x:v>18</x:v>
      </x:c>
      <x:c r="BN222" s="18">
        <x:v>41.8</x:v>
      </x:c>
      <x:c r="BO222" s="22">
        <x:v>110.408561111111</x:v>
      </x:c>
      <x:c r="BP222" s="22">
        <x:v>21.311611111111102</x:v>
      </x:c>
      <x:c r="BQ222" s="18">
        <x:v>210</x:v>
      </x:c>
      <x:c r="BR222" s="18">
        <x:v>887530.06799999997</x:v>
      </x:c>
      <x:c r="BS222" s="18">
        <x:v>12082.838</x:v>
      </x:c>
      <x:c r="BT222" s="18">
        <x:v>141.12799999999999</x:v>
      </x:c>
      <x:c r="BU222" s="18">
        <x:v>2075.4780000000001</x:v>
      </x:c>
      <x:c r="BV222" s="18">
        <x:v>352.83100000000002</x:v>
      </x:c>
      <x:c r="BW222" s="18">
        <x:v>127651.43399999999</x:v>
      </x:c>
      <x:c r="BX222" s="18">
        <x:v>23.367999999999999</x:v>
      </x:c>
      <x:c r="BY222" s="18">
        <x:v>8746.6560000000009</x:v>
      </x:c>
      <x:c r="BZ222" s="18">
        <x:v>8746.6560000000009</x:v>
      </x:c>
      <x:c r="CA222" s="23">
        <x:f t="shared" si="184"/>
        <x:v>12097.069439999997</x:v>
      </x:c>
      <x:c r="CB222" s="23">
        <x:f t="shared" si="185"/>
        <x:v>5344.3548200000005</x:v>
      </x:c>
      <x:c r="CC222" s="23">
        <x:f t="shared" si="186"/>
        <x:v>1482.4839999999999</x:v>
      </x:c>
      <x:c r="CD222" s="23">
        <x:f t="shared" si="187"/>
        <x:v>22363.456450499998</x:v>
      </x:c>
      <x:c r="CE222" s="23">
        <x:f t="shared" si="188"/>
        <x:v>5833.9451609999996</x:v>
      </x:c>
      <x:c r="CF222" s="23">
        <x:f t="shared" si="189"/>
        <x:v>11.667890322</x:v>
      </x:c>
      <x:c r="CG222" s="23">
        <x:f t="shared" si="190"/>
        <x:v>0</x:v>
      </x:c>
      <x:c r="CH222" s="23">
        <x:f t="shared" si="191"/>
        <x:v>29.64968</x:v>
      </x:c>
      <x:c r="CI222" s="23">
        <x:f t="shared" si="192"/>
        <x:v>0</x:v>
      </x:c>
      <x:c r="CJ222" s="24" t="s">
        <x:v>180</x:v>
      </x:c>
      <x:c r="CK222" s="29">
        <x:v>99.32</x:v>
      </x:c>
      <x:c r="CL222" s="26" t="s">
        <x:v>104</x:v>
      </x:c>
      <x:c r="CM222" s="28">
        <x:v>80</x:v>
      </x:c>
      <x:c r="CN222" s="30" t="s">
        <x:v>208</x:v>
      </x:c>
      <x:c r="CO222" s="27">
        <x:v>98.7</x:v>
      </x:c>
      <x:c r="CP222" s="27">
        <x:v>97</x:v>
      </x:c>
      <x:c r="CQ222" s="26">
        <x:f t="shared" si="193"/>
        <x:v>82.260072192000322</x:v>
      </x:c>
      <x:c r="CR222" s="26">
        <x:f t="shared" si="194"/>
        <x:v>1068.870964</x:v>
      </x:c>
      <x:c r="CS222" s="26">
        <x:f t="shared" si="202"/>
        <x:v>1482.4839999999999</x:v>
      </x:c>
      <x:c r="CT222" s="26" t="n">
        <x:f t="shared" ref="CT222:CT285" si="219">CD222*(1-CO222/100)</x:f>
        <x:v>290.72493385650023</x:v>
      </x:c>
      <x:c r="CU222" s="26" t="n">
        <x:f t="shared" ref="CU222:CU285" si="220">CE222*(1-CP222/100)</x:f>
        <x:v>175.01835483000013</x:v>
      </x:c>
      <x:c r="CV222" s="26" t="n">
        <x:f t="shared" ref="CV222:CV285" si="221">CF222*(1-CP222/100)</x:f>
        <x:v>0.35003670966000033</x:v>
      </x:c>
      <x:c r="CW222" s="26" t="n">
        <x:f t="shared" ref="CW222:CW285" si="222">CG222*(1-CP222/100)</x:f>
        <x:v>0</x:v>
      </x:c>
      <x:c r="CX222" s="26">
        <x:f t="shared" si="203"/>
        <x:v>29.64968</x:v>
      </x:c>
      <x:c r="CY222" s="26">
        <x:f t="shared" si="204"/>
        <x:v>0</x:v>
      </x:c>
    </x:row>
    <x:row r="223">
      <x:c r="A223" s="18">
        <x:v>2022</x:v>
      </x:c>
      <x:c r="B223" t="s">
        <x:v>483</x:v>
      </x:c>
      <x:c r="C223" t="s">
        <x:v>78</x:v>
      </x:c>
      <x:c r="D223" t="s">
        <x:v>484</x:v>
      </x:c>
      <x:c r="E223" s="18">
        <x:v>440802</x:v>
      </x:c>
      <x:c r="F223" t="s">
        <x:v>485</x:v>
      </x:c>
      <x:c r="G223" t="s">
        <x:v>486</x:v>
      </x:c>
      <x:c r="H223" s="18">
        <x:v>4411</x:v>
      </x:c>
      <x:c r="I223" t="s">
        <x:v>102</x:v>
      </x:c>
      <x:c r="J223" t="s">
        <x:v>78</x:v>
      </x:c>
      <x:c r="K223" t="s">
        <x:v>109</x:v>
      </x:c>
      <x:c r="L223" s="20">
        <x:v>33</x:v>
      </x:c>
      <x:c r="M223" t="s">
        <x:v>110</x:v>
      </x:c>
      <x:c r="N223" s="18">
        <x:v>1072</x:v>
      </x:c>
      <x:c r="O223" t="s">
        <x:v>88</x:v>
      </x:c>
      <x:c r="P223" s="18">
        <x:v>4</x:v>
      </x:c>
      <x:c r="Q223" s="19" t="s">
        <x:v>111</x:v>
      </x:c>
      <x:c r="R223" s="18">
        <x:v>721441</x:v>
      </x:c>
      <x:c r="S223" t="s">
        <x:v>112</x:v>
      </x:c>
      <x:c r="T223" s="19">
        <x:f t="shared" si="206"/>
        <x:v>721441</x:v>
      </x:c>
      <x:c r="U223" s="20">
        <x:v>0.96</x:v>
      </x:c>
      <x:c r="V223" t="s">
        <x:v>113</x:v>
      </x:c>
      <x:c r="W223" s="20">
        <x:v>17.489999999999998</x:v>
      </x:c>
      <x:c r="X223" s="21">
        <x:f t="shared" si="207"/>
        <x:v>11773.917119999998</x:v>
      </x:c>
      <x:c r="Y223" s="21">
        <x:f t="shared" si="215"/>
        <x:v>5201.58961</x:v>
      </x:c>
      <x:c r="Z223" s="21">
        <x:f t="shared" si="208"/>
        <x:v>1442.8820000000001</x:v>
      </x:c>
      <x:c r="AA223" s="21">
        <x:f t="shared" si="216"/>
        <x:v>21766.055330250001</x:v>
      </x:c>
      <x:c r="AB223" s="21">
        <x:f t="shared" si="217"/>
        <x:v>5678.1013904999991</x:v>
      </x:c>
      <x:c r="AC223" s="21">
        <x:f t="shared" si="218"/>
        <x:v>11.356202780999999</x:v>
      </x:c>
      <x:c r="AD223" s="21"/>
      <x:c r="AE223" s="21">
        <x:f t="shared" si="210"/>
        <x:v>28.85764</x:v>
      </x:c>
      <x:c r="AF223" s="21"/>
      <x:c r="AG223" s="19" t="s">
        <x:v>78</x:v>
      </x:c>
      <x:c r="AH223" t="s">
        <x:v>78</x:v>
      </x:c>
      <x:c r="AI223" t="s">
        <x:v>78</x:v>
      </x:c>
      <x:c r="AJ223" s="19"/>
      <x:c r="AK223" s="19" t="s">
        <x:v>78</x:v>
      </x:c>
      <x:c r="AL223" t="s">
        <x:v>78</x:v>
      </x:c>
      <x:c r="AM223" s="19" t="s">
        <x:v>78</x:v>
      </x:c>
      <x:c r="AN223" s="21"/>
      <x:c r="AO223" s="21"/>
      <x:c r="AP223" s="21"/>
      <x:c r="AQ223" s="21"/>
      <x:c r="AR223" s="21"/>
      <x:c r="AS223" s="21"/>
      <x:c r="AT223" s="21"/>
      <x:c r="AU223" s="21"/>
      <x:c r="AV223" s="21"/>
      <x:c r="AW223" t="s">
        <x:v>78</x:v>
      </x:c>
      <x:c r="AX223" s="19"/>
      <x:c r="AY223" s="21"/>
      <x:c r="AZ223" s="21"/>
      <x:c r="BA223" s="21"/>
      <x:c r="BB223" s="21"/>
      <x:c r="BC223" s="21"/>
      <x:c r="BD223" s="21"/>
      <x:c r="BE223" s="21"/>
      <x:c r="BF223" s="21"/>
      <x:c r="BG223" s="21"/>
      <x:c r="BH223" t="s">
        <x:v>83</x:v>
      </x:c>
      <x:c r="BI223" s="18">
        <x:v>110</x:v>
      </x:c>
      <x:c r="BJ223" s="18">
        <x:v>24</x:v>
      </x:c>
      <x:c r="BK223" s="18">
        <x:v>30.82</x:v>
      </x:c>
      <x:c r="BL223" s="18">
        <x:v>21</x:v>
      </x:c>
      <x:c r="BM223" s="18">
        <x:v>18</x:v>
      </x:c>
      <x:c r="BN223" s="18">
        <x:v>41.8</x:v>
      </x:c>
      <x:c r="BO223" s="22">
        <x:v>110.408561111111</x:v>
      </x:c>
      <x:c r="BP223" s="22">
        <x:v>21.311611111111102</x:v>
      </x:c>
      <x:c r="BQ223" s="18">
        <x:v>210</x:v>
      </x:c>
      <x:c r="BR223" s="18">
        <x:v>557913.40599999996</x:v>
      </x:c>
      <x:c r="BS223" s="18">
        <x:v>11760.065000000001</x:v>
      </x:c>
      <x:c r="BT223" s="18">
        <x:v>137.358</x:v>
      </x:c>
      <x:c r="BU223" s="18">
        <x:v>2020.0350000000001</x:v>
      </x:c>
      <x:c r="BV223" s="18">
        <x:v>343.40600000000001</x:v>
      </x:c>
      <x:c r="BW223" s="18">
        <x:v>124241.447</x:v>
      </x:c>
      <x:c r="BX223" s="18">
        <x:v>22.744</x:v>
      </x:c>
      <x:c r="BY223" s="18">
        <x:v>8513.0040000000008</x:v>
      </x:c>
      <x:c r="BZ223" s="18">
        <x:v>8513.0040000000008</x:v>
      </x:c>
      <x:c r="CA223" s="23">
        <x:f t="shared" si="184"/>
        <x:v>11773.917119999998</x:v>
      </x:c>
      <x:c r="CB223" s="23">
        <x:f t="shared" si="185"/>
        <x:v>5201.58961</x:v>
      </x:c>
      <x:c r="CC223" s="23">
        <x:f t="shared" si="186"/>
        <x:v>1442.8820000000001</x:v>
      </x:c>
      <x:c r="CD223" s="23">
        <x:f t="shared" si="187"/>
        <x:v>21766.055330250001</x:v>
      </x:c>
      <x:c r="CE223" s="23">
        <x:f t="shared" si="188"/>
        <x:v>5678.1013904999991</x:v>
      </x:c>
      <x:c r="CF223" s="23">
        <x:f t="shared" si="189"/>
        <x:v>11.356202780999999</x:v>
      </x:c>
      <x:c r="CG223" s="23">
        <x:f t="shared" si="190"/>
        <x:v>0</x:v>
      </x:c>
      <x:c r="CH223" s="23">
        <x:f t="shared" si="191"/>
        <x:v>28.85764</x:v>
      </x:c>
      <x:c r="CI223" s="23">
        <x:f t="shared" si="192"/>
        <x:v>0</x:v>
      </x:c>
      <x:c r="CJ223" s="24" t="s">
        <x:v>180</x:v>
      </x:c>
      <x:c r="CK223" s="29">
        <x:v>99.32</x:v>
      </x:c>
      <x:c r="CL223" s="26" t="s">
        <x:v>104</x:v>
      </x:c>
      <x:c r="CM223" s="28">
        <x:v>80</x:v>
      </x:c>
      <x:c r="CN223" s="30" t="s">
        <x:v>208</x:v>
      </x:c>
      <x:c r="CO223" s="27">
        <x:v>98.7</x:v>
      </x:c>
      <x:c r="CP223" s="27">
        <x:v>97</x:v>
      </x:c>
      <x:c r="CQ223" s="26">
        <x:f t="shared" si="193"/>
        <x:v>80.062636416000316</x:v>
      </x:c>
      <x:c r="CR223" s="26">
        <x:f t="shared" si="194"/>
        <x:v>1040.3179219999997</x:v>
      </x:c>
      <x:c r="CS223" s="26">
        <x:f t="shared" si="202"/>
        <x:v>1442.8820000000001</x:v>
      </x:c>
      <x:c r="CT223" s="26">
        <x:f t="shared" si="219"/>
        <x:v>282.95871929325028</x:v>
      </x:c>
      <x:c r="CU223" s="26">
        <x:f t="shared" si="220"/>
        <x:v>170.34304171500011</x:v>
      </x:c>
      <x:c r="CV223" s="26">
        <x:f t="shared" si="221"/>
        <x:v>0.34068608343000029</x:v>
      </x:c>
      <x:c r="CW223" s="26">
        <x:f t="shared" si="222"/>
        <x:v>0</x:v>
      </x:c>
      <x:c r="CX223" s="26">
        <x:f t="shared" si="203"/>
        <x:v>28.85764</x:v>
      </x:c>
      <x:c r="CY223" s="26">
        <x:f t="shared" si="204"/>
        <x:v>0</x:v>
      </x:c>
    </x:row>
    <x:row r="224">
      <x:c r="A224" s="18">
        <x:v>2022</x:v>
      </x:c>
      <x:c r="B224" t="s">
        <x:v>487</x:v>
      </x:c>
      <x:c r="C224" t="s">
        <x:v>488</x:v>
      </x:c>
      <x:c r="D224" t="s">
        <x:v>489</x:v>
      </x:c>
      <x:c r="E224" s="18">
        <x:v>440802</x:v>
      </x:c>
      <x:c r="F224" t="s">
        <x:v>485</x:v>
      </x:c>
      <x:c r="G224" t="s">
        <x:v>486</x:v>
      </x:c>
      <x:c r="H224" s="18">
        <x:v>4411</x:v>
      </x:c>
      <x:c r="I224" t="s">
        <x:v>102</x:v>
      </x:c>
      <x:c r="J224" t="s">
        <x:v>78</x:v>
      </x:c>
      <x:c r="K224" t="s">
        <x:v>109</x:v>
      </x:c>
      <x:c r="L224" s="20">
        <x:v>60</x:v>
      </x:c>
      <x:c r="M224" t="s">
        <x:v>110</x:v>
      </x:c>
      <x:c r="N224" s="18">
        <x:v>2030</x:v>
      </x:c>
      <x:c r="O224" t="s">
        <x:v>88</x:v>
      </x:c>
      <x:c r="P224" s="18">
        <x:v>1</x:v>
      </x:c>
      <x:c r="Q224" s="19" t="s">
        <x:v>121</x:v>
      </x:c>
      <x:c r="R224" s="18">
        <x:v>931784</x:v>
      </x:c>
      <x:c r="S224" t="s">
        <x:v>112</x:v>
      </x:c>
      <x:c r="T224" s="19">
        <x:f t="shared" si="206"/>
        <x:v>931784</x:v>
      </x:c>
      <x:c r="U224" s="20">
        <x:v>1.02</x:v>
      </x:c>
      <x:c r="V224" t="s">
        <x:v>113</x:v>
      </x:c>
      <x:c r="W224" s="20">
        <x:v>19.399999999999999</x:v>
      </x:c>
      <x:c r="X224" s="21">
        <x:f t="shared" si="207"/>
        <x:v>16157.13456</x:v>
      </x:c>
      <x:c r="Y224" s="21">
        <x:f t="shared" si="215"/>
        <x:v>6718.1626399999996</x:v>
      </x:c>
      <x:c r="Z224" s="21">
        <x:f t="shared" si="208"/>
        <x:v>1863.568</x:v>
      </x:c>
      <x:c r="AA224" s="21">
        <x:f t="shared" si="216"/>
        <x:v>31182.151560000002</x:v>
      </x:c>
      <x:c r="AB224" s="21">
        <x:f t="shared" si="217"/>
        <x:v>8134.4743200000003</x:v>
      </x:c>
      <x:c r="AC224" s="21">
        <x:f t="shared" si="218"/>
        <x:v>16.268948640000001</x:v>
      </x:c>
      <x:c r="AD224" s="21"/>
      <x:c r="AE224" s="21">
        <x:f t="shared" si="210"/>
        <x:v>37.271360000000001</x:v>
      </x:c>
      <x:c r="AF224" s="21"/>
      <x:c r="AG224" s="19" t="s">
        <x:v>78</x:v>
      </x:c>
      <x:c r="AH224" t="s">
        <x:v>78</x:v>
      </x:c>
      <x:c r="AI224" t="s">
        <x:v>78</x:v>
      </x:c>
      <x:c r="AJ224" s="19"/>
      <x:c r="AK224" s="19" t="s">
        <x:v>78</x:v>
      </x:c>
      <x:c r="AL224" t="s">
        <x:v>78</x:v>
      </x:c>
      <x:c r="AM224" s="19" t="s">
        <x:v>78</x:v>
      </x:c>
      <x:c r="AN224" s="21"/>
      <x:c r="AO224" s="21"/>
      <x:c r="AP224" s="21"/>
      <x:c r="AQ224" s="21"/>
      <x:c r="AR224" s="21"/>
      <x:c r="AS224" s="21"/>
      <x:c r="AT224" s="21"/>
      <x:c r="AU224" s="21"/>
      <x:c r="AV224" s="21"/>
      <x:c r="AW224" t="s">
        <x:v>78</x:v>
      </x:c>
      <x:c r="AX224" s="19"/>
      <x:c r="AY224" s="21"/>
      <x:c r="AZ224" s="21"/>
      <x:c r="BA224" s="21"/>
      <x:c r="BB224" s="21"/>
      <x:c r="BC224" s="21"/>
      <x:c r="BD224" s="21"/>
      <x:c r="BE224" s="21"/>
      <x:c r="BF224" s="21"/>
      <x:c r="BG224" s="21"/>
      <x:c r="BH224" t="s">
        <x:v>81</x:v>
      </x:c>
      <x:c r="BI224" s="18">
        <x:v>110</x:v>
      </x:c>
      <x:c r="BJ224" s="18">
        <x:v>3</x:v>
      </x:c>
      <x:c r="BK224" s="18">
        <x:v>36</x:v>
      </x:c>
      <x:c r="BL224" s="18">
        <x:v>21</x:v>
      </x:c>
      <x:c r="BM224" s="18">
        <x:v>3</x:v>
      </x:c>
      <x:c r="BN224" s="18">
        <x:v>22</x:v>
      </x:c>
      <x:c r="BO224" s="22">
        <x:v>110.06</x:v>
      </x:c>
      <x:c r="BP224" s="22">
        <x:v>21.0561111111111</x:v>
      </x:c>
      <x:c r="BQ224" s="18">
        <x:v>210</x:v>
      </x:c>
      <x:c r="BR224" s="18">
        <x:v>838912.29</x:v>
      </x:c>
      <x:c r="BS224" s="18">
        <x:v>16195.151</x:v>
      </x:c>
      <x:c r="BT224" s="18">
        <x:v>128.91300000000001</x:v>
      </x:c>
      <x:c r="BU224" s="18">
        <x:v>2021.971</x:v>
      </x:c>
      <x:c r="BV224" s="18">
        <x:v>240.90199999999999</x:v>
      </x:c>
      <x:c r="BW224" s="18">
        <x:v>175255.52499999999</x:v>
      </x:c>
      <x:c r="BX224" s="18">
        <x:v>5.5720000000000001</x:v>
      </x:c>
      <x:c r="BY224" s="18">
        <x:v>6438.6270000000004</x:v>
      </x:c>
      <x:c r="BZ224" s="18">
        <x:v>6438.6270000000004</x:v>
      </x:c>
      <x:c r="CA224" s="23">
        <x:f t="shared" si="184"/>
        <x:v>16157.13456</x:v>
      </x:c>
      <x:c r="CB224" s="23">
        <x:f t="shared" si="185"/>
        <x:v>6718.1626399999996</x:v>
      </x:c>
      <x:c r="CC224" s="23">
        <x:f t="shared" si="186"/>
        <x:v>1863.568</x:v>
      </x:c>
      <x:c r="CD224" s="23">
        <x:f t="shared" si="187"/>
        <x:v>31182.151560000002</x:v>
      </x:c>
      <x:c r="CE224" s="23">
        <x:f t="shared" si="188"/>
        <x:v>8134.4743200000003</x:v>
      </x:c>
      <x:c r="CF224" s="23">
        <x:f t="shared" si="189"/>
        <x:v>16.268948640000001</x:v>
      </x:c>
      <x:c r="CG224" s="23">
        <x:f t="shared" si="190"/>
        <x:v>0</x:v>
      </x:c>
      <x:c r="CH224" s="23">
        <x:f t="shared" si="191"/>
        <x:v>37.271360000000001</x:v>
      </x:c>
      <x:c r="CI224" s="23">
        <x:f t="shared" si="192"/>
        <x:v>0</x:v>
      </x:c>
      <x:c r="CJ224" s="24" t="s">
        <x:v>202</x:v>
      </x:c>
      <x:c r="CK224" s="25">
        <x:v>96.89</x:v>
      </x:c>
      <x:c r="CL224" s="26" t="s">
        <x:v>123</x:v>
      </x:c>
      <x:c r="CM224" s="26">
        <x:v>86.09</x:v>
      </x:c>
      <x:c r="CN224" s="27" t="s">
        <x:v>233</x:v>
      </x:c>
      <x:c r="CO224" s="27">
        <x:v>99.4</x:v>
      </x:c>
      <x:c r="CP224" s="27">
        <x:v>98.3</x:v>
      </x:c>
      <x:c r="CQ224" s="26">
        <x:f t="shared" si="193"/>
        <x:v>502.48688481600027</x:v>
      </x:c>
      <x:c r="CR224" s="26">
        <x:f t="shared" si="194"/>
        <x:v>934.49642322399995</x:v>
      </x:c>
      <x:c r="CS224" s="26">
        <x:f t="shared" si="202"/>
        <x:v>1863.568</x:v>
      </x:c>
      <x:c r="CT224" s="26">
        <x:f t="shared" si="219"/>
        <x:v>187.09290935999672</x:v>
      </x:c>
      <x:c r="CU224" s="26">
        <x:f t="shared" si="220"/>
        <x:v>138.28606344000013</x:v>
      </x:c>
      <x:c r="CV224" s="26">
        <x:f t="shared" si="221"/>
        <x:v>0.27657212688000027</x:v>
      </x:c>
      <x:c r="CW224" s="26">
        <x:f t="shared" si="222"/>
        <x:v>0</x:v>
      </x:c>
      <x:c r="CX224" s="26">
        <x:f t="shared" si="203"/>
        <x:v>37.271360000000001</x:v>
      </x:c>
      <x:c r="CY224" s="26">
        <x:f t="shared" si="204"/>
        <x:v>0</x:v>
      </x:c>
    </x:row>
    <x:row r="225">
      <x:c r="A225" s="18">
        <x:v>2022</x:v>
      </x:c>
      <x:c r="B225" t="s">
        <x:v>487</x:v>
      </x:c>
      <x:c r="C225" t="s">
        <x:v>488</x:v>
      </x:c>
      <x:c r="D225" t="s">
        <x:v>489</x:v>
      </x:c>
      <x:c r="E225" s="18">
        <x:v>440802</x:v>
      </x:c>
      <x:c r="F225" t="s">
        <x:v>485</x:v>
      </x:c>
      <x:c r="G225" t="s">
        <x:v>486</x:v>
      </x:c>
      <x:c r="H225" s="18">
        <x:v>4411</x:v>
      </x:c>
      <x:c r="I225" t="s">
        <x:v>102</x:v>
      </x:c>
      <x:c r="J225" t="s">
        <x:v>78</x:v>
      </x:c>
      <x:c r="K225" t="s">
        <x:v>78</x:v>
      </x:c>
      <x:c r="L225" s="20">
        <x:v>60</x:v>
      </x:c>
      <x:c r="M225" t="s">
        <x:v>110</x:v>
      </x:c>
      <x:c r="N225" s="18">
        <x:v>2030</x:v>
      </x:c>
      <x:c r="O225" t="s">
        <x:v>88</x:v>
      </x:c>
      <x:c r="P225" s="18">
        <x:v>1</x:v>
      </x:c>
      <x:c r="Q225" s="19" t="s">
        <x:v>121</x:v>
      </x:c>
      <x:c r="R225" s="18">
        <x:v>1082680</x:v>
      </x:c>
      <x:c r="S225" t="s">
        <x:v>112</x:v>
      </x:c>
      <x:c r="T225" s="19">
        <x:f t="shared" si="206"/>
        <x:v>1082680</x:v>
      </x:c>
      <x:c r="U225" s="20">
        <x:v>1</x:v>
      </x:c>
      <x:c r="V225" t="s">
        <x:v>113</x:v>
      </x:c>
      <x:c r="W225" s="20">
        <x:v>18.059999999999999</x:v>
      </x:c>
      <x:c r="X225" s="21">
        <x:f t="shared" si="207"/>
        <x:v>18405.560000000001</x:v>
      </x:c>
      <x:c r="Y225" s="21">
        <x:f t="shared" si="215"/>
        <x:v>7806.1228000000001</x:v>
      </x:c>
      <x:c r="Z225" s="21">
        <x:f t="shared" si="208"/>
        <x:v>2165.36</x:v>
      </x:c>
      <x:c r="AA225" s="21">
        <x:f t="shared" si="216"/>
        <x:v>33729.271379999998</x:v>
      </x:c>
      <x:c r="AB225" s="21">
        <x:f t="shared" si="217"/>
        <x:v>8798.9403599999987</x:v>
      </x:c>
      <x:c r="AC225" s="21">
        <x:f t="shared" si="218"/>
        <x:v>17.597880719999999</x:v>
      </x:c>
      <x:c r="AD225" s="21"/>
      <x:c r="AE225" s="21">
        <x:f t="shared" si="210"/>
        <x:v>43.307200000000002</x:v>
      </x:c>
      <x:c r="AF225" s="21"/>
      <x:c r="AG225" s="19" t="s">
        <x:v>78</x:v>
      </x:c>
      <x:c r="AH225" t="s">
        <x:v>78</x:v>
      </x:c>
      <x:c r="AI225" t="s">
        <x:v>78</x:v>
      </x:c>
      <x:c r="AJ225" s="19"/>
      <x:c r="AK225" s="19" t="s">
        <x:v>78</x:v>
      </x:c>
      <x:c r="AL225" t="s">
        <x:v>78</x:v>
      </x:c>
      <x:c r="AM225" s="19" t="s">
        <x:v>78</x:v>
      </x:c>
      <x:c r="AN225" s="21"/>
      <x:c r="AO225" s="21"/>
      <x:c r="AP225" s="21"/>
      <x:c r="AQ225" s="21"/>
      <x:c r="AR225" s="21"/>
      <x:c r="AS225" s="21"/>
      <x:c r="AT225" s="21"/>
      <x:c r="AU225" s="21"/>
      <x:c r="AV225" s="21"/>
      <x:c r="AW225" t="s">
        <x:v>78</x:v>
      </x:c>
      <x:c r="AX225" s="19"/>
      <x:c r="AY225" s="21"/>
      <x:c r="AZ225" s="21"/>
      <x:c r="BA225" s="21"/>
      <x:c r="BB225" s="21"/>
      <x:c r="BC225" s="21"/>
      <x:c r="BD225" s="21"/>
      <x:c r="BE225" s="21"/>
      <x:c r="BF225" s="21"/>
      <x:c r="BG225" s="21"/>
      <x:c r="BH225" t="s">
        <x:v>79</x:v>
      </x:c>
      <x:c r="BI225" s="18">
        <x:v>110</x:v>
      </x:c>
      <x:c r="BJ225" s="18">
        <x:v>3</x:v>
      </x:c>
      <x:c r="BK225" s="18">
        <x:v>36</x:v>
      </x:c>
      <x:c r="BL225" s="18">
        <x:v>21</x:v>
      </x:c>
      <x:c r="BM225" s="18">
        <x:v>3</x:v>
      </x:c>
      <x:c r="BN225" s="18">
        <x:v>22</x:v>
      </x:c>
      <x:c r="BO225" s="22">
        <x:v>110.06</x:v>
      </x:c>
      <x:c r="BP225" s="22">
        <x:v>21.0561111111111</x:v>
      </x:c>
      <x:c r="BQ225" s="18">
        <x:v>210</x:v>
      </x:c>
      <x:c r="BR225" s="18">
        <x:v>900115.56</x:v>
      </x:c>
      <x:c r="BS225" s="18">
        <x:v>18448.866999999998</x:v>
      </x:c>
      <x:c r="BT225" s="18">
        <x:v>147.59100000000001</x:v>
      </x:c>
      <x:c r="BU225" s="18">
        <x:v>2349.4160000000002</x:v>
      </x:c>
      <x:c r="BV225" s="18">
        <x:v>246.358</x:v>
      </x:c>
      <x:c r="BW225" s="18">
        <x:v>189990.85200000001</x:v>
      </x:c>
      <x:c r="BX225" s="18">
        <x:v>6.3109999999999999</x:v>
      </x:c>
      <x:c r="BY225" t="s">
        <x:v>78</x:v>
      </x:c>
      <x:c r="BZ225" t="s">
        <x:v>78</x:v>
      </x:c>
      <x:c r="CA225" s="23">
        <x:f t="shared" si="184"/>
        <x:v>18405.560000000001</x:v>
      </x:c>
      <x:c r="CB225" s="23">
        <x:f t="shared" si="185"/>
        <x:v>7806.1228000000001</x:v>
      </x:c>
      <x:c r="CC225" s="23">
        <x:f t="shared" si="186"/>
        <x:v>2165.36</x:v>
      </x:c>
      <x:c r="CD225" s="23">
        <x:f t="shared" si="187"/>
        <x:v>33729.271379999998</x:v>
      </x:c>
      <x:c r="CE225" s="23">
        <x:f t="shared" si="188"/>
        <x:v>8798.9403599999987</x:v>
      </x:c>
      <x:c r="CF225" s="23">
        <x:f t="shared" si="189"/>
        <x:v>17.597880719999999</x:v>
      </x:c>
      <x:c r="CG225" s="23">
        <x:f t="shared" si="190"/>
        <x:v>0</x:v>
      </x:c>
      <x:c r="CH225" s="23">
        <x:f t="shared" si="191"/>
        <x:v>43.307200000000002</x:v>
      </x:c>
      <x:c r="CI225" s="23">
        <x:f t="shared" si="192"/>
        <x:v>0</x:v>
      </x:c>
      <x:c r="CJ225" s="24" t="s">
        <x:v>202</x:v>
      </x:c>
      <x:c r="CK225" s="25">
        <x:v>96.13</x:v>
      </x:c>
      <x:c r="CL225" s="26" t="s">
        <x:v>123</x:v>
      </x:c>
      <x:c r="CM225" s="26">
        <x:v>84.01</x:v>
      </x:c>
      <x:c r="CN225" s="27" t="s">
        <x:v>233</x:v>
      </x:c>
      <x:c r="CO225" s="27">
        <x:v>99.4</x:v>
      </x:c>
      <x:c r="CP225" s="27">
        <x:v>98.3</x:v>
      </x:c>
      <x:c r="CQ225" s="26">
        <x:f t="shared" si="193"/>
        <x:v>712.29517200000134</x:v>
      </x:c>
      <x:c r="CR225" s="26">
        <x:f t="shared" si="194"/>
        <x:v>1248.1990357199995</x:v>
      </x:c>
      <x:c r="CS225" s="26">
        <x:f t="shared" si="202"/>
        <x:v>2165.36</x:v>
      </x:c>
      <x:c r="CT225" s="26">
        <x:f t="shared" si="219"/>
        <x:v>202.37562827999642</x:v>
      </x:c>
      <x:c r="CU225" s="26">
        <x:f t="shared" si="220"/>
        <x:v>149.58198612000012</x:v>
      </x:c>
      <x:c r="CV225" s="26">
        <x:f t="shared" si="221"/>
        <x:v>0.29916397224000024</x:v>
      </x:c>
      <x:c r="CW225" s="26">
        <x:f t="shared" si="222"/>
        <x:v>0</x:v>
      </x:c>
      <x:c r="CX225" s="26">
        <x:f t="shared" si="203"/>
        <x:v>43.307200000000002</x:v>
      </x:c>
      <x:c r="CY225" s="26">
        <x:f t="shared" si="204"/>
        <x:v>0</x:v>
      </x:c>
    </x:row>
    <x:row r="226">
      <x:c r="A226" s="18">
        <x:v>2022</x:v>
      </x:c>
      <x:c r="B226" t="s">
        <x:v>490</x:v>
      </x:c>
      <x:c r="C226" t="s">
        <x:v>491</x:v>
      </x:c>
      <x:c r="D226" t="s">
        <x:v>492</x:v>
      </x:c>
      <x:c r="E226" s="18">
        <x:v>440811</x:v>
      </x:c>
      <x:c r="F226" t="s">
        <x:v>493</x:v>
      </x:c>
      <x:c r="G226" t="s">
        <x:v>486</x:v>
      </x:c>
      <x:c r="H226" s="18">
        <x:v>2221</x:v>
      </x:c>
      <x:c r="I226" t="s">
        <x:v>158</x:v>
      </x:c>
      <x:c r="J226" t="s">
        <x:v>494</x:v>
      </x:c>
      <x:c r="K226" t="s">
        <x:v>109</x:v>
      </x:c>
      <x:c r="L226" s="20">
        <x:v>0.9</x:v>
      </x:c>
      <x:c r="M226" t="s">
        <x:v>125</x:v>
      </x:c>
      <x:c r="N226" s="18">
        <x:v>75</x:v>
      </x:c>
      <x:c r="O226" t="s">
        <x:v>88</x:v>
      </x:c>
      <x:c r="P226" s="18">
        <x:v>5</x:v>
      </x:c>
      <x:c r="Q226" s="19" t="s">
        <x:v>238</x:v>
      </x:c>
      <x:c r="R226" s="18">
        <x:v>49141.42</x:v>
      </x:c>
      <x:c r="S226" t="s">
        <x:v>112</x:v>
      </x:c>
      <x:c r="T226" s="19">
        <x:f t="shared" si="206"/>
        <x:v>49141.42</x:v>
      </x:c>
      <x:c r="U226" s="20">
        <x:v>0.39</x:v>
      </x:c>
      <x:c r="V226" t="s">
        <x:v>113</x:v>
      </x:c>
      <x:c r="W226" s="20">
        <x:v>3.45</x:v>
      </x:c>
      <x:c r="X226" s="21">
        <x:f t="shared" si="207"/>
        <x:v>325.80761460000002</x:v>
      </x:c>
      <x:c r="Y226" s="21" t="n">
        <x:f>8.96*T226/1000</x:f>
        <x:v>440.30712320000004</x:v>
      </x:c>
      <x:c r="Z226" s="21">
        <x:f t="shared" si="208"/>
        <x:v>98.282839999999993</x:v>
      </x:c>
      <x:c r="AA226" s="21" t="n">
        <x:f>W226/100*(1-0.44)*0.29*T226</x:f>
        <x:v>275.329547976</x:v>
      </x:c>
      <x:c r="AB226" s="21" t="n">
        <x:f>W226/100*(1-0.44)*0.07*T226</x:f>
        <x:v>66.45885640800002</x:v>
      </x:c>
      <x:c r="AC226" s="21">
        <x:f t="shared" si="218"/>
        <x:v>0.13291771281600004</x:v>
      </x:c>
      <x:c r="AD226" s="21"/>
      <x:c r="AE226" s="21">
        <x:f t="shared" si="210"/>
        <x:v>1.9656567999999999</x:v>
      </x:c>
      <x:c r="AF226" s="21"/>
      <x:c r="AG226" s="19" t="s">
        <x:v>78</x:v>
      </x:c>
      <x:c r="AH226" t="s">
        <x:v>78</x:v>
      </x:c>
      <x:c r="AI226" t="s">
        <x:v>78</x:v>
      </x:c>
      <x:c r="AJ226" s="19"/>
      <x:c r="AK226" s="19" t="s">
        <x:v>78</x:v>
      </x:c>
      <x:c r="AL226" t="s">
        <x:v>78</x:v>
      </x:c>
      <x:c r="AM226" s="19" t="s">
        <x:v>78</x:v>
      </x:c>
      <x:c r="AN226" s="21"/>
      <x:c r="AO226" s="21"/>
      <x:c r="AP226" s="21"/>
      <x:c r="AQ226" s="21"/>
      <x:c r="AR226" s="21"/>
      <x:c r="AS226" s="21"/>
      <x:c r="AT226" s="21"/>
      <x:c r="AU226" s="21"/>
      <x:c r="AV226" s="21"/>
      <x:c r="AW226" t="s">
        <x:v>78</x:v>
      </x:c>
      <x:c r="AX226" s="19"/>
      <x:c r="AY226" s="21"/>
      <x:c r="AZ226" s="21"/>
      <x:c r="BA226" s="21"/>
      <x:c r="BB226" s="21"/>
      <x:c r="BC226" s="21"/>
      <x:c r="BD226" s="21"/>
      <x:c r="BE226" s="21"/>
      <x:c r="BF226" s="21"/>
      <x:c r="BG226" s="21"/>
      <x:c r="BH226" t="s">
        <x:v>81</x:v>
      </x:c>
      <x:c r="BI226" s="18">
        <x:v>110</x:v>
      </x:c>
      <x:c r="BJ226" s="18">
        <x:v>9</x:v>
      </x:c>
      <x:c r="BK226" s="18">
        <x:v>8</x:v>
      </x:c>
      <x:c r="BL226" s="18">
        <x:v>21</x:v>
      </x:c>
      <x:c r="BM226" s="18">
        <x:v>6</x:v>
      </x:c>
      <x:c r="BN226" s="18">
        <x:v>24</x:v>
      </x:c>
      <x:c r="BO226" s="22">
        <x:v>110.15222222222199</x:v>
      </x:c>
      <x:c r="BP226" s="22">
        <x:v>21.106666666666701</x:v>
      </x:c>
      <x:c r="BQ226" s="18">
        <x:v>45</x:v>
      </x:c>
      <x:c r="BR226" s="18">
        <x:v>44626.99</x:v>
      </x:c>
      <x:c r="BS226" s="18">
        <x:v>86.242999999999995</x:v>
      </x:c>
      <x:c r="BT226" s="18">
        <x:v>2.85</x:v>
      </x:c>
      <x:c r="BU226" s="18">
        <x:v>33.415999999999997</x:v>
      </x:c>
      <x:c r="BV226" s="18">
        <x:v>11.696</x:v>
      </x:c>
      <x:c r="BW226" s="18">
        <x:v>784.96</x:v>
      </x:c>
      <x:c r="BX226" s="18">
        <x:v>1.0960000000000001</x:v>
      </x:c>
      <x:c r="BY226" s="18">
        <x:v>397.55399999999997</x:v>
      </x:c>
      <x:c r="BZ226" s="18">
        <x:v>397.55399999999997</x:v>
      </x:c>
      <x:c r="CA226" s="23">
        <x:f t="shared" si="184"/>
        <x:v>325.80761460000002</x:v>
      </x:c>
      <x:c r="CB226" s="23">
        <x:f t="shared" si="185"/>
        <x:v>440.30712320000004</x:v>
      </x:c>
      <x:c r="CC226" s="23">
        <x:f t="shared" si="186"/>
        <x:v>98.282839999999993</x:v>
      </x:c>
      <x:c r="CD226" s="23">
        <x:f t="shared" si="187"/>
        <x:v>275.32954797600001</x:v>
      </x:c>
      <x:c r="CE226" s="23">
        <x:f t="shared" si="188"/>
        <x:v>66.458856408000017</x:v>
      </x:c>
      <x:c r="CF226" s="23">
        <x:f t="shared" si="189"/>
        <x:v>0.13291771281600004</x:v>
      </x:c>
      <x:c r="CG226" s="23">
        <x:f t="shared" si="190"/>
        <x:v>0</x:v>
      </x:c>
      <x:c r="CH226" s="23">
        <x:f t="shared" si="191"/>
        <x:v>1.9656567999999999</x:v>
      </x:c>
      <x:c r="CI226" s="23">
        <x:f t="shared" si="192"/>
        <x:v>0</x:v>
      </x:c>
      <x:c r="CJ226" s="24" t="s">
        <x:v>495</x:v>
      </x:c>
      <x:c r="CK226" s="29">
        <x:v>94</x:v>
      </x:c>
      <x:c r="CL226" s="26" t="s">
        <x:v>97</x:v>
      </x:c>
      <x:c r="CM226" s="28">
        <x:v>83</x:v>
      </x:c>
      <x:c r="CN226" s="30" t="s">
        <x:v>291</x:v>
      </x:c>
      <x:c r="CO226" s="27">
        <x:v>98.9</x:v>
      </x:c>
      <x:c r="CP226" s="27">
        <x:v>97</x:v>
      </x:c>
      <x:c r="CQ226" s="26">
        <x:f t="shared" si="193"/>
        <x:v>19.548456876000017</x:v>
      </x:c>
      <x:c r="CR226" s="26">
        <x:f t="shared" si="194"/>
        <x:v>74.852210944000021</x:v>
      </x:c>
      <x:c r="CS226" s="26">
        <x:f t="shared" si="202"/>
        <x:v>98.282839999999993</x:v>
      </x:c>
      <x:c r="CT226" s="26">
        <x:f t="shared" si="219"/>
        <x:v>3.0286250277359721</x:v>
      </x:c>
      <x:c r="CU226" s="26">
        <x:f t="shared" si="220"/>
        <x:v>1.9937656922400022</x:v>
      </x:c>
      <x:c r="CV226" s="26">
        <x:f t="shared" si="221"/>
        <x:v>3.987531384480005E-3</x:v>
      </x:c>
      <x:c r="CW226" s="26">
        <x:f t="shared" si="222"/>
        <x:v>0</x:v>
      </x:c>
      <x:c r="CX226" s="26">
        <x:f t="shared" si="203"/>
        <x:v>1.9656567999999999</x:v>
      </x:c>
      <x:c r="CY226" s="26">
        <x:f t="shared" si="204"/>
        <x:v>0</x:v>
      </x:c>
    </x:row>
    <x:row r="227">
      <x:c r="A227" s="18">
        <x:v>2022</x:v>
      </x:c>
      <x:c r="B227" t="s">
        <x:v>496</x:v>
      </x:c>
      <x:c r="C227" t="s">
        <x:v>497</x:v>
      </x:c>
      <x:c r="D227" t="s">
        <x:v>498</x:v>
      </x:c>
      <x:c r="E227" s="18">
        <x:v>440811</x:v>
      </x:c>
      <x:c r="F227" t="s">
        <x:v>493</x:v>
      </x:c>
      <x:c r="G227" t="s">
        <x:v>486</x:v>
      </x:c>
      <x:c r="H227" s="18">
        <x:v>2211</x:v>
      </x:c>
      <x:c r="I227" t="s">
        <x:v>499</x:v>
      </x:c>
      <x:c r="J227" t="s">
        <x:v>78</x:v>
      </x:c>
      <x:c r="K227" t="s">
        <x:v>109</x:v>
      </x:c>
      <x:c r="L227" s="20">
        <x:v>60</x:v>
      </x:c>
      <x:c r="M227" t="s">
        <x:v>125</x:v>
      </x:c>
      <x:c r="N227" s="18">
        <x:v>280</x:v>
      </x:c>
      <x:c r="O227" t="s">
        <x:v>74</x:v>
      </x:c>
      <x:c r="P227" s="18">
        <x:v>4</x:v>
      </x:c>
      <x:c r="Q227" s="19" t="s">
        <x:v>111</x:v>
      </x:c>
      <x:c r="R227" s="18">
        <x:v>10900</x:v>
      </x:c>
      <x:c r="S227" t="s">
        <x:v>112</x:v>
      </x:c>
      <x:c r="T227" s="19">
        <x:f t="shared" si="206"/>
        <x:v>10900</x:v>
      </x:c>
      <x:c r="U227" s="20">
        <x:v>0.54200000000000004</x:v>
      </x:c>
      <x:c r="V227" t="s">
        <x:v>113</x:v>
      </x:c>
      <x:c r="W227" s="20">
        <x:v>13.23</x:v>
      </x:c>
      <x:c r="X227" s="21">
        <x:f t="shared" si="207"/>
        <x:v>100.43259999999999</x:v>
      </x:c>
      <x:c r="Y227" s="21" t="n">
        <x:f t="shared" ref="Y227:Y232" si="223">7.21*T227/1000</x:f>
        <x:v>78.589</x:v>
      </x:c>
      <x:c r="Z227" s="21">
        <x:f t="shared" si="208"/>
        <x:v>21.8</x:v>
      </x:c>
      <x:c r="AA227" s="21" t="n">
        <x:f>W227/100*(1-0.44)*0.29*T227</x:f>
        <x:v>234.19216799999998</x:v>
      </x:c>
      <x:c r="AB227" s="21" t="n">
        <x:f>W227/100*(1-0.44)*0.07*T227</x:f>
        <x:v>56.529144</x:v>
      </x:c>
      <x:c r="AC227" s="21">
        <x:f t="shared" si="218"/>
        <x:v>0.11305828800000001</x:v>
      </x:c>
      <x:c r="AD227" s="21"/>
      <x:c r="AE227" s="21">
        <x:f t="shared" si="210"/>
        <x:v>0.436</x:v>
      </x:c>
      <x:c r="AF227" s="21"/>
      <x:c r="AG227" s="19" t="s">
        <x:v>78</x:v>
      </x:c>
      <x:c r="AH227" t="s">
        <x:v>78</x:v>
      </x:c>
      <x:c r="AI227" t="s">
        <x:v>78</x:v>
      </x:c>
      <x:c r="AJ227" s="19"/>
      <x:c r="AK227" s="19" t="s">
        <x:v>78</x:v>
      </x:c>
      <x:c r="AL227" t="s">
        <x:v>78</x:v>
      </x:c>
      <x:c r="AM227" s="19" t="s">
        <x:v>78</x:v>
      </x:c>
      <x:c r="AN227" s="21"/>
      <x:c r="AO227" s="21"/>
      <x:c r="AP227" s="21"/>
      <x:c r="AQ227" s="21"/>
      <x:c r="AR227" s="21"/>
      <x:c r="AS227" s="21"/>
      <x:c r="AT227" s="21"/>
      <x:c r="AU227" s="21"/>
      <x:c r="AV227" s="21"/>
      <x:c r="AW227" t="s">
        <x:v>78</x:v>
      </x:c>
      <x:c r="AX227" s="19"/>
      <x:c r="AY227" s="21"/>
      <x:c r="AZ227" s="21"/>
      <x:c r="BA227" s="21"/>
      <x:c r="BB227" s="21"/>
      <x:c r="BC227" s="21"/>
      <x:c r="BD227" s="21"/>
      <x:c r="BE227" s="21"/>
      <x:c r="BF227" s="21"/>
      <x:c r="BG227" s="21"/>
      <x:c r="BH227" t="s">
        <x:v>82</x:v>
      </x:c>
      <x:c r="BI227" s="18">
        <x:v>110</x:v>
      </x:c>
      <x:c r="BJ227" s="18">
        <x:v>9</x:v>
      </x:c>
      <x:c r="BK227" s="18">
        <x:v>38</x:v>
      </x:c>
      <x:c r="BL227" s="18">
        <x:v>21</x:v>
      </x:c>
      <x:c r="BM227" s="18">
        <x:v>6</x:v>
      </x:c>
      <x:c r="BN227" s="18">
        <x:v>13</x:v>
      </x:c>
      <x:c r="BO227" s="22">
        <x:v>110.160555555556</x:v>
      </x:c>
      <x:c r="BP227" s="22">
        <x:v>21.1036111111111</x:v>
      </x:c>
      <x:c r="BQ227" s="18">
        <x:v>80</x:v>
      </x:c>
      <x:c r="BR227" s="18">
        <x:v>12055</x:v>
      </x:c>
      <x:c r="BS227" s="18">
        <x:v>3.3079999999999998</x:v>
      </x:c>
      <x:c r="BT227" s="18">
        <x:v>31.994</x:v>
      </x:c>
      <x:c r="BU227" s="18">
        <x:v>16.568000000000001</x:v>
      </x:c>
      <x:c r="BV227" s="18">
        <x:v>54.8</x:v>
      </x:c>
      <x:c r="BW227" s="18">
        <x:v>2101.7719999999999</x:v>
      </x:c>
      <x:c r="BX227" s="18">
        <x:v>7.3079999999999998</x:v>
      </x:c>
      <x:c r="BY227" s="18">
        <x:v>311.74</x:v>
      </x:c>
      <x:c r="BZ227" s="18">
        <x:v>311.74</x:v>
      </x:c>
      <x:c r="CA227" s="23">
        <x:f t="shared" si="184"/>
        <x:v>100.43259999999999</x:v>
      </x:c>
      <x:c r="CB227" s="23">
        <x:f t="shared" si="185"/>
        <x:v>78.588999999999999</x:v>
      </x:c>
      <x:c r="CC227" s="23">
        <x:f t="shared" si="186"/>
        <x:v>21.8</x:v>
      </x:c>
      <x:c r="CD227" s="23">
        <x:f t="shared" si="187"/>
        <x:v>234.19216799999998</x:v>
      </x:c>
      <x:c r="CE227" s="23">
        <x:f t="shared" si="188"/>
        <x:v>56.529144000000002</x:v>
      </x:c>
      <x:c r="CF227" s="23">
        <x:f t="shared" si="189"/>
        <x:v>0.11305828800000001</x:v>
      </x:c>
      <x:c r="CG227" s="23">
        <x:f t="shared" si="190"/>
        <x:v>0</x:v>
      </x:c>
      <x:c r="CH227" s="23">
        <x:f t="shared" si="191"/>
        <x:v>0.436</x:v>
      </x:c>
      <x:c r="CI227" s="23">
        <x:f t="shared" si="192"/>
        <x:v>0</x:v>
      </x:c>
      <x:c r="CJ227" s="24" t="s">
        <x:v>180</x:v>
      </x:c>
      <x:c r="CK227" s="29">
        <x:v>85.8</x:v>
      </x:c>
      <x:c r="CL227" s="26" t="s">
        <x:v>97</x:v>
      </x:c>
      <x:c r="CM227" s="28">
        <x:v>87.5</x:v>
      </x:c>
      <x:c r="CN227" s="30" t="s">
        <x:v>132</x:v>
      </x:c>
      <x:c r="CO227" s="27">
        <x:v>99.4</x:v>
      </x:c>
      <x:c r="CP227" s="27">
        <x:v>98.3</x:v>
      </x:c>
      <x:c r="CQ227" s="26">
        <x:f t="shared" si="193"/>
        <x:v>14.2614292</x:v>
      </x:c>
      <x:c r="CR227" s="26">
        <x:f t="shared" si="194"/>
        <x:v>9.8236249999999998</x:v>
      </x:c>
      <x:c r="CS227" s="26">
        <x:f t="shared" si="202"/>
        <x:v>21.8</x:v>
      </x:c>
      <x:c r="CT227" s="26">
        <x:f t="shared" si="219"/>
        <x:v>1.4051530079999752</x:v>
      </x:c>
      <x:c r="CU227" s="26">
        <x:f t="shared" si="220"/>
        <x:v>0.96099544800000092</x:v>
      </x:c>
      <x:c r="CV227" s="26">
        <x:f t="shared" si="221"/>
        <x:v>1.9219908960000018E-3</x:v>
      </x:c>
      <x:c r="CW227" s="26">
        <x:f t="shared" si="222"/>
        <x:v>0</x:v>
      </x:c>
      <x:c r="CX227" s="26">
        <x:f t="shared" si="203"/>
        <x:v>0.436</x:v>
      </x:c>
      <x:c r="CY227" s="26">
        <x:f t="shared" si="204"/>
        <x:v>0</x:v>
      </x:c>
    </x:row>
    <x:row r="228">
      <x:c r="A228" s="18">
        <x:v>2022</x:v>
      </x:c>
      <x:c r="B228" t="s">
        <x:v>496</x:v>
      </x:c>
      <x:c r="C228" t="s">
        <x:v>497</x:v>
      </x:c>
      <x:c r="D228" t="s">
        <x:v>498</x:v>
      </x:c>
      <x:c r="E228" s="18">
        <x:v>440811</x:v>
      </x:c>
      <x:c r="F228" t="s">
        <x:v>493</x:v>
      </x:c>
      <x:c r="G228" t="s">
        <x:v>486</x:v>
      </x:c>
      <x:c r="H228" s="18">
        <x:v>2211</x:v>
      </x:c>
      <x:c r="I228" t="s">
        <x:v>499</x:v>
      </x:c>
      <x:c r="J228" t="s">
        <x:v>78</x:v>
      </x:c>
      <x:c r="K228" t="s">
        <x:v>109</x:v>
      </x:c>
      <x:c r="L228" s="20">
        <x:v>60</x:v>
      </x:c>
      <x:c r="M228" t="s">
        <x:v>125</x:v>
      </x:c>
      <x:c r="N228" s="18">
        <x:v>280</x:v>
      </x:c>
      <x:c r="O228" t="s">
        <x:v>74</x:v>
      </x:c>
      <x:c r="P228" s="18">
        <x:v>4</x:v>
      </x:c>
      <x:c r="Q228" s="19" t="s">
        <x:v>111</x:v>
      </x:c>
      <x:c r="R228" s="18">
        <x:v>252602.36</x:v>
      </x:c>
      <x:c r="S228" t="s">
        <x:v>112</x:v>
      </x:c>
      <x:c r="T228" s="19">
        <x:f t="shared" si="206"/>
        <x:v>252602.36</x:v>
      </x:c>
      <x:c r="U228" s="20">
        <x:v>0.54200000000000004</x:v>
      </x:c>
      <x:c r="V228" t="s">
        <x:v>113</x:v>
      </x:c>
      <x:c r="W228" s="20">
        <x:v>13.23</x:v>
      </x:c>
      <x:c r="X228" s="21">
        <x:f t="shared" si="207"/>
        <x:v>2327.4781450400001</x:v>
      </x:c>
      <x:c r="Y228" s="21">
        <x:f t="shared" si="223"/>
        <x:v>1821.2630155999998</x:v>
      </x:c>
      <x:c r="Z228" s="21">
        <x:f t="shared" si="208"/>
        <x:v>505.20471999999995</x:v>
      </x:c>
      <x:c r="AA228" s="21" t="n">
        <x:f>W228/100*(1-0.44)*0.29*T228</x:f>
        <x:v>5427.293057827199</x:v>
      </x:c>
      <x:c r="AB228" s="21" t="n">
        <x:f>W228/100*(1-0.44)*0.07*T228</x:f>
        <x:v>1310.0362553376</x:v>
      </x:c>
      <x:c r="AC228" s="21">
        <x:f t="shared" si="218"/>
        <x:v>2.6200725106752003</x:v>
      </x:c>
      <x:c r="AD228" s="21"/>
      <x:c r="AE228" s="21">
        <x:f t="shared" si="210"/>
        <x:v>10.104094399999999</x:v>
      </x:c>
      <x:c r="AF228" s="21"/>
      <x:c r="AG228" s="19" t="s">
        <x:v>78</x:v>
      </x:c>
      <x:c r="AH228" t="s">
        <x:v>78</x:v>
      </x:c>
      <x:c r="AI228" t="s">
        <x:v>78</x:v>
      </x:c>
      <x:c r="AJ228" s="19"/>
      <x:c r="AK228" s="19" t="s">
        <x:v>78</x:v>
      </x:c>
      <x:c r="AL228" t="s">
        <x:v>78</x:v>
      </x:c>
      <x:c r="AM228" s="19" t="s">
        <x:v>78</x:v>
      </x:c>
      <x:c r="AN228" s="21"/>
      <x:c r="AO228" s="21"/>
      <x:c r="AP228" s="21"/>
      <x:c r="AQ228" s="21"/>
      <x:c r="AR228" s="21"/>
      <x:c r="AS228" s="21"/>
      <x:c r="AT228" s="21"/>
      <x:c r="AU228" s="21"/>
      <x:c r="AV228" s="21"/>
      <x:c r="AW228" t="s">
        <x:v>78</x:v>
      </x:c>
      <x:c r="AX228" s="19"/>
      <x:c r="AY228" s="21"/>
      <x:c r="AZ228" s="21"/>
      <x:c r="BA228" s="21"/>
      <x:c r="BB228" s="21"/>
      <x:c r="BC228" s="21"/>
      <x:c r="BD228" s="21"/>
      <x:c r="BE228" s="21"/>
      <x:c r="BF228" s="21"/>
      <x:c r="BG228" s="21"/>
      <x:c r="BH228" t="s">
        <x:v>83</x:v>
      </x:c>
      <x:c r="BI228" s="18">
        <x:v>110</x:v>
      </x:c>
      <x:c r="BJ228" s="18">
        <x:v>9</x:v>
      </x:c>
      <x:c r="BK228" s="18">
        <x:v>38</x:v>
      </x:c>
      <x:c r="BL228" s="18">
        <x:v>21</x:v>
      </x:c>
      <x:c r="BM228" s="18">
        <x:v>6</x:v>
      </x:c>
      <x:c r="BN228" s="18">
        <x:v>13</x:v>
      </x:c>
      <x:c r="BO228" s="22">
        <x:v>110.160555555556</x:v>
      </x:c>
      <x:c r="BP228" s="22">
        <x:v>21.1036111111111</x:v>
      </x:c>
      <x:c r="BQ228" s="18">
        <x:v>80</x:v>
      </x:c>
      <x:c r="BR228" s="18">
        <x:v>279377</x:v>
      </x:c>
      <x:c r="BS228" s="18">
        <x:v>76.67</x:v>
      </x:c>
      <x:c r="BT228" s="18">
        <x:v>23.123000000000001</x:v>
      </x:c>
      <x:c r="BU228" s="18">
        <x:v>383.95600000000002</x:v>
      </x:c>
      <x:c r="BV228" s="18">
        <x:v>36.115000000000002</x:v>
      </x:c>
      <x:c r="BW228" s="18">
        <x:v>48707.584999999999</x:v>
      </x:c>
      <x:c r="BX228" s="18">
        <x:v>4.2</x:v>
      </x:c>
      <x:c r="BY228" s="18">
        <x:v>7224.4269999999997</x:v>
      </x:c>
      <x:c r="BZ228" s="18">
        <x:v>7224.4269999999997</x:v>
      </x:c>
      <x:c r="CA228" s="23">
        <x:f t="shared" si="184"/>
        <x:v>2327.4781450400001</x:v>
      </x:c>
      <x:c r="CB228" s="23">
        <x:f t="shared" si="185"/>
        <x:v>1821.2630155999998</x:v>
      </x:c>
      <x:c r="CC228" s="23">
        <x:f t="shared" si="186"/>
        <x:v>505.20471999999995</x:v>
      </x:c>
      <x:c r="CD228" s="23">
        <x:f t="shared" si="187"/>
        <x:v>5427.2930578271989</x:v>
      </x:c>
      <x:c r="CE228" s="23">
        <x:f t="shared" si="188"/>
        <x:v>1310.0362553376001</x:v>
      </x:c>
      <x:c r="CF228" s="23">
        <x:f t="shared" si="189"/>
        <x:v>2.6200725106752003</x:v>
      </x:c>
      <x:c r="CG228" s="23">
        <x:f t="shared" si="190"/>
        <x:v>0</x:v>
      </x:c>
      <x:c r="CH228" s="23">
        <x:f t="shared" si="191"/>
        <x:v>10.104094399999999</x:v>
      </x:c>
      <x:c r="CI228" s="23">
        <x:f t="shared" si="192"/>
        <x:v>0</x:v>
      </x:c>
      <x:c r="CJ228" s="24" t="s">
        <x:v>180</x:v>
      </x:c>
      <x:c r="CK228" s="29">
        <x:v>85.8</x:v>
      </x:c>
      <x:c r="CL228" s="26" t="s">
        <x:v>97</x:v>
      </x:c>
      <x:c r="CM228" s="28">
        <x:v>87.5</x:v>
      </x:c>
      <x:c r="CN228" s="30" t="s">
        <x:v>132</x:v>
      </x:c>
      <x:c r="CO228" s="27">
        <x:v>99.4</x:v>
      </x:c>
      <x:c r="CP228" s="27">
        <x:v>98.3</x:v>
      </x:c>
      <x:c r="CQ228" s="26">
        <x:f t="shared" si="193"/>
        <x:v>330.50189659568002</x:v>
      </x:c>
      <x:c r="CR228" s="26">
        <x:f t="shared" si="194"/>
        <x:v>227.65787694999997</x:v>
      </x:c>
      <x:c r="CS228" s="26">
        <x:f t="shared" si="202"/>
        <x:v>505.20471999999995</x:v>
      </x:c>
      <x:c r="CT228" s="26">
        <x:f t="shared" si="219"/>
        <x:v>32.563758346962622</x:v>
      </x:c>
      <x:c r="CU228" s="26">
        <x:f t="shared" si="220"/>
        <x:v>22.27061634073922</x:v>
      </x:c>
      <x:c r="CV228" s="26">
        <x:f t="shared" si="221"/>
        <x:v>4.4541232681478443E-2</x:v>
      </x:c>
      <x:c r="CW228" s="26">
        <x:f t="shared" si="222"/>
        <x:v>0</x:v>
      </x:c>
      <x:c r="CX228" s="26">
        <x:f t="shared" si="203"/>
        <x:v>10.104094399999999</x:v>
      </x:c>
      <x:c r="CY228" s="26">
        <x:f t="shared" si="204"/>
        <x:v>0</x:v>
      </x:c>
    </x:row>
    <x:row r="229">
      <x:c r="A229" s="18">
        <x:v>2022</x:v>
      </x:c>
      <x:c r="B229" t="s">
        <x:v>496</x:v>
      </x:c>
      <x:c r="C229" t="s">
        <x:v>497</x:v>
      </x:c>
      <x:c r="D229" t="s">
        <x:v>498</x:v>
      </x:c>
      <x:c r="E229" s="18">
        <x:v>440811</x:v>
      </x:c>
      <x:c r="F229" t="s">
        <x:v>493</x:v>
      </x:c>
      <x:c r="G229" t="s">
        <x:v>486</x:v>
      </x:c>
      <x:c r="H229" s="18">
        <x:v>2211</x:v>
      </x:c>
      <x:c r="I229" t="s">
        <x:v>499</x:v>
      </x:c>
      <x:c r="J229" t="s">
        <x:v>78</x:v>
      </x:c>
      <x:c r="K229" t="s">
        <x:v>109</x:v>
      </x:c>
      <x:c r="L229" s="20">
        <x:v>60</x:v>
      </x:c>
      <x:c r="M229" t="s">
        <x:v>125</x:v>
      </x:c>
      <x:c r="N229" s="18">
        <x:v>280</x:v>
      </x:c>
      <x:c r="O229" t="s">
        <x:v>74</x:v>
      </x:c>
      <x:c r="P229" s="18">
        <x:v>4</x:v>
      </x:c>
      <x:c r="Q229" s="19" t="s">
        <x:v>111</x:v>
      </x:c>
      <x:c r="R229" s="18">
        <x:v>235702.22</x:v>
      </x:c>
      <x:c r="S229" t="s">
        <x:v>112</x:v>
      </x:c>
      <x:c r="T229" s="19">
        <x:f t="shared" si="206"/>
        <x:v>235702.22</x:v>
      </x:c>
      <x:c r="U229" s="20">
        <x:v>0.54200000000000004</x:v>
      </x:c>
      <x:c r="V229" t="s">
        <x:v>113</x:v>
      </x:c>
      <x:c r="W229" s="20">
        <x:v>13.23</x:v>
      </x:c>
      <x:c r="X229" s="21">
        <x:f t="shared" si="207"/>
        <x:v>2171.7602550800002</x:v>
      </x:c>
      <x:c r="Y229" s="21">
        <x:f t="shared" si="223"/>
        <x:v>1699.4130061999999</x:v>
      </x:c>
      <x:c r="Z229" s="21">
        <x:f t="shared" si="208"/>
        <x:v>471.40444000000002</x:v>
      </x:c>
      <x:c r="AA229" s="21" t="n">
        <x:f>W229/100*(1-0.44)*0.29*T229</x:f>
        <x:v>5064.1847618544</x:v>
      </x:c>
      <x:c r="AB229" s="21" t="n">
        <x:f>W229/100*(1-0.44)*0.07*T229</x:f>
        <x:v>1222.3894252752002</x:v>
      </x:c>
      <x:c r="AC229" s="21">
        <x:f t="shared" si="218"/>
        <x:v>2.4447788505504007</x:v>
      </x:c>
      <x:c r="AD229" s="21"/>
      <x:c r="AE229" s="21">
        <x:f t="shared" si="210"/>
        <x:v>9.4280887999999994</x:v>
      </x:c>
      <x:c r="AF229" s="21"/>
      <x:c r="AG229" s="19" t="s">
        <x:v>78</x:v>
      </x:c>
      <x:c r="AH229" t="s">
        <x:v>78</x:v>
      </x:c>
      <x:c r="AI229" t="s">
        <x:v>78</x:v>
      </x:c>
      <x:c r="AJ229" s="19"/>
      <x:c r="AK229" s="19" t="s">
        <x:v>78</x:v>
      </x:c>
      <x:c r="AL229" t="s">
        <x:v>78</x:v>
      </x:c>
      <x:c r="AM229" s="19" t="s">
        <x:v>78</x:v>
      </x:c>
      <x:c r="AN229" s="21"/>
      <x:c r="AO229" s="21"/>
      <x:c r="AP229" s="21"/>
      <x:c r="AQ229" s="21"/>
      <x:c r="AR229" s="21"/>
      <x:c r="AS229" s="21"/>
      <x:c r="AT229" s="21"/>
      <x:c r="AU229" s="21"/>
      <x:c r="AV229" s="21"/>
      <x:c r="AW229" t="s">
        <x:v>78</x:v>
      </x:c>
      <x:c r="AX229" s="19"/>
      <x:c r="AY229" s="21"/>
      <x:c r="AZ229" s="21"/>
      <x:c r="BA229" s="21"/>
      <x:c r="BB229" s="21"/>
      <x:c r="BC229" s="21"/>
      <x:c r="BD229" s="21"/>
      <x:c r="BE229" s="21"/>
      <x:c r="BF229" s="21"/>
      <x:c r="BG229" s="21"/>
      <x:c r="BH229" t="s">
        <x:v>89</x:v>
      </x:c>
      <x:c r="BI229" s="18">
        <x:v>110</x:v>
      </x:c>
      <x:c r="BJ229" s="18">
        <x:v>9</x:v>
      </x:c>
      <x:c r="BK229" s="18">
        <x:v>38</x:v>
      </x:c>
      <x:c r="BL229" s="18">
        <x:v>21</x:v>
      </x:c>
      <x:c r="BM229" s="18">
        <x:v>6</x:v>
      </x:c>
      <x:c r="BN229" s="18">
        <x:v>13</x:v>
      </x:c>
      <x:c r="BO229" s="22">
        <x:v>110.160555555556</x:v>
      </x:c>
      <x:c r="BP229" s="22">
        <x:v>21.1036111111111</x:v>
      </x:c>
      <x:c r="BQ229" s="18">
        <x:v>80</x:v>
      </x:c>
      <x:c r="BR229" s="18">
        <x:v>260686</x:v>
      </x:c>
      <x:c r="BS229" s="18">
        <x:v>71.540000000000006</x:v>
      </x:c>
      <x:c r="BT229" s="18">
        <x:v>20.023</x:v>
      </x:c>
      <x:c r="BU229" s="18">
        <x:v>358.267</x:v>
      </x:c>
      <x:c r="BV229" s="18">
        <x:v>46.774000000000001</x:v>
      </x:c>
      <x:c r="BW229" s="18">
        <x:v>45448.847000000002</x:v>
      </x:c>
      <x:c r="BX229" s="18">
        <x:v>11.670999999999999</x:v>
      </x:c>
      <x:c r="BY229" s="18">
        <x:v>6741.0829999999996</x:v>
      </x:c>
      <x:c r="BZ229" s="18">
        <x:v>6741.0829999999996</x:v>
      </x:c>
      <x:c r="CA229" s="23">
        <x:f t="shared" si="184"/>
        <x:v>2171.7602550800002</x:v>
      </x:c>
      <x:c r="CB229" s="23">
        <x:f t="shared" si="185"/>
        <x:v>1699.4130061999999</x:v>
      </x:c>
      <x:c r="CC229" s="23">
        <x:f t="shared" si="186"/>
        <x:v>471.40444000000002</x:v>
      </x:c>
      <x:c r="CD229" s="23">
        <x:f t="shared" si="187"/>
        <x:v>5064.1847618543998</x:v>
      </x:c>
      <x:c r="CE229" s="23">
        <x:f t="shared" si="188"/>
        <x:v>1222.3894252752002</x:v>
      </x:c>
      <x:c r="CF229" s="23">
        <x:f t="shared" si="189"/>
        <x:v>2.4447788505504007</x:v>
      </x:c>
      <x:c r="CG229" s="23">
        <x:f t="shared" si="190"/>
        <x:v>0</x:v>
      </x:c>
      <x:c r="CH229" s="23">
        <x:f t="shared" si="191"/>
        <x:v>9.4280887999999994</x:v>
      </x:c>
      <x:c r="CI229" s="23">
        <x:f t="shared" si="192"/>
        <x:v>0</x:v>
      </x:c>
      <x:c r="CJ229" s="24" t="s">
        <x:v>180</x:v>
      </x:c>
      <x:c r="CK229" s="29">
        <x:v>85.8</x:v>
      </x:c>
      <x:c r="CL229" s="26" t="s">
        <x:v>97</x:v>
      </x:c>
      <x:c r="CM229" s="28">
        <x:v>87.5</x:v>
      </x:c>
      <x:c r="CN229" s="30" t="s">
        <x:v>132</x:v>
      </x:c>
      <x:c r="CO229" s="27">
        <x:v>99.4</x:v>
      </x:c>
      <x:c r="CP229" s="27">
        <x:v>98.3</x:v>
      </x:c>
      <x:c r="CQ229" s="26">
        <x:f t="shared" si="193"/>
        <x:v>308.38995622136008</x:v>
      </x:c>
      <x:c r="CR229" s="26">
        <x:f t="shared" si="194"/>
        <x:v>212.42662577499999</x:v>
      </x:c>
      <x:c r="CS229" s="26">
        <x:f t="shared" si="202"/>
        <x:v>471.40444000000002</x:v>
      </x:c>
      <x:c r="CT229" s="26">
        <x:f t="shared" si="219"/>
        <x:v>30.385108571125862</x:v>
      </x:c>
      <x:c r="CU229" s="26">
        <x:f t="shared" si="220"/>
        <x:v>20.780620229678423</x:v>
      </x:c>
      <x:c r="CV229" s="26">
        <x:f t="shared" si="221"/>
        <x:v>4.156124045935685E-2</x:v>
      </x:c>
      <x:c r="CW229" s="26">
        <x:f t="shared" si="222"/>
        <x:v>0</x:v>
      </x:c>
      <x:c r="CX229" s="26">
        <x:f t="shared" si="203"/>
        <x:v>9.4280887999999994</x:v>
      </x:c>
      <x:c r="CY229" s="26">
        <x:f t="shared" si="204"/>
        <x:v>0</x:v>
      </x:c>
    </x:row>
    <x:row r="230">
      <x:c r="A230" s="18">
        <x:v>2022</x:v>
      </x:c>
      <x:c r="B230" t="s">
        <x:v>496</x:v>
      </x:c>
      <x:c r="C230" t="s">
        <x:v>497</x:v>
      </x:c>
      <x:c r="D230" t="s">
        <x:v>498</x:v>
      </x:c>
      <x:c r="E230" s="18">
        <x:v>440811</x:v>
      </x:c>
      <x:c r="F230" t="s">
        <x:v>493</x:v>
      </x:c>
      <x:c r="G230" t="s">
        <x:v>486</x:v>
      </x:c>
      <x:c r="H230" s="18">
        <x:v>2211</x:v>
      </x:c>
      <x:c r="I230" t="s">
        <x:v>499</x:v>
      </x:c>
      <x:c r="J230" t="s">
        <x:v>78</x:v>
      </x:c>
      <x:c r="K230" t="s">
        <x:v>109</x:v>
      </x:c>
      <x:c r="L230" s="20">
        <x:v>60</x:v>
      </x:c>
      <x:c r="M230" t="s">
        <x:v>125</x:v>
      </x:c>
      <x:c r="N230" s="18">
        <x:v>280</x:v>
      </x:c>
      <x:c r="O230" t="s">
        <x:v>74</x:v>
      </x:c>
      <x:c r="P230" s="18">
        <x:v>4</x:v>
      </x:c>
      <x:c r="Q230" s="19" t="s">
        <x:v>111</x:v>
      </x:c>
      <x:c r="R230" s="18">
        <x:v>218402.17</x:v>
      </x:c>
      <x:c r="S230" t="s">
        <x:v>112</x:v>
      </x:c>
      <x:c r="T230" s="19">
        <x:f t="shared" si="206"/>
        <x:v>218402.17</x:v>
      </x:c>
      <x:c r="U230" s="20">
        <x:v>0.54200000000000004</x:v>
      </x:c>
      <x:c r="V230" t="s">
        <x:v>113</x:v>
      </x:c>
      <x:c r="W230" s="20">
        <x:v>13.23</x:v>
      </x:c>
      <x:c r="X230" s="21">
        <x:f t="shared" si="207"/>
        <x:v>2012.3575943800001</x:v>
      </x:c>
      <x:c r="Y230" s="21">
        <x:f t="shared" si="223"/>
        <x:v>1574.6796457</x:v>
      </x:c>
      <x:c r="Z230" s="21">
        <x:f t="shared" si="208"/>
        <x:v>436.80434000000002</x:v>
      </x:c>
      <x:c r="AA230" s="21" t="n">
        <x:f>W230/100*(1-0.44)*0.29*T230</x:f>
        <x:v>4692.4841915784</x:v>
      </x:c>
      <x:c r="AB230" s="21" t="n">
        <x:f>W230/100*(1-0.44)*0.07*T230</x:f>
        <x:v>1132.6685979672002</x:v>
      </x:c>
      <x:c r="AC230" s="21">
        <x:f t="shared" si="218"/>
        <x:v>2.2653371959344004</x:v>
      </x:c>
      <x:c r="AD230" s="21"/>
      <x:c r="AE230" s="21">
        <x:f t="shared" si="210"/>
        <x:v>8.7360868000000007</x:v>
      </x:c>
      <x:c r="AF230" s="21"/>
      <x:c r="AG230" s="19" t="s">
        <x:v>78</x:v>
      </x:c>
      <x:c r="AH230" t="s">
        <x:v>78</x:v>
      </x:c>
      <x:c r="AI230" t="s">
        <x:v>78</x:v>
      </x:c>
      <x:c r="AJ230" s="19"/>
      <x:c r="AK230" s="19" t="s">
        <x:v>78</x:v>
      </x:c>
      <x:c r="AL230" t="s">
        <x:v>78</x:v>
      </x:c>
      <x:c r="AM230" s="19" t="s">
        <x:v>78</x:v>
      </x:c>
      <x:c r="AN230" s="21"/>
      <x:c r="AO230" s="21"/>
      <x:c r="AP230" s="21"/>
      <x:c r="AQ230" s="21"/>
      <x:c r="AR230" s="21"/>
      <x:c r="AS230" s="21"/>
      <x:c r="AT230" s="21"/>
      <x:c r="AU230" s="21"/>
      <x:c r="AV230" s="21"/>
      <x:c r="AW230" t="s">
        <x:v>78</x:v>
      </x:c>
      <x:c r="AX230" s="19"/>
      <x:c r="AY230" s="21"/>
      <x:c r="AZ230" s="21"/>
      <x:c r="BA230" s="21"/>
      <x:c r="BB230" s="21"/>
      <x:c r="BC230" s="21"/>
      <x:c r="BD230" s="21"/>
      <x:c r="BE230" s="21"/>
      <x:c r="BF230" s="21"/>
      <x:c r="BG230" s="21"/>
      <x:c r="BH230" t="s">
        <x:v>500</x:v>
      </x:c>
      <x:c r="BI230" s="18">
        <x:v>110</x:v>
      </x:c>
      <x:c r="BJ230" s="18">
        <x:v>9</x:v>
      </x:c>
      <x:c r="BK230" s="18">
        <x:v>38</x:v>
      </x:c>
      <x:c r="BL230" s="18">
        <x:v>21</x:v>
      </x:c>
      <x:c r="BM230" s="18">
        <x:v>6</x:v>
      </x:c>
      <x:c r="BN230" s="18">
        <x:v>13</x:v>
      </x:c>
      <x:c r="BO230" s="22">
        <x:v>110.160555555556</x:v>
      </x:c>
      <x:c r="BP230" s="22">
        <x:v>21.1036111111111</x:v>
      </x:c>
      <x:c r="BQ230" s="18">
        <x:v>80</x:v>
      </x:c>
      <x:c r="BR230" s="18">
        <x:v>241552</x:v>
      </x:c>
      <x:c r="BS230" s="18">
        <x:v>66.289000000000001</x:v>
      </x:c>
      <x:c r="BT230" s="18">
        <x:v>17.858000000000001</x:v>
      </x:c>
      <x:c r="BU230" s="18">
        <x:v>331.971</x:v>
      </x:c>
      <x:c r="BV230" s="18">
        <x:v>16.491</x:v>
      </x:c>
      <x:c r="BW230" s="18">
        <x:v>42112.997000000003</x:v>
      </x:c>
      <x:c r="BX230" s="18">
        <x:v>1.6779999999999999</x:v>
      </x:c>
      <x:c r="BY230" s="18">
        <x:v>6246.3019999999997</x:v>
      </x:c>
      <x:c r="BZ230" s="18">
        <x:v>6246.3019999999997</x:v>
      </x:c>
      <x:c r="CA230" s="23">
        <x:f t="shared" si="184"/>
        <x:v>2012.3575943800001</x:v>
      </x:c>
      <x:c r="CB230" s="23">
        <x:f t="shared" si="185"/>
        <x:v>1574.6796457</x:v>
      </x:c>
      <x:c r="CC230" s="23">
        <x:f t="shared" si="186"/>
        <x:v>436.80434000000002</x:v>
      </x:c>
      <x:c r="CD230" s="23">
        <x:f t="shared" si="187"/>
        <x:v>4692.4841915784</x:v>
      </x:c>
      <x:c r="CE230" s="23">
        <x:f t="shared" si="188"/>
        <x:v>1132.6685979672002</x:v>
      </x:c>
      <x:c r="CF230" s="23">
        <x:f t="shared" si="189"/>
        <x:v>2.2653371959344004</x:v>
      </x:c>
      <x:c r="CG230" s="23">
        <x:f t="shared" si="190"/>
        <x:v>0</x:v>
      </x:c>
      <x:c r="CH230" s="23">
        <x:f t="shared" si="191"/>
        <x:v>8.7360868000000007</x:v>
      </x:c>
      <x:c r="CI230" s="23">
        <x:f t="shared" si="192"/>
        <x:v>0</x:v>
      </x:c>
      <x:c r="CJ230" s="24" t="s">
        <x:v>180</x:v>
      </x:c>
      <x:c r="CK230" s="29">
        <x:v>85.8</x:v>
      </x:c>
      <x:c r="CL230" s="26" t="s">
        <x:v>97</x:v>
      </x:c>
      <x:c r="CM230" s="28">
        <x:v>87.5</x:v>
      </x:c>
      <x:c r="CN230" s="30" t="s">
        <x:v>132</x:v>
      </x:c>
      <x:c r="CO230" s="27">
        <x:v>99.4</x:v>
      </x:c>
      <x:c r="CP230" s="27">
        <x:v>98.3</x:v>
      </x:c>
      <x:c r="CQ230" s="26">
        <x:f t="shared" si="193"/>
        <x:v>285.75477840196004</x:v>
      </x:c>
      <x:c r="CR230" s="26">
        <x:f t="shared" si="194"/>
        <x:v>196.8349557125</x:v>
      </x:c>
      <x:c r="CS230" s="26">
        <x:f t="shared" si="202"/>
        <x:v>436.80434000000002</x:v>
      </x:c>
      <x:c r="CT230" s="26">
        <x:f t="shared" si="219"/>
        <x:v>28.154905149469904</x:v>
      </x:c>
      <x:c r="CU230" s="26">
        <x:f t="shared" si="220"/>
        <x:v>19.255366165442421</x:v>
      </x:c>
      <x:c r="CV230" s="26">
        <x:f t="shared" si="221"/>
        <x:v>3.8510732330884839E-2</x:v>
      </x:c>
      <x:c r="CW230" s="26">
        <x:f t="shared" si="222"/>
        <x:v>0</x:v>
      </x:c>
      <x:c r="CX230" s="26">
        <x:f t="shared" si="203"/>
        <x:v>8.7360868000000007</x:v>
      </x:c>
      <x:c r="CY230" s="26">
        <x:f t="shared" si="204"/>
        <x:v>0</x:v>
      </x:c>
    </x:row>
    <x:row r="231">
      <x:c r="A231" s="18">
        <x:v>2022</x:v>
      </x:c>
      <x:c r="B231" t="s">
        <x:v>501</x:v>
      </x:c>
      <x:c r="C231" t="s">
        <x:v>502</x:v>
      </x:c>
      <x:c r="D231" t="s">
        <x:v>503</x:v>
      </x:c>
      <x:c r="E231" s="18">
        <x:v>440861</x:v>
      </x:c>
      <x:c r="F231" t="s">
        <x:v>504</x:v>
      </x:c>
      <x:c r="G231" t="s">
        <x:v>486</x:v>
      </x:c>
      <x:c r="H231" s="18">
        <x:v>3110</x:v>
      </x:c>
      <x:c r="I231" t="s">
        <x:v>505</x:v>
      </x:c>
      <x:c r="J231" t="s">
        <x:v>78</x:v>
      </x:c>
      <x:c r="K231" t="s">
        <x:v>109</x:v>
      </x:c>
      <x:c r="L231" s="20">
        <x:v>35</x:v>
      </x:c>
      <x:c r="M231" t="s">
        <x:v>110</x:v>
      </x:c>
      <x:c r="N231" s="18">
        <x:v>1165.49</x:v>
      </x:c>
      <x:c r="O231" t="s">
        <x:v>88</x:v>
      </x:c>
      <x:c r="P231" s="18">
        <x:v>4</x:v>
      </x:c>
      <x:c r="Q231" s="19" t="s">
        <x:v>111</x:v>
      </x:c>
      <x:c r="R231" s="18">
        <x:v>415792.94</x:v>
      </x:c>
      <x:c r="S231" t="s">
        <x:v>112</x:v>
      </x:c>
      <x:c r="T231" s="19">
        <x:f t="shared" si="206"/>
        <x:v>415792.94</x:v>
      </x:c>
      <x:c r="U231" s="20">
        <x:v>0.32</x:v>
      </x:c>
      <x:c r="V231" t="s">
        <x:v>113</x:v>
      </x:c>
      <x:c r="W231" s="20">
        <x:v>5.76</x:v>
      </x:c>
      <x:c r="X231" s="21">
        <x:f t="shared" si="207"/>
        <x:v>2261.9135936000002</x:v>
      </x:c>
      <x:c r="Y231" s="21">
        <x:f t="shared" si="223"/>
        <x:v>2997.8670973999997</x:v>
      </x:c>
      <x:c r="Z231" s="21">
        <x:f t="shared" si="208"/>
        <x:v>831.58587999999997</x:v>
      </x:c>
      <x:c r="AA231" s="21" t="n">
        <x:f>W231/100*(1-0.25)*0.23*T231</x:f>
        <x:v>4131.31865184</x:v>
      </x:c>
      <x:c r="AB231" s="21" t="n">
        <x:f>W231/100*(1-0.25)*0.06*T231</x:f>
        <x:v>1077.73530048</x:v>
      </x:c>
      <x:c r="AC231" s="21" t="n">
        <x:f t="shared" ref="AC231:AC232" si="224">0.002*AB231</x:f>
        <x:v>2.15547060096</x:v>
      </x:c>
      <x:c r="AD231" s="21"/>
      <x:c r="AE231" s="21">
        <x:f t="shared" si="210"/>
        <x:v>16.631717599999998</x:v>
      </x:c>
      <x:c r="AF231" s="21"/>
      <x:c r="AG231" s="19" t="s">
        <x:v>215</x:v>
      </x:c>
      <x:c r="AH231" s="18">
        <x:v>96812.1</x:v>
      </x:c>
      <x:c r="AI231" t="s">
        <x:v>76</x:v>
      </x:c>
      <x:c r="AJ231" s="19" t="n">
        <x:f>AH231</x:f>
        <x:v>96812.1</x:v>
      </x:c>
      <x:c r="AK231" s="20">
        <x:v>10.483000000000001</x:v>
      </x:c>
      <x:c r="AL231" t="s">
        <x:v>77</x:v>
      </x:c>
      <x:c r="AM231" s="19" t="s">
        <x:v>78</x:v>
      </x:c>
      <x:c r="AN231" s="21" t="n">
        <x:f>2*AK231*AJ231*10000/1000000000</x:f>
        <x:v>20.297624886000005</x:v>
      </x:c>
      <x:c r="AO231" s="21" t="n">
        <x:f>1.35*AJ231*10000/1000000</x:f>
        <x:v>1306.9633500000002</x:v>
      </x:c>
      <x:c r="AP231" s="21" t="n">
        <x:f>1.3*AJ231*10000/1000000</x:f>
        <x:v>1258.5573</x:v>
      </x:c>
      <x:c r="AQ231" s="21" t="n">
        <x:f>0.03*AJ231*10000/1000000</x:f>
        <x:v>29.043630000000004</x:v>
      </x:c>
      <x:c r="AR231" s="21" t="n">
        <x:f>0.03*AJ231*10000/1000000</x:f>
        <x:v>29.043630000000004</x:v>
      </x:c>
      <x:c r="AS231" s="21"/>
      <x:c r="AT231" s="21"/>
      <x:c r="AU231" s="21" t="n">
        <x:f>0.05*AJ231*10000/1000000</x:f>
        <x:v>48.40605000000001</x:v>
      </x:c>
      <x:c r="AV231" s="21"/>
      <x:c r="AW231" s="18">
        <x:v>372745.78</x:v>
      </x:c>
      <x:c r="AX231" s="19" t="n">
        <x:f>AW231/3.5701</x:f>
        <x:v>104407.65804879415</x:v>
      </x:c>
      <x:c r="AY231" s="21" t="n">
        <x:f>2*AX231*5.36*10000/1000000000</x:f>
        <x:v>11.192500942830733</x:v>
      </x:c>
      <x:c r="AZ231" s="21" t="n">
        <x:f>1.35*AX231*10000/1000000</x:f>
        <x:v>1409.5033836587213</x:v>
      </x:c>
      <x:c r="BA231" s="21" t="n">
        <x:f>1.3*AX231*10000/1000000</x:f>
        <x:v>1357.299554634324</x:v>
      </x:c>
      <x:c r="BB231" s="21" t="n">
        <x:f>0.03*AX231*10000/1000000</x:f>
        <x:v>31.322297414638246</x:v>
      </x:c>
      <x:c r="BC231" s="21" t="n">
        <x:f>0.03*AX231*10000/1000000</x:f>
        <x:v>31.322297414638246</x:v>
      </x:c>
      <x:c r="BD231" s="21"/>
      <x:c r="BE231" s="21"/>
      <x:c r="BF231" s="21" t="n">
        <x:f>0.05*AX231*10000/1000000</x:f>
        <x:v>52.20382902439708</x:v>
      </x:c>
      <x:c r="BG231" s="21"/>
      <x:c r="BH231" t="s">
        <x:v>81</x:v>
      </x:c>
      <x:c r="BI231" s="18">
        <x:v>110</x:v>
      </x:c>
      <x:c r="BJ231" s="18">
        <x:v>29</x:v>
      </x:c>
      <x:c r="BK231" s="18">
        <x:v>28</x:v>
      </x:c>
      <x:c r="BL231" s="18">
        <x:v>21</x:v>
      </x:c>
      <x:c r="BM231" s="18">
        <x:v>4</x:v>
      </x:c>
      <x:c r="BN231" s="18">
        <x:v>8</x:v>
      </x:c>
      <x:c r="BO231" s="22">
        <x:v>110.491111111111</x:v>
      </x:c>
      <x:c r="BP231" s="22">
        <x:v>21.0688888888889</x:v>
      </x:c>
      <x:c r="BQ231" s="18">
        <x:v>210</x:v>
      </x:c>
      <x:c r="BR231" s="18">
        <x:v>635804.80000000005</x:v>
      </x:c>
      <x:c r="BS231" s="18">
        <x:v>2329.8539999999998</x:v>
      </x:c>
      <x:c r="BT231" s="18">
        <x:v>96.588999999999999</x:v>
      </x:c>
      <x:c r="BU231" s="18">
        <x:v>1351.327</x:v>
      </x:c>
      <x:c r="BV231" s="18">
        <x:v>378.37200000000001</x:v>
      </x:c>
      <x:c r="BW231" s="18">
        <x:v>42922.305</x:v>
      </x:c>
      <x:c r="BX231" s="18">
        <x:v>4.55</x:v>
      </x:c>
      <x:c r="BY231" s="18">
        <x:v>4906.357</x:v>
      </x:c>
      <x:c r="BZ231" s="18">
        <x:v>4906.357</x:v>
      </x:c>
      <x:c r="CA231" s="23">
        <x:f t="shared" si="184"/>
        <x:v>2293.4037194288308</x:v>
      </x:c>
      <x:c r="CB231" s="23">
        <x:f t="shared" si="185"/>
        <x:v>5714.3338310587205</x:v>
      </x:c>
      <x:c r="CC231" s="23">
        <x:f t="shared" si="186"/>
        <x:v>3447.4427346343241</x:v>
      </x:c>
      <x:c r="CD231" s="23">
        <x:f t="shared" si="187"/>
        <x:v>4191.6845792546383</x:v>
      </x:c>
      <x:c r="CE231" s="23">
        <x:f t="shared" si="188"/>
        <x:v>1138.1012278946382</x:v>
      </x:c>
      <x:c r="CF231" s="23">
        <x:f t="shared" si="189"/>
        <x:v>2.1554706009600002</x:v>
      </x:c>
      <x:c r="CG231" s="23">
        <x:f t="shared" si="190"/>
        <x:v>0</x:v>
      </x:c>
      <x:c r="CH231" s="23">
        <x:f t="shared" si="191"/>
        <x:v>117.24159662439709</x:v>
      </x:c>
      <x:c r="CI231" s="23">
        <x:f t="shared" si="192"/>
        <x:v>0</x:v>
      </x:c>
      <x:c r="CJ231" s="24" t="s">
        <x:v>440</x:v>
      </x:c>
      <x:c r="CK231" s="29">
        <x:v>95</x:v>
      </x:c>
      <x:c r="CL231" s="26" t="s">
        <x:v>97</x:v>
      </x:c>
      <x:c r="CM231" s="28">
        <x:v>75</x:v>
      </x:c>
      <x:c r="CN231" s="27" t="s">
        <x:v>78</x:v>
      </x:c>
      <x:c r="CO231" s="27">
        <x:v>98.8</x:v>
      </x:c>
      <x:c r="CP231" s="27">
        <x:v>97</x:v>
      </x:c>
      <x:c r="CQ231" s="26">
        <x:f t="shared" si="193"/>
        <x:v>114.67018597144164</x:v>
      </x:c>
      <x:c r="CR231" s="26">
        <x:f t="shared" si="194"/>
        <x:v>1428.5834577646801</x:v>
      </x:c>
      <x:c r="CS231" s="26">
        <x:f t="shared" si="202"/>
        <x:v>3447.4427346343241</x:v>
      </x:c>
      <x:c r="CT231" s="26">
        <x:f t="shared" si="219"/>
        <x:v>50.3002149510557</x:v>
      </x:c>
      <x:c r="CU231" s="26">
        <x:f t="shared" si="220"/>
        <x:v>34.14303683683918</x:v>
      </x:c>
      <x:c r="CV231" s="26">
        <x:f t="shared" si="221"/>
        <x:v>6.4664118028800066E-2</x:v>
      </x:c>
      <x:c r="CW231" s="26">
        <x:f t="shared" si="222"/>
        <x:v>0</x:v>
      </x:c>
      <x:c r="CX231" s="26">
        <x:f t="shared" si="203"/>
        <x:v>117.24159662439709</x:v>
      </x:c>
      <x:c r="CY231" s="26">
        <x:f t="shared" si="204"/>
        <x:v>0</x:v>
      </x:c>
    </x:row>
    <x:row r="232">
      <x:c r="A232" s="18">
        <x:v>2022</x:v>
      </x:c>
      <x:c r="B232" t="s">
        <x:v>501</x:v>
      </x:c>
      <x:c r="C232" t="s">
        <x:v>502</x:v>
      </x:c>
      <x:c r="D232" t="s">
        <x:v>503</x:v>
      </x:c>
      <x:c r="E232" s="18">
        <x:v>440861</x:v>
      </x:c>
      <x:c r="F232" t="s">
        <x:v>504</x:v>
      </x:c>
      <x:c r="G232" t="s">
        <x:v>486</x:v>
      </x:c>
      <x:c r="H232" s="18">
        <x:v>3110</x:v>
      </x:c>
      <x:c r="I232" t="s">
        <x:v>505</x:v>
      </x:c>
      <x:c r="J232" t="s">
        <x:v>78</x:v>
      </x:c>
      <x:c r="K232" t="s">
        <x:v>109</x:v>
      </x:c>
      <x:c r="L232" s="20">
        <x:v>35</x:v>
      </x:c>
      <x:c r="M232" t="s">
        <x:v>110</x:v>
      </x:c>
      <x:c r="N232" s="18">
        <x:v>1165.49</x:v>
      </x:c>
      <x:c r="O232" t="s">
        <x:v>88</x:v>
      </x:c>
      <x:c r="P232" s="18">
        <x:v>4</x:v>
      </x:c>
      <x:c r="Q232" s="19" t="s">
        <x:v>111</x:v>
      </x:c>
      <x:c r="R232" s="18">
        <x:v>522689</x:v>
      </x:c>
      <x:c r="S232" t="s">
        <x:v>112</x:v>
      </x:c>
      <x:c r="T232" s="19">
        <x:f t="shared" si="206"/>
        <x:v>522689</x:v>
      </x:c>
      <x:c r="U232" s="20">
        <x:v>0.32</x:v>
      </x:c>
      <x:c r="V232" t="s">
        <x:v>113</x:v>
      </x:c>
      <x:c r="W232" s="20">
        <x:v>5.76</x:v>
      </x:c>
      <x:c r="X232" s="21">
        <x:f t="shared" si="207"/>
        <x:v>2843.4281600000004</x:v>
      </x:c>
      <x:c r="Y232" s="21">
        <x:f t="shared" si="223"/>
        <x:v>3768.5876899999998</x:v>
      </x:c>
      <x:c r="Z232" s="21">
        <x:f t="shared" si="208"/>
        <x:v>1045.3779999999999</x:v>
      </x:c>
      <x:c r="AA232" s="21" t="n">
        <x:f>W232/100*(1-0.25)*0.23*T232</x:f>
        <x:v>5193.437904</x:v>
      </x:c>
      <x:c r="AB232" s="21" t="n">
        <x:f>W232/100*(1-0.25)*0.06*T232</x:f>
        <x:v>1354.809888</x:v>
      </x:c>
      <x:c r="AC232" s="21">
        <x:f t="shared" si="224"/>
        <x:v>2.7096197760000003</x:v>
      </x:c>
      <x:c r="AD232" s="21"/>
      <x:c r="AE232" s="21">
        <x:f t="shared" si="210"/>
        <x:v>20.90756</x:v>
      </x:c>
      <x:c r="AF232" s="21"/>
      <x:c r="AG232" s="19" t="s">
        <x:v>215</x:v>
      </x:c>
      <x:c r="AH232" s="18">
        <x:v>158434.56</x:v>
      </x:c>
      <x:c r="AI232" t="s">
        <x:v>76</x:v>
      </x:c>
      <x:c r="AJ232" s="19" t="n">
        <x:f>AH232</x:f>
        <x:v>158434.56</x:v>
      </x:c>
      <x:c r="AK232" s="20">
        <x:v>10.483000000000001</x:v>
      </x:c>
      <x:c r="AL232" t="s">
        <x:v>77</x:v>
      </x:c>
      <x:c r="AM232" s="19" t="s">
        <x:v>78</x:v>
      </x:c>
      <x:c r="AN232" s="21" t="n">
        <x:f>2*AK232*AJ232*10000/1000000000</x:f>
        <x:v>33.217389849599996</x:v>
      </x:c>
      <x:c r="AO232" s="21" t="n">
        <x:f>1.35*AJ232*10000/1000000</x:f>
        <x:v>2138.8665600000004</x:v>
      </x:c>
      <x:c r="AP232" s="21" t="n">
        <x:f>1.3*AJ232*10000/1000000</x:f>
        <x:v>2059.64928</x:v>
      </x:c>
      <x:c r="AQ232" s="21" t="n">
        <x:f>0.03*AJ232*10000/1000000</x:f>
        <x:v>47.530368</x:v>
      </x:c>
      <x:c r="AR232" s="21" t="n">
        <x:f>0.03*AJ232*10000/1000000</x:f>
        <x:v>47.530368</x:v>
      </x:c>
      <x:c r="AS232" s="21"/>
      <x:c r="AT232" s="21"/>
      <x:c r="AU232" s="21" t="n">
        <x:f>0.05*AJ232*10000/1000000</x:f>
        <x:v>79.21728</x:v>
      </x:c>
      <x:c r="AV232" s="21"/>
      <x:c r="AW232" s="18">
        <x:v>594169.14</x:v>
      </x:c>
      <x:c r="AX232" s="19" t="n">
        <x:f t="shared" ref="AX232:AX234" si="225">AW232/3.5701</x:f>
        <x:v>166429.2708887706</x:v>
      </x:c>
      <x:c r="AY232" s="21" t="n">
        <x:f>2*AX232*5.36*10000/1000000000</x:f>
        <x:v>17.84121783927621</x:v>
      </x:c>
      <x:c r="AZ232" s="21" t="n">
        <x:f t="shared" ref="AZ232:AZ234" si="226">1.35*AX232*10000/1000000</x:f>
        <x:v>2246.795156998403</x:v>
      </x:c>
      <x:c r="BA232" s="21" t="n">
        <x:f t="shared" ref="BA232:BA234" si="227">1.3*AX232*10000/1000000</x:f>
        <x:v>2163.580521554018</x:v>
      </x:c>
      <x:c r="BB232" s="21" t="n">
        <x:f t="shared" ref="BB232:BB234" si="228">0.03*AX232*10000/1000000</x:f>
        <x:v>49.928781266631184</x:v>
      </x:c>
      <x:c r="BC232" s="21" t="n">
        <x:f t="shared" ref="BC232:BC234" si="229">0.03*AX232*10000/1000000</x:f>
        <x:v>49.928781266631184</x:v>
      </x:c>
      <x:c r="BD232" s="21"/>
      <x:c r="BE232" s="21"/>
      <x:c r="BF232" s="21" t="n">
        <x:f t="shared" ref="BF232:BF234" si="230">0.05*AX232*10000/1000000</x:f>
        <x:v>83.21463544438531</x:v>
      </x:c>
      <x:c r="BG232" s="21"/>
      <x:c r="BH232" t="s">
        <x:v>79</x:v>
      </x:c>
      <x:c r="BI232" s="18">
        <x:v>110</x:v>
      </x:c>
      <x:c r="BJ232" s="18">
        <x:v>29</x:v>
      </x:c>
      <x:c r="BK232" s="18">
        <x:v>28</x:v>
      </x:c>
      <x:c r="BL232" s="18">
        <x:v>21</x:v>
      </x:c>
      <x:c r="BM232" s="18">
        <x:v>4</x:v>
      </x:c>
      <x:c r="BN232" s="18">
        <x:v>8</x:v>
      </x:c>
      <x:c r="BO232" s="22">
        <x:v>110.491111111111</x:v>
      </x:c>
      <x:c r="BP232" s="22">
        <x:v>21.0688888888889</x:v>
      </x:c>
      <x:c r="BQ232" s="18">
        <x:v>210</x:v>
      </x:c>
      <x:c r="BR232" s="18">
        <x:v>895773.2</x:v>
      </x:c>
      <x:c r="BS232" s="18">
        <x:v>2928.8359999999998</x:v>
      </x:c>
      <x:c r="BT232" s="18">
        <x:v>121.42100000000001</x:v>
      </x:c>
      <x:c r="BU232" s="18">
        <x:v>1698.739</x:v>
      </x:c>
      <x:c r="BV232" s="18">
        <x:v>475.64699999999999</x:v>
      </x:c>
      <x:c r="BW232" s="18">
        <x:v>53957.192000000003</x:v>
      </x:c>
      <x:c r="BX232" s="18">
        <x:v>5.7190000000000003</x:v>
      </x:c>
      <x:c r="BY232" s="18">
        <x:v>6167.73</x:v>
      </x:c>
      <x:c r="BZ232" s="18">
        <x:v>6167.73</x:v>
      </x:c>
      <x:c r="CA232" s="23">
        <x:f t="shared" si="184"/>
        <x:v>2894.4867676888766</x:v>
      </x:c>
      <x:c r="CB232" s="23">
        <x:f t="shared" si="185"/>
        <x:v>8154.2494069984041</x:v>
      </x:c>
      <x:c r="CC232" s="23">
        <x:f t="shared" si="186"/>
        <x:v>5268.6078015540188</x:v>
      </x:c>
      <x:c r="CD232" s="23">
        <x:f t="shared" si="187"/>
        <x:v>5290.8970532666317</x:v>
      </x:c>
      <x:c r="CE232" s="23">
        <x:f t="shared" si="188"/>
        <x:v>1452.2690372666311</x:v>
      </x:c>
      <x:c r="CF232" s="23">
        <x:f t="shared" si="189"/>
        <x:v>2.7096197760000003</x:v>
      </x:c>
      <x:c r="CG232" s="23">
        <x:f t="shared" si="190"/>
        <x:v>0</x:v>
      </x:c>
      <x:c r="CH232" s="23">
        <x:f t="shared" si="191"/>
        <x:v>183.3394754443853</x:v>
      </x:c>
      <x:c r="CI232" s="23">
        <x:f t="shared" si="192"/>
        <x:v>0</x:v>
      </x:c>
      <x:c r="CJ232" s="24" t="s">
        <x:v>440</x:v>
      </x:c>
      <x:c r="CK232" s="29">
        <x:v>95</x:v>
      </x:c>
      <x:c r="CL232" s="26" t="s">
        <x:v>97</x:v>
      </x:c>
      <x:c r="CM232" s="28">
        <x:v>75</x:v>
      </x:c>
      <x:c r="CN232" s="27" t="s">
        <x:v>78</x:v>
      </x:c>
      <x:c r="CO232" s="27">
        <x:v>98.8</x:v>
      </x:c>
      <x:c r="CP232" s="27">
        <x:v>97</x:v>
      </x:c>
      <x:c r="CQ232" s="26">
        <x:f t="shared" si="193"/>
        <x:v>144.72433838444397</x:v>
      </x:c>
      <x:c r="CR232" s="26">
        <x:f t="shared" si="194"/>
        <x:v>2038.562351749601</x:v>
      </x:c>
      <x:c r="CS232" s="26">
        <x:f t="shared" si="202"/>
        <x:v>5268.6078015540188</x:v>
      </x:c>
      <x:c r="CT232" s="26">
        <x:f t="shared" si="219"/>
        <x:v>63.490764639199639</x:v>
      </x:c>
      <x:c r="CU232" s="26">
        <x:f t="shared" si="220"/>
        <x:v>43.568071117998976</x:v>
      </x:c>
      <x:c r="CV232" s="26">
        <x:f t="shared" si="221"/>
        <x:v>8.1288593280000085E-2</x:v>
      </x:c>
      <x:c r="CW232" s="26">
        <x:f t="shared" si="222"/>
        <x:v>0</x:v>
      </x:c>
      <x:c r="CX232" s="26">
        <x:f t="shared" si="203"/>
        <x:v>183.3394754443853</x:v>
      </x:c>
      <x:c r="CY232" s="26">
        <x:f t="shared" si="204"/>
        <x:v>0</x:v>
      </x:c>
    </x:row>
    <x:row r="233">
      <x:c r="A233" s="18">
        <x:v>2022</x:v>
      </x:c>
      <x:c r="B233" t="s">
        <x:v>501</x:v>
      </x:c>
      <x:c r="C233" t="s">
        <x:v>502</x:v>
      </x:c>
      <x:c r="D233" t="s">
        <x:v>503</x:v>
      </x:c>
      <x:c r="E233" s="18">
        <x:v>440861</x:v>
      </x:c>
      <x:c r="F233" t="s">
        <x:v>504</x:v>
      </x:c>
      <x:c r="G233" t="s">
        <x:v>486</x:v>
      </x:c>
      <x:c r="H233" s="18">
        <x:v>3110</x:v>
      </x:c>
      <x:c r="I233" t="s">
        <x:v>505</x:v>
      </x:c>
      <x:c r="J233" t="s">
        <x:v>78</x:v>
      </x:c>
      <x:c r="K233" t="s">
        <x:v>72</x:v>
      </x:c>
      <x:c r="L233" s="18">
        <x:v>13.5</x:v>
      </x:c>
      <x:c r="M233" t="s">
        <x:v>73</x:v>
      </x:c>
      <x:c r="N233" s="18">
        <x:v>432.3</x:v>
      </x:c>
      <x:c r="O233" t="s">
        <x:v>88</x:v>
      </x:c>
      <x:c r="P233" s="18">
        <x:v>12</x:v>
      </x:c>
      <x:c r="Q233" s="19" t="s">
        <x:v>215</x:v>
      </x:c>
      <x:c r="R233" s="18">
        <x:v>141248</x:v>
      </x:c>
      <x:c r="S233" t="s">
        <x:v>76</x:v>
      </x:c>
      <x:c r="T233" s="19">
        <x:f t="shared" si="206"/>
        <x:v>141248</x:v>
      </x:c>
      <x:c r="U233" s="19">
        <x:v>7.75</x:v>
      </x:c>
      <x:c r="V233" t="s">
        <x:v>77</x:v>
      </x:c>
      <x:c r="W233" s="19" t="s">
        <x:v>78</x:v>
      </x:c>
      <x:c r="X233" s="21" t="n">
        <x:f>2*U233*T233*10000/1000000000</x:f>
        <x:v>21.89344</x:v>
      </x:c>
      <x:c r="Y233" s="21" t="n">
        <x:f>1.35*T233*10000/1000000</x:f>
        <x:v>1906.8480000000002</x:v>
      </x:c>
      <x:c r="Z233" s="21" t="n">
        <x:f>1.3*T233*10000/1000000</x:f>
        <x:v>1836.224</x:v>
      </x:c>
      <x:c r="AA233" s="21" t="n">
        <x:f>0.03*T233*10000/1000000</x:f>
        <x:v>42.374399999999994</x:v>
      </x:c>
      <x:c r="AB233" s="21" t="n">
        <x:f>0.03*T233*10000/1000000</x:f>
        <x:v>42.374399999999994</x:v>
      </x:c>
      <x:c r="AC233" s="21"/>
      <x:c r="AD233" s="21"/>
      <x:c r="AE233" s="21" t="n">
        <x:f>0.05*T233*10000/1000000</x:f>
        <x:v>70.624</x:v>
      </x:c>
      <x:c r="AF233" s="21"/>
      <x:c r="AG233" s="19" t="s">
        <x:v>506</x:v>
      </x:c>
      <x:c r="AH233" s="18">
        <x:v>19134</x:v>
      </x:c>
      <x:c r="AI233" t="s">
        <x:v>76</x:v>
      </x:c>
      <x:c r="AJ233" s="19" t="n">
        <x:f>AH233</x:f>
        <x:v>19134</x:v>
      </x:c>
      <x:c r="AK233" s="19">
        <x:v>0.24</x:v>
      </x:c>
      <x:c r="AL233" t="s">
        <x:v>77</x:v>
      </x:c>
      <x:c r="AM233" s="19" t="s">
        <x:v>78</x:v>
      </x:c>
      <x:c r="AN233" s="21" t="n">
        <x:f>2*AK233*AJ233*10000/1000000000</x:f>
        <x:v>0.0918432</x:v>
      </x:c>
      <x:c r="AO233" s="21" t="n">
        <x:f>1.35*AJ233*10000/1000000</x:f>
        <x:v>258.309</x:v>
      </x:c>
      <x:c r="AP233" s="21" t="n">
        <x:f>1.3*AJ233*10000/1000000</x:f>
        <x:v>248.742</x:v>
      </x:c>
      <x:c r="AQ233" s="21" t="n">
        <x:f>0.03*AJ233*10000/1000000</x:f>
        <x:v>5.7402</x:v>
      </x:c>
      <x:c r="AR233" s="21" t="n">
        <x:f>0.03*AJ233*10000/1000000</x:f>
        <x:v>5.7402</x:v>
      </x:c>
      <x:c r="AS233" s="21"/>
      <x:c r="AT233" s="21"/>
      <x:c r="AU233" s="21" t="n">
        <x:f>0.05*AJ233*10000/1000000</x:f>
        <x:v>9.567</x:v>
      </x:c>
      <x:c r="AV233" s="21"/>
      <x:c r="AW233" s="18">
        <x:v>50301.95</x:v>
      </x:c>
      <x:c r="AX233" s="19">
        <x:f t="shared" si="225"/>
        <x:v>14089.787400913139</x:v>
      </x:c>
      <x:c r="AY233" s="21" t="n">
        <x:f t="shared" ref="AY233:AY234" si="231">2*AX233*5.36*10000/1000000000</x:f>
        <x:v>1.5104252093778885</x:v>
      </x:c>
      <x:c r="AZ233" s="21">
        <x:f t="shared" si="226"/>
        <x:v>190.21212991232741</x:v>
      </x:c>
      <x:c r="BA233" s="21">
        <x:f t="shared" si="227"/>
        <x:v>183.1672362118708</x:v>
      </x:c>
      <x:c r="BB233" s="21">
        <x:f t="shared" si="228"/>
        <x:v>4.2269362202739416</x:v>
      </x:c>
      <x:c r="BC233" s="21">
        <x:f t="shared" si="229"/>
        <x:v>4.2269362202739416</x:v>
      </x:c>
      <x:c r="BD233" s="21"/>
      <x:c r="BE233" s="21"/>
      <x:c r="BF233" s="21">
        <x:f t="shared" si="230"/>
        <x:v>7.0448937004565702</x:v>
      </x:c>
      <x:c r="BG233" s="21"/>
      <x:c r="BH233" t="s">
        <x:v>507</x:v>
      </x:c>
      <x:c r="BI233" s="18">
        <x:v>110</x:v>
      </x:c>
      <x:c r="BJ233" s="18">
        <x:v>29</x:v>
      </x:c>
      <x:c r="BK233" s="18">
        <x:v>31</x:v>
      </x:c>
      <x:c r="BL233" s="18">
        <x:v>21</x:v>
      </x:c>
      <x:c r="BM233" s="18">
        <x:v>4</x:v>
      </x:c>
      <x:c r="BN233" s="18">
        <x:v>16</x:v>
      </x:c>
      <x:c r="BO233" s="22">
        <x:v>110.491944444444</x:v>
      </x:c>
      <x:c r="BP233" s="22">
        <x:v>21.071111111111101</x:v>
      </x:c>
      <x:c r="BQ233" s="18">
        <x:v>120</x:v>
      </x:c>
      <x:c r="BR233" s="18">
        <x:v>370329.3</x:v>
      </x:c>
      <x:c r="BS233" s="18">
        <x:v>141.24799999999999</x:v>
      </x:c>
      <x:c r="BT233" s="18">
        <x:v>141.24799999999999</x:v>
      </x:c>
      <x:c r="BU233" s="18">
        <x:v>1214.7329999999999</x:v>
      </x:c>
      <x:c r="BV233" s="18">
        <x:v>425.15699999999998</x:v>
      </x:c>
      <x:c r="BW233" s="18">
        <x:v>146.75700000000001</x:v>
      </x:c>
      <x:c r="BX233" s="18">
        <x:v>146.75700000000001</x:v>
      </x:c>
      <x:c r="BY233" s="18">
        <x:v>24538.446</x:v>
      </x:c>
      <x:c r="BZ233" s="18">
        <x:v>24538.446</x:v>
      </x:c>
      <x:c r="CA233" s="23">
        <x:f t="shared" si="184"/>
        <x:v>23.495708409377887</x:v>
      </x:c>
      <x:c r="CB233" s="23">
        <x:f t="shared" si="185"/>
        <x:v>2355.3691299123275</x:v>
      </x:c>
      <x:c r="CC233" s="23">
        <x:f t="shared" si="186"/>
        <x:v>2268.1332362118706</x:v>
      </x:c>
      <x:c r="CD233" s="23">
        <x:f t="shared" si="187"/>
        <x:v>52.341536220273937</x:v>
      </x:c>
      <x:c r="CE233" s="23">
        <x:f t="shared" si="188"/>
        <x:v>52.341536220273937</x:v>
      </x:c>
      <x:c r="CF233" s="23">
        <x:f t="shared" si="189"/>
        <x:v>0</x:v>
      </x:c>
      <x:c r="CG233" s="23">
        <x:f t="shared" si="190"/>
        <x:v>0</x:v>
      </x:c>
      <x:c r="CH233" s="23">
        <x:f t="shared" si="191"/>
        <x:v>87.235893700456572</x:v>
      </x:c>
      <x:c r="CI233" s="23">
        <x:f t="shared" si="192"/>
        <x:v>0</x:v>
      </x:c>
      <x:c r="CJ233" s="24" t="s">
        <x:v>440</x:v>
      </x:c>
      <x:c r="CK233" s="29">
        <x:v>95</x:v>
      </x:c>
      <x:c r="CL233" s="26" t="s">
        <x:v>97</x:v>
      </x:c>
      <x:c r="CM233" s="28">
        <x:v>75</x:v>
      </x:c>
      <x:c r="CN233" s="27" t="s">
        <x:v>78</x:v>
      </x:c>
      <x:c r="CO233" s="27">
        <x:v>0</x:v>
      </x:c>
      <x:c r="CP233" s="27">
        <x:v>0</x:v>
      </x:c>
      <x:c r="CQ233" s="26">
        <x:f t="shared" si="193"/>
        <x:v>1.1747854204688954</x:v>
      </x:c>
      <x:c r="CR233" s="26">
        <x:f t="shared" si="194"/>
        <x:v>588.84228247808187</x:v>
      </x:c>
      <x:c r="CS233" s="26">
        <x:f t="shared" si="202"/>
        <x:v>2268.1332362118706</x:v>
      </x:c>
      <x:c r="CT233" s="26">
        <x:f t="shared" si="219"/>
        <x:v>52.341536220273937</x:v>
      </x:c>
      <x:c r="CU233" s="26">
        <x:f t="shared" si="220"/>
        <x:v>52.341536220273937</x:v>
      </x:c>
      <x:c r="CV233" s="26">
        <x:f t="shared" si="221"/>
        <x:v>0</x:v>
      </x:c>
      <x:c r="CW233" s="26">
        <x:f t="shared" si="222"/>
        <x:v>0</x:v>
      </x:c>
      <x:c r="CX233" s="26">
        <x:f t="shared" si="203"/>
        <x:v>87.235893700456572</x:v>
      </x:c>
      <x:c r="CY233" s="26">
        <x:f t="shared" si="204"/>
        <x:v>0</x:v>
      </x:c>
    </x:row>
    <x:row r="234">
      <x:c r="A234" s="18">
        <x:v>2022</x:v>
      </x:c>
      <x:c r="B234" t="s">
        <x:v>501</x:v>
      </x:c>
      <x:c r="C234" t="s">
        <x:v>502</x:v>
      </x:c>
      <x:c r="D234" t="s">
        <x:v>503</x:v>
      </x:c>
      <x:c r="E234" s="18">
        <x:v>440861</x:v>
      </x:c>
      <x:c r="F234" t="s">
        <x:v>504</x:v>
      </x:c>
      <x:c r="G234" t="s">
        <x:v>486</x:v>
      </x:c>
      <x:c r="H234" s="18">
        <x:v>3110</x:v>
      </x:c>
      <x:c r="I234" t="s">
        <x:v>505</x:v>
      </x:c>
      <x:c r="J234" t="s">
        <x:v>78</x:v>
      </x:c>
      <x:c r="K234" t="s">
        <x:v>72</x:v>
      </x:c>
      <x:c r="L234" s="18">
        <x:v>13.5</x:v>
      </x:c>
      <x:c r="M234" t="s">
        <x:v>73</x:v>
      </x:c>
      <x:c r="N234" s="18">
        <x:v>432.3</x:v>
      </x:c>
      <x:c r="O234" t="s">
        <x:v>88</x:v>
      </x:c>
      <x:c r="P234" s="18">
        <x:v>12</x:v>
      </x:c>
      <x:c r="Q234" s="19" t="s">
        <x:v>215</x:v>
      </x:c>
      <x:c r="R234" s="18">
        <x:v>179814.48</x:v>
      </x:c>
      <x:c r="S234" t="s">
        <x:v>76</x:v>
      </x:c>
      <x:c r="T234" s="19">
        <x:f t="shared" si="206"/>
        <x:v>179814.48</x:v>
      </x:c>
      <x:c r="U234" s="19">
        <x:v>7.75</x:v>
      </x:c>
      <x:c r="V234" t="s">
        <x:v>77</x:v>
      </x:c>
      <x:c r="W234" s="19" t="s">
        <x:v>78</x:v>
      </x:c>
      <x:c r="X234" s="21" t="n">
        <x:f>2*U234*T234*10000/1000000000</x:f>
        <x:v>27.8712444</x:v>
      </x:c>
      <x:c r="Y234" s="21" t="n">
        <x:f>1.35*T234*10000/1000000</x:f>
        <x:v>2427.4954800000005</x:v>
      </x:c>
      <x:c r="Z234" s="21" t="n">
        <x:f>1.3*T234*10000/1000000</x:f>
        <x:v>2337.58824</x:v>
      </x:c>
      <x:c r="AA234" s="21" t="n">
        <x:f>0.03*T234*10000/1000000</x:f>
        <x:v>53.944344</x:v>
      </x:c>
      <x:c r="AB234" s="21" t="n">
        <x:f>0.03*T234*10000/1000000</x:f>
        <x:v>53.944344</x:v>
      </x:c>
      <x:c r="AC234" s="21"/>
      <x:c r="AD234" s="21"/>
      <x:c r="AE234" s="21" t="n">
        <x:f>0.05*T234*10000/1000000</x:f>
        <x:v>89.90724</x:v>
      </x:c>
      <x:c r="AF234" s="21"/>
      <x:c r="AG234" s="19" t="s">
        <x:v>506</x:v>
      </x:c>
      <x:c r="AH234" s="18">
        <x:v>25188.799999999999</x:v>
      </x:c>
      <x:c r="AI234" t="s">
        <x:v>76</x:v>
      </x:c>
      <x:c r="AJ234" s="19" t="n">
        <x:f>AH234</x:f>
        <x:v>25188.8</x:v>
      </x:c>
      <x:c r="AK234" s="19">
        <x:v>0.24</x:v>
      </x:c>
      <x:c r="AL234" t="s">
        <x:v>77</x:v>
      </x:c>
      <x:c r="AM234" s="19" t="s">
        <x:v>78</x:v>
      </x:c>
      <x:c r="AN234" s="21" t="n">
        <x:f>2*AK234*AJ234*10000/1000000000</x:f>
        <x:v>0.12090624</x:v>
      </x:c>
      <x:c r="AO234" s="21" t="n">
        <x:f>1.35*AJ234*10000/1000000</x:f>
        <x:v>340.0488000000001</x:v>
      </x:c>
      <x:c r="AP234" s="21" t="n">
        <x:f>1.3*AJ234*10000/1000000</x:f>
        <x:v>327.4544</x:v>
      </x:c>
      <x:c r="AQ234" s="21" t="n">
        <x:f>0.03*AJ234*10000/1000000</x:f>
        <x:v>7.55664</x:v>
      </x:c>
      <x:c r="AR234" s="21" t="n">
        <x:f>0.03*AJ234*10000/1000000</x:f>
        <x:v>7.55664</x:v>
      </x:c>
      <x:c r="AS234" s="21"/>
      <x:c r="AT234" s="21"/>
      <x:c r="AU234" s="21" t="n">
        <x:f>0.05*AJ234*10000/1000000</x:f>
        <x:v>12.5944</x:v>
      </x:c>
      <x:c r="AV234" s="21"/>
      <x:c r="AW234" s="18">
        <x:v>56415.29</x:v>
      </x:c>
      <x:c r="AX234" s="19">
        <x:f t="shared" si="225"/>
        <x:v>15802.159603372455</x:v>
      </x:c>
      <x:c r="AY234" s="21">
        <x:f t="shared" si="231"/>
        <x:v>1.6939915094815274</x:v>
      </x:c>
      <x:c r="AZ234" s="21">
        <x:f t="shared" si="226"/>
        <x:v>213.32915464552815</x:v>
      </x:c>
      <x:c r="BA234" s="21">
        <x:f t="shared" si="227"/>
        <x:v>205.42807484384193</x:v>
      </x:c>
      <x:c r="BB234" s="21">
        <x:f t="shared" si="228"/>
        <x:v>4.7406478810117365</x:v>
      </x:c>
      <x:c r="BC234" s="21">
        <x:f t="shared" si="229"/>
        <x:v>4.7406478810117365</x:v>
      </x:c>
      <x:c r="BD234" s="21"/>
      <x:c r="BE234" s="21"/>
      <x:c r="BF234" s="21">
        <x:f t="shared" si="230"/>
        <x:v>7.9010798016862278</x:v>
      </x:c>
      <x:c r="BG234" s="21"/>
      <x:c r="BH234" t="s">
        <x:v>508</x:v>
      </x:c>
      <x:c r="BI234" s="18">
        <x:v>110</x:v>
      </x:c>
      <x:c r="BJ234" s="18">
        <x:v>29</x:v>
      </x:c>
      <x:c r="BK234" s="18">
        <x:v>31</x:v>
      </x:c>
      <x:c r="BL234" s="18">
        <x:v>21</x:v>
      </x:c>
      <x:c r="BM234" s="18">
        <x:v>4</x:v>
      </x:c>
      <x:c r="BN234" s="18">
        <x:v>16</x:v>
      </x:c>
      <x:c r="BO234" s="22">
        <x:v>110.491944444444</x:v>
      </x:c>
      <x:c r="BP234" s="22">
        <x:v>21.071111111111101</x:v>
      </x:c>
      <x:c r="BQ234" s="18">
        <x:v>120</x:v>
      </x:c>
      <x:c r="BR234" s="18">
        <x:v>438768.9</x:v>
      </x:c>
      <x:c r="BS234" s="18">
        <x:v>179.81399999999999</x:v>
      </x:c>
      <x:c r="BT234" s="18">
        <x:v>179.81399999999999</x:v>
      </x:c>
      <x:c r="BU234" s="18">
        <x:v>1546.405</x:v>
      </x:c>
      <x:c r="BV234" s="18">
        <x:v>541.24199999999996</x:v>
      </x:c>
      <x:c r="BW234" s="18">
        <x:v>186.827</x:v>
      </x:c>
      <x:c r="BX234" s="18">
        <x:v>186.827</x:v>
      </x:c>
      <x:c r="BY234" s="18">
        <x:v>31365.502</x:v>
      </x:c>
      <x:c r="BZ234" s="18">
        <x:v>31365.502</x:v>
      </x:c>
      <x:c r="CA234" s="23">
        <x:f t="shared" si="184"/>
        <x:v>29.686142149481526</x:v>
      </x:c>
      <x:c r="CB234" s="23">
        <x:f t="shared" si="185"/>
        <x:v>2980.8734346455285</x:v>
      </x:c>
      <x:c r="CC234" s="23">
        <x:f t="shared" si="186"/>
        <x:v>2870.470714843842</x:v>
      </x:c>
      <x:c r="CD234" s="23">
        <x:f t="shared" si="187"/>
        <x:v>66.241631881011742</x:v>
      </x:c>
      <x:c r="CE234" s="23">
        <x:f t="shared" si="188"/>
        <x:v>66.241631881011742</x:v>
      </x:c>
      <x:c r="CF234" s="23">
        <x:f t="shared" si="189"/>
        <x:v>0</x:v>
      </x:c>
      <x:c r="CG234" s="23">
        <x:f t="shared" si="190"/>
        <x:v>0</x:v>
      </x:c>
      <x:c r="CH234" s="23">
        <x:f t="shared" si="191"/>
        <x:v>110.40271980168623</x:v>
      </x:c>
      <x:c r="CI234" s="23">
        <x:f t="shared" si="192"/>
        <x:v>0</x:v>
      </x:c>
      <x:c r="CJ234" s="24" t="s">
        <x:v>440</x:v>
      </x:c>
      <x:c r="CK234" s="29">
        <x:v>95</x:v>
      </x:c>
      <x:c r="CL234" s="26" t="s">
        <x:v>97</x:v>
      </x:c>
      <x:c r="CM234" s="28">
        <x:v>75</x:v>
      </x:c>
      <x:c r="CN234" s="27" t="s">
        <x:v>78</x:v>
      </x:c>
      <x:c r="CO234" s="27">
        <x:v>98.8</x:v>
      </x:c>
      <x:c r="CP234" s="27">
        <x:v>97</x:v>
      </x:c>
      <x:c r="CQ234" s="26">
        <x:f t="shared" si="193"/>
        <x:v>1.4843071074740777</x:v>
      </x:c>
      <x:c r="CR234" s="26">
        <x:f t="shared" si="194"/>
        <x:v>745.21835866138213</x:v>
      </x:c>
      <x:c r="CS234" s="26">
        <x:f t="shared" si="202"/>
        <x:v>2870.470714843842</x:v>
      </x:c>
      <x:c r="CT234" s="26">
        <x:f t="shared" si="219"/>
        <x:v>0.79489958257214166</x:v>
      </x:c>
      <x:c r="CU234" s="26">
        <x:f t="shared" si="220"/>
        <x:v>1.9872489564303539</x:v>
      </x:c>
      <x:c r="CV234" s="26">
        <x:f t="shared" si="221"/>
        <x:v>0</x:v>
      </x:c>
      <x:c r="CW234" s="26">
        <x:f t="shared" si="222"/>
        <x:v>0</x:v>
      </x:c>
      <x:c r="CX234" s="26">
        <x:f t="shared" si="203"/>
        <x:v>110.40271980168623</x:v>
      </x:c>
      <x:c r="CY234" s="26">
        <x:f t="shared" si="204"/>
        <x:v>0</x:v>
      </x:c>
    </x:row>
    <x:row r="235">
      <x:c r="A235" s="18">
        <x:v>2022</x:v>
      </x:c>
      <x:c r="B235" t="s">
        <x:v>509</x:v>
      </x:c>
      <x:c r="C235" t="s">
        <x:v>510</x:v>
      </x:c>
      <x:c r="D235" t="s">
        <x:v>511</x:v>
      </x:c>
      <x:c r="E235" s="18">
        <x:v>440861</x:v>
      </x:c>
      <x:c r="F235" t="s">
        <x:v>504</x:v>
      </x:c>
      <x:c r="G235" t="s">
        <x:v>486</x:v>
      </x:c>
      <x:c r="H235" s="18">
        <x:v>2511</x:v>
      </x:c>
      <x:c r="I235" t="s">
        <x:v>119</x:v>
      </x:c>
      <x:c r="J235" t="s">
        <x:v>78</x:v>
      </x:c>
      <x:c r="K235" t="s">
        <x:v>109</x:v>
      </x:c>
      <x:c r="L235" s="20">
        <x:v>10</x:v>
      </x:c>
      <x:c r="M235" t="s">
        <x:v>125</x:v>
      </x:c>
      <x:c r="N235" s="18">
        <x:v>450</x:v>
      </x:c>
      <x:c r="O235" t="s">
        <x:v>88</x:v>
      </x:c>
      <x:c r="P235" s="18">
        <x:v>4</x:v>
      </x:c>
      <x:c r="Q235" s="19" t="s">
        <x:v>111</x:v>
      </x:c>
      <x:c r="R235" s="18">
        <x:v>341486.06300000002</x:v>
      </x:c>
      <x:c r="S235" t="s">
        <x:v>112</x:v>
      </x:c>
      <x:c r="T235" s="19" t="n">
        <x:f t="shared" ref="T235:T242" si="232">R235</x:f>
        <x:v>341486.063</x:v>
      </x:c>
      <x:c r="U235" s="20">
        <x:v>0.80800000000000005</x:v>
      </x:c>
      <x:c r="V235" t="s">
        <x:v>113</x:v>
      </x:c>
      <x:c r="W235" s="20">
        <x:v>25.32</x:v>
      </x:c>
      <x:c r="X235" s="21" t="n">
        <x:f t="shared" ref="X235:X241" si="233">2*U235/100*(1-0.15)*T235</x:f>
        <x:v>4690.6525613680005</x:v>
      </x:c>
      <x:c r="Y235" s="21" t="n">
        <x:f>8.96*T235/1000</x:f>
        <x:v>3059.7151244800007</x:v>
      </x:c>
      <x:c r="Z235" s="21" t="n">
        <x:f t="shared" ref="Z235:Z241" si="234">2*T235/1000</x:f>
        <x:v>682.972126</x:v>
      </x:c>
      <x:c r="AA235" s="21" t="n">
        <x:f>W235/100*(1-0.44)*0.29*T235</x:f>
        <x:v>14041.79763501984</x:v>
      </x:c>
      <x:c r="AB235" s="21" t="n">
        <x:f>W235/100*(1-0.44)*0.07*T235</x:f>
        <x:v>3389.3994291427202</x:v>
      </x:c>
      <x:c r="AC235" s="21" t="n">
        <x:f t="shared" ref="AC235:AC239" si="235">0.002*AB235</x:f>
        <x:v>6.778798858285441</x:v>
      </x:c>
      <x:c r="AD235" s="21"/>
      <x:c r="AE235" s="21" t="n">
        <x:f t="shared" ref="AE235:AE241" si="236">0.04*T235/1000</x:f>
        <x:v>13.65944252</x:v>
      </x:c>
      <x:c r="AF235" s="21"/>
      <x:c r="AG235" s="19" t="s">
        <x:v>78</x:v>
      </x:c>
      <x:c r="AH235" t="s">
        <x:v>78</x:v>
      </x:c>
      <x:c r="AI235" t="s">
        <x:v>78</x:v>
      </x:c>
      <x:c r="AJ235" s="19"/>
      <x:c r="AK235" s="19" t="s">
        <x:v>78</x:v>
      </x:c>
      <x:c r="AL235" t="s">
        <x:v>78</x:v>
      </x:c>
      <x:c r="AM235" s="19" t="s">
        <x:v>78</x:v>
      </x:c>
      <x:c r="AN235" s="21"/>
      <x:c r="AO235" s="21"/>
      <x:c r="AP235" s="21"/>
      <x:c r="AQ235" s="21"/>
      <x:c r="AR235" s="21"/>
      <x:c r="AS235" s="21"/>
      <x:c r="AT235" s="21"/>
      <x:c r="AU235" s="21"/>
      <x:c r="AV235" s="21"/>
      <x:c r="AW235" t="s">
        <x:v>78</x:v>
      </x:c>
      <x:c r="AX235" s="19"/>
      <x:c r="AY235" s="21"/>
      <x:c r="AZ235" s="21"/>
      <x:c r="BA235" s="21"/>
      <x:c r="BB235" s="21"/>
      <x:c r="BC235" s="21"/>
      <x:c r="BD235" s="21"/>
      <x:c r="BE235" s="21"/>
      <x:c r="BF235" s="21"/>
      <x:c r="BG235" s="21"/>
      <x:c r="BH235" t="s">
        <x:v>81</x:v>
      </x:c>
      <x:c r="BI235" s="18">
        <x:v>110</x:v>
      </x:c>
      <x:c r="BJ235" s="18">
        <x:v>27</x:v>
      </x:c>
      <x:c r="BK235" s="18">
        <x:v>23</x:v>
      </x:c>
      <x:c r="BL235" s="18">
        <x:v>21</x:v>
      </x:c>
      <x:c r="BM235" s="18">
        <x:v>3</x:v>
      </x:c>
      <x:c r="BN235" s="18">
        <x:v>11</x:v>
      </x:c>
      <x:c r="BO235" s="22">
        <x:v>110.45638888888899</x:v>
      </x:c>
      <x:c r="BP235" s="22">
        <x:v>21.053055555555598</x:v>
      </x:c>
      <x:c r="BQ235" s="18">
        <x:v>210</x:v>
      </x:c>
      <x:c r="BR235" s="18">
        <x:v>450866.00199999998</x:v>
      </x:c>
      <x:c r="BS235" s="18">
        <x:v>1592.0630000000001</x:v>
      </x:c>
      <x:c r="BT235" s="18">
        <x:v>17.484000000000002</x:v>
      </x:c>
      <x:c r="BU235" s="18">
        <x:v>409.78300000000002</x:v>
      </x:c>
      <x:c r="BV235" s="18">
        <x:v>21.076000000000001</x:v>
      </x:c>
      <x:c r="BW235" s="18">
        <x:v>74645.513999999996</x:v>
      </x:c>
      <x:c r="BX235" s="18">
        <x:v>3.2839999999999998</x:v>
      </x:c>
      <x:c r="BY235" s="18">
        <x:v>9766.5010000000002</x:v>
      </x:c>
      <x:c r="BZ235" s="18">
        <x:v>9766.5010000000002</x:v>
      </x:c>
      <x:c r="CA235" s="23">
        <x:f t="shared" si="184"/>
        <x:v>4690.6525613680005</x:v>
      </x:c>
      <x:c r="CB235" s="23">
        <x:f t="shared" si="185"/>
        <x:v>3059.7151244800007</x:v>
      </x:c>
      <x:c r="CC235" s="23">
        <x:f t="shared" si="186"/>
        <x:v>682.972126</x:v>
      </x:c>
      <x:c r="CD235" s="23">
        <x:f t="shared" si="187"/>
        <x:v>14041.797635019841</x:v>
      </x:c>
      <x:c r="CE235" s="23">
        <x:f t="shared" si="188"/>
        <x:v>3389.3994291427202</x:v>
      </x:c>
      <x:c r="CF235" s="23">
        <x:f t="shared" si="189"/>
        <x:v>6.778798858285441</x:v>
      </x:c>
      <x:c r="CG235" s="23">
        <x:f t="shared" si="190"/>
        <x:v>0</x:v>
      </x:c>
      <x:c r="CH235" s="23">
        <x:f t="shared" si="191"/>
        <x:v>13.659442520000001</x:v>
      </x:c>
      <x:c r="CI235" s="23">
        <x:f t="shared" si="192"/>
        <x:v>0</x:v>
      </x:c>
      <x:c r="CJ235" s="24" t="s">
        <x:v>512</x:v>
      </x:c>
      <x:c r="CK235" s="29">
        <x:v>99.6</x:v>
      </x:c>
      <x:c r="CL235" s="26" t="s">
        <x:v>104</x:v>
      </x:c>
      <x:c r="CM235" s="28">
        <x:v>83</x:v>
      </x:c>
      <x:c r="CN235" s="30" t="s">
        <x:v>132</x:v>
      </x:c>
      <x:c r="CO235" s="27">
        <x:v>99.4</x:v>
      </x:c>
      <x:c r="CP235" s="27">
        <x:v>98.3</x:v>
      </x:c>
      <x:c r="CQ235" s="26">
        <x:f t="shared" si="193"/>
        <x:v>18.762610245472018</x:v>
      </x:c>
      <x:c r="CR235" s="26">
        <x:f t="shared" si="194"/>
        <x:v>520.15157116160026</x:v>
      </x:c>
      <x:c r="CS235" s="26">
        <x:f t="shared" si="202"/>
        <x:v>682.972126</x:v>
      </x:c>
      <x:c r="CT235" s="26">
        <x:f t="shared" si="219"/>
        <x:v>84.250785810117563</x:v>
      </x:c>
      <x:c r="CU235" s="26">
        <x:f t="shared" si="220"/>
        <x:v>57.619790295426299</x:v>
      </x:c>
      <x:c r="CV235" s="26">
        <x:f t="shared" si="221"/>
        <x:v>0.1152395805908526</x:v>
      </x:c>
      <x:c r="CW235" s="26">
        <x:f t="shared" si="222"/>
        <x:v>0</x:v>
      </x:c>
      <x:c r="CX235" s="26">
        <x:f t="shared" si="203"/>
        <x:v>13.659442520000001</x:v>
      </x:c>
      <x:c r="CY235" s="26">
        <x:f t="shared" si="204"/>
        <x:v>0</x:v>
      </x:c>
    </x:row>
    <x:row r="236">
      <x:c r="A236" s="18">
        <x:v>2022</x:v>
      </x:c>
      <x:c r="B236" t="s">
        <x:v>509</x:v>
      </x:c>
      <x:c r="C236" t="s">
        <x:v>510</x:v>
      </x:c>
      <x:c r="D236" t="s">
        <x:v>511</x:v>
      </x:c>
      <x:c r="E236" s="18">
        <x:v>440861</x:v>
      </x:c>
      <x:c r="F236" t="s">
        <x:v>504</x:v>
      </x:c>
      <x:c r="G236" t="s">
        <x:v>486</x:v>
      </x:c>
      <x:c r="H236" s="18">
        <x:v>2511</x:v>
      </x:c>
      <x:c r="I236" t="s">
        <x:v>119</x:v>
      </x:c>
      <x:c r="J236" t="s">
        <x:v>78</x:v>
      </x:c>
      <x:c r="K236" t="s">
        <x:v>109</x:v>
      </x:c>
      <x:c r="L236" s="20">
        <x:v>10</x:v>
      </x:c>
      <x:c r="M236" t="s">
        <x:v>125</x:v>
      </x:c>
      <x:c r="N236" s="18">
        <x:v>450</x:v>
      </x:c>
      <x:c r="O236" t="s">
        <x:v>88</x:v>
      </x:c>
      <x:c r="P236" s="18">
        <x:v>4</x:v>
      </x:c>
      <x:c r="Q236" s="19" t="s">
        <x:v>111</x:v>
      </x:c>
      <x:c r="R236" s="18">
        <x:v>317788.30200000003</x:v>
      </x:c>
      <x:c r="S236" t="s">
        <x:v>112</x:v>
      </x:c>
      <x:c r="T236" s="19">
        <x:f t="shared" si="232"/>
        <x:v>317788.30200000003</x:v>
      </x:c>
      <x:c r="U236" s="20">
        <x:v>0.80800000000000005</x:v>
      </x:c>
      <x:c r="V236" t="s">
        <x:v>113</x:v>
      </x:c>
      <x:c r="W236" s="20">
        <x:v>25.32</x:v>
      </x:c>
      <x:c r="X236" s="21">
        <x:f t="shared" si="233"/>
        <x:v>4365.1401162720003</x:v>
      </x:c>
      <x:c r="Y236" s="21" t="n">
        <x:f>8.96*T236/1000</x:f>
        <x:v>2847.3831859200004</x:v>
      </x:c>
      <x:c r="Z236" s="21">
        <x:f t="shared" si="234"/>
        <x:v>635.57660400000009</x:v>
      </x:c>
      <x:c r="AA236" s="21" t="n">
        <x:f>W236/100*(1-0.44)*0.29*T236</x:f>
        <x:v>13067.353285983361</x:v>
      </x:c>
      <x:c r="AB236" s="21" t="n">
        <x:f>W236/100*(1-0.44)*0.07*T236</x:f>
        <x:v>3154.1887242028806</x:v>
      </x:c>
      <x:c r="AC236" s="21">
        <x:f t="shared" si="235"/>
        <x:v>6.3083774484057615</x:v>
      </x:c>
      <x:c r="AD236" s="21"/>
      <x:c r="AE236" s="21">
        <x:f t="shared" si="236"/>
        <x:v>12.711532080000001</x:v>
      </x:c>
      <x:c r="AF236" s="21"/>
      <x:c r="AG236" s="19" t="s">
        <x:v>78</x:v>
      </x:c>
      <x:c r="AH236" t="s">
        <x:v>78</x:v>
      </x:c>
      <x:c r="AI236" t="s">
        <x:v>78</x:v>
      </x:c>
      <x:c r="AJ236" s="19"/>
      <x:c r="AK236" s="19" t="s">
        <x:v>78</x:v>
      </x:c>
      <x:c r="AL236" t="s">
        <x:v>78</x:v>
      </x:c>
      <x:c r="AM236" s="19" t="s">
        <x:v>78</x:v>
      </x:c>
      <x:c r="AN236" s="21"/>
      <x:c r="AO236" s="21"/>
      <x:c r="AP236" s="21"/>
      <x:c r="AQ236" s="21"/>
      <x:c r="AR236" s="21"/>
      <x:c r="AS236" s="21"/>
      <x:c r="AT236" s="21"/>
      <x:c r="AU236" s="21"/>
      <x:c r="AV236" s="21"/>
      <x:c r="AW236" t="s">
        <x:v>78</x:v>
      </x:c>
      <x:c r="AX236" s="19"/>
      <x:c r="AY236" s="21"/>
      <x:c r="AZ236" s="21"/>
      <x:c r="BA236" s="21"/>
      <x:c r="BB236" s="21"/>
      <x:c r="BC236" s="21"/>
      <x:c r="BD236" s="21"/>
      <x:c r="BE236" s="21"/>
      <x:c r="BF236" s="21"/>
      <x:c r="BG236" s="21"/>
      <x:c r="BH236" t="s">
        <x:v>79</x:v>
      </x:c>
      <x:c r="BI236" s="18">
        <x:v>110</x:v>
      </x:c>
      <x:c r="BJ236" s="18">
        <x:v>27</x:v>
      </x:c>
      <x:c r="BK236" s="18">
        <x:v>23</x:v>
      </x:c>
      <x:c r="BL236" s="18">
        <x:v>21</x:v>
      </x:c>
      <x:c r="BM236" s="18">
        <x:v>3</x:v>
      </x:c>
      <x:c r="BN236" s="18">
        <x:v>11</x:v>
      </x:c>
      <x:c r="BO236" s="22">
        <x:v>110.45638888888899</x:v>
      </x:c>
      <x:c r="BP236" s="22">
        <x:v>21.053055555555598</x:v>
      </x:c>
      <x:c r="BQ236" s="18">
        <x:v>210</x:v>
      </x:c>
      <x:c r="BR236" s="18">
        <x:v>450866.00199999998</x:v>
      </x:c>
      <x:c r="BS236" s="18">
        <x:v>1481.58</x:v>
      </x:c>
      <x:c r="BT236" s="18">
        <x:v>17.484000000000002</x:v>
      </x:c>
      <x:c r="BU236" s="18">
        <x:v>381.346</x:v>
      </x:c>
      <x:c r="BV236" s="18">
        <x:v>21.076000000000001</x:v>
      </x:c>
      <x:c r="BW236" s="18">
        <x:v>69465.414999999994</x:v>
      </x:c>
      <x:c r="BX236" s="18">
        <x:v>3.2839999999999998</x:v>
      </x:c>
      <x:c r="BY236" s="18">
        <x:v>9088.7450000000008</x:v>
      </x:c>
      <x:c r="BZ236" s="18">
        <x:v>9088.7450000000008</x:v>
      </x:c>
      <x:c r="CA236" s="23">
        <x:f t="shared" si="184"/>
        <x:v>4365.1401162720003</x:v>
      </x:c>
      <x:c r="CB236" s="23">
        <x:f t="shared" si="185"/>
        <x:v>2847.3831859200004</x:v>
      </x:c>
      <x:c r="CC236" s="23">
        <x:f t="shared" si="186"/>
        <x:v>635.57660400000009</x:v>
      </x:c>
      <x:c r="CD236" s="23">
        <x:f t="shared" si="187"/>
        <x:v>13067.353285983361</x:v>
      </x:c>
      <x:c r="CE236" s="23">
        <x:f t="shared" si="188"/>
        <x:v>3154.1887242028806</x:v>
      </x:c>
      <x:c r="CF236" s="23">
        <x:f t="shared" si="189"/>
        <x:v>6.3083774484057615</x:v>
      </x:c>
      <x:c r="CG236" s="23">
        <x:f t="shared" si="190"/>
        <x:v>0</x:v>
      </x:c>
      <x:c r="CH236" s="23">
        <x:f t="shared" si="191"/>
        <x:v>12.711532080000001</x:v>
      </x:c>
      <x:c r="CI236" s="23">
        <x:f t="shared" si="192"/>
        <x:v>0</x:v>
      </x:c>
      <x:c r="CJ236" s="24" t="s">
        <x:v>512</x:v>
      </x:c>
      <x:c r="CK236" s="29">
        <x:v>99.6</x:v>
      </x:c>
      <x:c r="CL236" s="26" t="s">
        <x:v>104</x:v>
      </x:c>
      <x:c r="CM236" s="28">
        <x:v>83</x:v>
      </x:c>
      <x:c r="CN236" s="30" t="s">
        <x:v>132</x:v>
      </x:c>
      <x:c r="CO236" s="27">
        <x:v>99.4</x:v>
      </x:c>
      <x:c r="CP236" s="27">
        <x:v>98.3</x:v>
      </x:c>
      <x:c r="CQ236" s="26">
        <x:f t="shared" si="193"/>
        <x:v>17.460560465088015</x:v>
      </x:c>
      <x:c r="CR236" s="26">
        <x:f t="shared" si="194"/>
        <x:v>484.05514160640018</x:v>
      </x:c>
      <x:c r="CS236" s="26">
        <x:f t="shared" si="202"/>
        <x:v>635.57660400000009</x:v>
      </x:c>
      <x:c r="CT236" s="26">
        <x:f t="shared" si="219"/>
        <x:v>78.404119715898787</x:v>
      </x:c>
      <x:c r="CU236" s="26">
        <x:f t="shared" si="220"/>
        <x:v>53.621208311449017</x:v>
      </x:c>
      <x:c r="CV236" s="26">
        <x:f t="shared" si="221"/>
        <x:v>0.10724241662289805</x:v>
      </x:c>
      <x:c r="CW236" s="26">
        <x:f t="shared" si="222"/>
        <x:v>0</x:v>
      </x:c>
      <x:c r="CX236" s="26">
        <x:f t="shared" si="203"/>
        <x:v>12.711532080000001</x:v>
      </x:c>
      <x:c r="CY236" s="26">
        <x:f t="shared" si="204"/>
        <x:v>0</x:v>
      </x:c>
    </x:row>
    <x:row r="237">
      <x:c r="A237" s="18">
        <x:v>2022</x:v>
      </x:c>
      <x:c r="B237" t="s">
        <x:v>509</x:v>
      </x:c>
      <x:c r="C237" t="s">
        <x:v>510</x:v>
      </x:c>
      <x:c r="D237" t="s">
        <x:v>511</x:v>
      </x:c>
      <x:c r="E237" s="18">
        <x:v>440861</x:v>
      </x:c>
      <x:c r="F237" t="s">
        <x:v>504</x:v>
      </x:c>
      <x:c r="G237" t="s">
        <x:v>486</x:v>
      </x:c>
      <x:c r="H237" s="18">
        <x:v>2511</x:v>
      </x:c>
      <x:c r="I237" t="s">
        <x:v>119</x:v>
      </x:c>
      <x:c r="J237" t="s">
        <x:v>78</x:v>
      </x:c>
      <x:c r="K237" t="s">
        <x:v>109</x:v>
      </x:c>
      <x:c r="L237" s="20">
        <x:v>10</x:v>
      </x:c>
      <x:c r="M237" t="s">
        <x:v>125</x:v>
      </x:c>
      <x:c r="N237" s="18">
        <x:v>450</x:v>
      </x:c>
      <x:c r="O237" t="s">
        <x:v>88</x:v>
      </x:c>
      <x:c r="P237" s="18">
        <x:v>4</x:v>
      </x:c>
      <x:c r="Q237" s="19" t="s">
        <x:v>111</x:v>
      </x:c>
      <x:c r="R237" s="18">
        <x:v>348815.424</x:v>
      </x:c>
      <x:c r="S237" t="s">
        <x:v>112</x:v>
      </x:c>
      <x:c r="T237" s="19">
        <x:f t="shared" si="232"/>
        <x:v>348815.424</x:v>
      </x:c>
      <x:c r="U237" s="20">
        <x:v>0.80800000000000005</x:v>
      </x:c>
      <x:c r="V237" t="s">
        <x:v>113</x:v>
      </x:c>
      <x:c r="W237" s="20">
        <x:v>25.32</x:v>
      </x:c>
      <x:c r="X237" s="21">
        <x:f t="shared" si="233"/>
        <x:v>4791.3286640639999</x:v>
      </x:c>
      <x:c r="Y237" s="21" t="n">
        <x:f>8.96*T237/1000</x:f>
        <x:v>3125.3861990400005</x:v>
      </x:c>
      <x:c r="Z237" s="21">
        <x:f t="shared" si="234"/>
        <x:v>697.63084800000001</x:v>
      </x:c>
      <x:c r="AA237" s="21" t="n">
        <x:f>W237/100*(1-0.44)*0.29*T237</x:f>
        <x:v>14343.17861394432</x:v>
      </x:c>
      <x:c r="AB237" s="21" t="n">
        <x:f>W237/100*(1-0.44)*0.07*T237</x:f>
        <x:v>3462.1465619865603</x:v>
      </x:c>
      <x:c r="AC237" s="21">
        <x:f t="shared" si="235"/>
        <x:v>6.9242931239731211</x:v>
      </x:c>
      <x:c r="AD237" s="21"/>
      <x:c r="AE237" s="21">
        <x:f t="shared" si="236"/>
        <x:v>13.952616959999999</x:v>
      </x:c>
      <x:c r="AF237" s="21"/>
      <x:c r="AG237" s="19" t="s">
        <x:v>78</x:v>
      </x:c>
      <x:c r="AH237" t="s">
        <x:v>78</x:v>
      </x:c>
      <x:c r="AI237" t="s">
        <x:v>78</x:v>
      </x:c>
      <x:c r="AJ237" s="19"/>
      <x:c r="AK237" s="19" t="s">
        <x:v>78</x:v>
      </x:c>
      <x:c r="AL237" t="s">
        <x:v>78</x:v>
      </x:c>
      <x:c r="AM237" s="19" t="s">
        <x:v>78</x:v>
      </x:c>
      <x:c r="AN237" s="21"/>
      <x:c r="AO237" s="21"/>
      <x:c r="AP237" s="21"/>
      <x:c r="AQ237" s="21"/>
      <x:c r="AR237" s="21"/>
      <x:c r="AS237" s="21"/>
      <x:c r="AT237" s="21"/>
      <x:c r="AU237" s="21"/>
      <x:c r="AV237" s="21"/>
      <x:c r="AW237" t="s">
        <x:v>78</x:v>
      </x:c>
      <x:c r="AX237" s="19"/>
      <x:c r="AY237" s="21"/>
      <x:c r="AZ237" s="21"/>
      <x:c r="BA237" s="21"/>
      <x:c r="BB237" s="21"/>
      <x:c r="BC237" s="21"/>
      <x:c r="BD237" s="21"/>
      <x:c r="BE237" s="21"/>
      <x:c r="BF237" s="21"/>
      <x:c r="BG237" s="21"/>
      <x:c r="BH237" t="s">
        <x:v>82</x:v>
      </x:c>
      <x:c r="BI237" s="18">
        <x:v>110</x:v>
      </x:c>
      <x:c r="BJ237" s="18">
        <x:v>27</x:v>
      </x:c>
      <x:c r="BK237" s="18">
        <x:v>23</x:v>
      </x:c>
      <x:c r="BL237" s="18">
        <x:v>21</x:v>
      </x:c>
      <x:c r="BM237" s="18">
        <x:v>3</x:v>
      </x:c>
      <x:c r="BN237" s="18">
        <x:v>11</x:v>
      </x:c>
      <x:c r="BO237" s="22">
        <x:v>110.45638888888899</x:v>
      </x:c>
      <x:c r="BP237" s="22">
        <x:v>21.053055555555598</x:v>
      </x:c>
      <x:c r="BQ237" s="18">
        <x:v>210</x:v>
      </x:c>
      <x:c r="BR237" s="18">
        <x:v>450866.00199999998</x:v>
      </x:c>
      <x:c r="BS237" s="18">
        <x:v>1626.2329999999999</x:v>
      </x:c>
      <x:c r="BT237" s="18">
        <x:v>17.484000000000002</x:v>
      </x:c>
      <x:c r="BU237" s="18">
        <x:v>418.57900000000001</x:v>
      </x:c>
      <x:c r="BV237" s="18">
        <x:v>21.076000000000001</x:v>
      </x:c>
      <x:c r="BW237" s="18">
        <x:v>76247.64</x:v>
      </x:c>
      <x:c r="BX237" s="18">
        <x:v>3.2839999999999998</x:v>
      </x:c>
      <x:c r="BY237" s="18">
        <x:v>9976.1209999999992</x:v>
      </x:c>
      <x:c r="BZ237" s="18">
        <x:v>9976.1209999999992</x:v>
      </x:c>
      <x:c r="CA237" s="23">
        <x:f t="shared" si="184"/>
        <x:v>4791.3286640639999</x:v>
      </x:c>
      <x:c r="CB237" s="23">
        <x:f t="shared" si="185"/>
        <x:v>3125.3861990400005</x:v>
      </x:c>
      <x:c r="CC237" s="23">
        <x:f t="shared" si="186"/>
        <x:v>697.63084800000001</x:v>
      </x:c>
      <x:c r="CD237" s="23">
        <x:f t="shared" si="187"/>
        <x:v>14343.178613944319</x:v>
      </x:c>
      <x:c r="CE237" s="23">
        <x:f t="shared" si="188"/>
        <x:v>3462.1465619865603</x:v>
      </x:c>
      <x:c r="CF237" s="23">
        <x:f t="shared" si="189"/>
        <x:v>6.9242931239731211</x:v>
      </x:c>
      <x:c r="CG237" s="23">
        <x:f t="shared" si="190"/>
        <x:v>0</x:v>
      </x:c>
      <x:c r="CH237" s="23">
        <x:f t="shared" si="191"/>
        <x:v>13.952616959999999</x:v>
      </x:c>
      <x:c r="CI237" s="23">
        <x:f t="shared" si="192"/>
        <x:v>0</x:v>
      </x:c>
      <x:c r="CJ237" s="24" t="s">
        <x:v>512</x:v>
      </x:c>
      <x:c r="CK237" s="29">
        <x:v>99.6</x:v>
      </x:c>
      <x:c r="CL237" s="26" t="s">
        <x:v>104</x:v>
      </x:c>
      <x:c r="CM237" s="28">
        <x:v>83</x:v>
      </x:c>
      <x:c r="CN237" s="30" t="s">
        <x:v>132</x:v>
      </x:c>
      <x:c r="CO237" s="27">
        <x:v>99.4</x:v>
      </x:c>
      <x:c r="CP237" s="27">
        <x:v>98.3</x:v>
      </x:c>
      <x:c r="CQ237" s="26">
        <x:f t="shared" si="193"/>
        <x:v>19.165314656256015</x:v>
      </x:c>
      <x:c r="CR237" s="26">
        <x:f t="shared" si="194"/>
        <x:v>531.31565383680027</x:v>
      </x:c>
      <x:c r="CS237" s="26">
        <x:f t="shared" si="202"/>
        <x:v>697.63084800000001</x:v>
      </x:c>
      <x:c r="CT237" s="26">
        <x:f t="shared" si="219"/>
        <x:v>86.059071683664399</x:v>
      </x:c>
      <x:c r="CU237" s="26">
        <x:f t="shared" si="220"/>
        <x:v>58.856491553771576</x:v>
      </x:c>
      <x:c r="CV237" s="26">
        <x:f t="shared" si="221"/>
        <x:v>0.11771298310754316</x:v>
      </x:c>
      <x:c r="CW237" s="26">
        <x:f t="shared" si="222"/>
        <x:v>0</x:v>
      </x:c>
      <x:c r="CX237" s="26">
        <x:f t="shared" si="203"/>
        <x:v>13.952616959999999</x:v>
      </x:c>
      <x:c r="CY237" s="26">
        <x:f t="shared" si="204"/>
        <x:v>0</x:v>
      </x:c>
    </x:row>
    <x:row r="238">
      <x:c r="A238" s="18">
        <x:v>2022</x:v>
      </x:c>
      <x:c r="B238" t="s">
        <x:v>509</x:v>
      </x:c>
      <x:c r="C238" t="s">
        <x:v>510</x:v>
      </x:c>
      <x:c r="D238" t="s">
        <x:v>511</x:v>
      </x:c>
      <x:c r="E238" s="18">
        <x:v>440861</x:v>
      </x:c>
      <x:c r="F238" t="s">
        <x:v>504</x:v>
      </x:c>
      <x:c r="G238" t="s">
        <x:v>486</x:v>
      </x:c>
      <x:c r="H238" s="18">
        <x:v>2511</x:v>
      </x:c>
      <x:c r="I238" t="s">
        <x:v>119</x:v>
      </x:c>
      <x:c r="J238" t="s">
        <x:v>78</x:v>
      </x:c>
      <x:c r="K238" t="s">
        <x:v>109</x:v>
      </x:c>
      <x:c r="L238" s="20">
        <x:v>10</x:v>
      </x:c>
      <x:c r="M238" t="s">
        <x:v>125</x:v>
      </x:c>
      <x:c r="N238" s="18">
        <x:v>450</x:v>
      </x:c>
      <x:c r="O238" t="s">
        <x:v>88</x:v>
      </x:c>
      <x:c r="P238" s="18">
        <x:v>4</x:v>
      </x:c>
      <x:c r="Q238" s="19" t="s">
        <x:v>111</x:v>
      </x:c>
      <x:c r="R238" s="18">
        <x:v>331321.02100000001</x:v>
      </x:c>
      <x:c r="S238" t="s">
        <x:v>112</x:v>
      </x:c>
      <x:c r="T238" s="19">
        <x:f t="shared" si="232"/>
        <x:v>331321.02100000001</x:v>
      </x:c>
      <x:c r="U238" s="20">
        <x:v>0.80800000000000005</x:v>
      </x:c>
      <x:c r="V238" t="s">
        <x:v>113</x:v>
      </x:c>
      <x:c r="W238" s="20">
        <x:v>25.32</x:v>
      </x:c>
      <x:c r="X238" s="21">
        <x:f t="shared" si="233"/>
        <x:v>4551.0255444559998</x:v>
      </x:c>
      <x:c r="Y238" s="21" t="n">
        <x:f>8.96*T238/1000</x:f>
        <x:v>2968.6363481600006</x:v>
      </x:c>
      <x:c r="Z238" s="21">
        <x:f t="shared" si="234"/>
        <x:v>662.64204200000006</x:v>
      </x:c>
      <x:c r="AA238" s="21" t="n">
        <x:f>W238/100*(1-0.44)*0.29*T238</x:f>
        <x:v>13623.81436079328</x:v>
      </x:c>
      <x:c r="AB238" s="21" t="n">
        <x:f>W238/100*(1-0.44)*0.07*T238</x:f>
        <x:v>3288.5069146742403</x:v>
      </x:c>
      <x:c r="AC238" s="21">
        <x:f t="shared" si="235"/>
        <x:v>6.5770138293484806</x:v>
      </x:c>
      <x:c r="AD238" s="21"/>
      <x:c r="AE238" s="21">
        <x:f t="shared" si="236"/>
        <x:v>13.252840840000001</x:v>
      </x:c>
      <x:c r="AF238" s="21"/>
      <x:c r="AG238" s="19" t="s">
        <x:v>78</x:v>
      </x:c>
      <x:c r="AH238" t="s">
        <x:v>78</x:v>
      </x:c>
      <x:c r="AI238" t="s">
        <x:v>78</x:v>
      </x:c>
      <x:c r="AJ238" s="19"/>
      <x:c r="AK238" s="19" t="s">
        <x:v>78</x:v>
      </x:c>
      <x:c r="AL238" t="s">
        <x:v>78</x:v>
      </x:c>
      <x:c r="AM238" s="19" t="s">
        <x:v>78</x:v>
      </x:c>
      <x:c r="AN238" s="21"/>
      <x:c r="AO238" s="21"/>
      <x:c r="AP238" s="21"/>
      <x:c r="AQ238" s="21"/>
      <x:c r="AR238" s="21"/>
      <x:c r="AS238" s="21"/>
      <x:c r="AT238" s="21"/>
      <x:c r="AU238" s="21"/>
      <x:c r="AV238" s="21"/>
      <x:c r="AW238" t="s">
        <x:v>78</x:v>
      </x:c>
      <x:c r="AX238" s="19"/>
      <x:c r="AY238" s="21"/>
      <x:c r="AZ238" s="21"/>
      <x:c r="BA238" s="21"/>
      <x:c r="BB238" s="21"/>
      <x:c r="BC238" s="21"/>
      <x:c r="BD238" s="21"/>
      <x:c r="BE238" s="21"/>
      <x:c r="BF238" s="21"/>
      <x:c r="BG238" s="21"/>
      <x:c r="BH238" t="s">
        <x:v>83</x:v>
      </x:c>
      <x:c r="BI238" s="18">
        <x:v>110</x:v>
      </x:c>
      <x:c r="BJ238" s="18">
        <x:v>27</x:v>
      </x:c>
      <x:c r="BK238" s="18">
        <x:v>23</x:v>
      </x:c>
      <x:c r="BL238" s="18">
        <x:v>21</x:v>
      </x:c>
      <x:c r="BM238" s="18">
        <x:v>3</x:v>
      </x:c>
      <x:c r="BN238" s="18">
        <x:v>11</x:v>
      </x:c>
      <x:c r="BO238" s="22">
        <x:v>110.45638888888899</x:v>
      </x:c>
      <x:c r="BP238" s="22">
        <x:v>21.053055555555598</x:v>
      </x:c>
      <x:c r="BQ238" s="18">
        <x:v>210</x:v>
      </x:c>
      <x:c r="BR238" s="18">
        <x:v>450866.00199999998</x:v>
      </x:c>
      <x:c r="BS238" s="18">
        <x:v>1544.672</x:v>
      </x:c>
      <x:c r="BT238" s="18">
        <x:v>17.484000000000002</x:v>
      </x:c>
      <x:c r="BU238" s="18">
        <x:v>397.58499999999998</x:v>
      </x:c>
      <x:c r="BV238" s="18">
        <x:v>21.076000000000001</x:v>
      </x:c>
      <x:c r="BW238" s="18">
        <x:v>72423.535000000003</x:v>
      </x:c>
      <x:c r="BX238" s="18">
        <x:v>3.2839999999999998</x:v>
      </x:c>
      <x:c r="BY238" s="18">
        <x:v>9475.7810000000009</x:v>
      </x:c>
      <x:c r="BZ238" s="18">
        <x:v>9475.7810000000009</x:v>
      </x:c>
      <x:c r="CA238" s="23">
        <x:f t="shared" si="184"/>
        <x:v>4551.0255444559998</x:v>
      </x:c>
      <x:c r="CB238" s="23">
        <x:f t="shared" si="185"/>
        <x:v>2968.6363481600006</x:v>
      </x:c>
      <x:c r="CC238" s="23">
        <x:f t="shared" si="186"/>
        <x:v>662.64204200000006</x:v>
      </x:c>
      <x:c r="CD238" s="23">
        <x:f t="shared" si="187"/>
        <x:v>13623.81436079328</x:v>
      </x:c>
      <x:c r="CE238" s="23">
        <x:f t="shared" si="188"/>
        <x:v>3288.5069146742403</x:v>
      </x:c>
      <x:c r="CF238" s="23">
        <x:f t="shared" si="189"/>
        <x:v>6.5770138293484806</x:v>
      </x:c>
      <x:c r="CG238" s="23">
        <x:f t="shared" si="190"/>
        <x:v>0</x:v>
      </x:c>
      <x:c r="CH238" s="23">
        <x:f t="shared" si="191"/>
        <x:v>13.252840840000001</x:v>
      </x:c>
      <x:c r="CI238" s="23">
        <x:f t="shared" si="192"/>
        <x:v>0</x:v>
      </x:c>
      <x:c r="CJ238" s="24" t="s">
        <x:v>512</x:v>
      </x:c>
      <x:c r="CK238" s="29">
        <x:v>99.6</x:v>
      </x:c>
      <x:c r="CL238" s="26" t="s">
        <x:v>104</x:v>
      </x:c>
      <x:c r="CM238" s="28">
        <x:v>83</x:v>
      </x:c>
      <x:c r="CN238" s="30" t="s">
        <x:v>132</x:v>
      </x:c>
      <x:c r="CO238" s="27">
        <x:v>99.4</x:v>
      </x:c>
      <x:c r="CP238" s="27">
        <x:v>98.3</x:v>
      </x:c>
      <x:c r="CQ238" s="26">
        <x:f t="shared" si="193"/>
        <x:v>18.204102177824016</x:v>
      </x:c>
      <x:c r="CR238" s="26">
        <x:f t="shared" si="194"/>
        <x:v>504.66817918720022</x:v>
      </x:c>
      <x:c r="CS238" s="26">
        <x:f t="shared" si="202"/>
        <x:v>662.64204200000006</x:v>
      </x:c>
      <x:c r="CT238" s="26">
        <x:f t="shared" si="219"/>
        <x:v>81.742886164758232</x:v>
      </x:c>
      <x:c r="CU238" s="26">
        <x:f t="shared" si="220"/>
        <x:v>55.904617549462138</x:v>
      </x:c>
      <x:c r="CV238" s="26">
        <x:f t="shared" si="221"/>
        <x:v>0.11180923509892426</x:v>
      </x:c>
      <x:c r="CW238" s="26">
        <x:f t="shared" si="222"/>
        <x:v>0</x:v>
      </x:c>
      <x:c r="CX238" s="26">
        <x:f t="shared" si="203"/>
        <x:v>13.252840840000001</x:v>
      </x:c>
      <x:c r="CY238" s="26">
        <x:f t="shared" si="204"/>
        <x:v>0</x:v>
      </x:c>
    </x:row>
    <x:row r="239">
      <x:c r="A239" s="18">
        <x:v>2022</x:v>
      </x:c>
      <x:c r="B239" t="s">
        <x:v>513</x:v>
      </x:c>
      <x:c r="C239" t="s">
        <x:v>514</x:v>
      </x:c>
      <x:c r="D239" t="s">
        <x:v>515</x:v>
      </x:c>
      <x:c r="E239" s="18">
        <x:v>440861</x:v>
      </x:c>
      <x:c r="F239" t="s">
        <x:v>504</x:v>
      </x:c>
      <x:c r="G239" t="s">
        <x:v>486</x:v>
      </x:c>
      <x:c r="H239" s="18">
        <x:v>2221</x:v>
      </x:c>
      <x:c r="I239" t="s">
        <x:v>158</x:v>
      </x:c>
      <x:c r="J239" t="s">
        <x:v>78</x:v>
      </x:c>
      <x:c r="K239" t="s">
        <x:v>109</x:v>
      </x:c>
      <x:c r="L239" s="20">
        <x:v>30</x:v>
      </x:c>
      <x:c r="M239" t="s">
        <x:v>125</x:v>
      </x:c>
      <x:c r="N239" s="18">
        <x:v>180</x:v>
      </x:c>
      <x:c r="O239" t="s">
        <x:v>88</x:v>
      </x:c>
      <x:c r="P239" s="18">
        <x:v>5</x:v>
      </x:c>
      <x:c r="Q239" s="19" t="s">
        <x:v>238</x:v>
      </x:c>
      <x:c r="R239" s="18">
        <x:v>210136.94</x:v>
      </x:c>
      <x:c r="S239" t="s">
        <x:v>112</x:v>
      </x:c>
      <x:c r="T239" s="19">
        <x:f t="shared" si="232"/>
        <x:v>210136.94</x:v>
      </x:c>
      <x:c r="U239" s="20">
        <x:v>0.36</x:v>
      </x:c>
      <x:c r="V239" t="s">
        <x:v>113</x:v>
      </x:c>
      <x:c r="W239" s="20">
        <x:v>2.99</x:v>
      </x:c>
      <x:c r="X239" s="21">
        <x:f t="shared" si="233"/>
        <x:v>1286.0380728</x:v>
      </x:c>
      <x:c r="Y239" s="21" t="n">
        <x:f>7.21*T239/1000</x:f>
        <x:v>1515.0873374</x:v>
      </x:c>
      <x:c r="Z239" s="21">
        <x:f t="shared" si="234"/>
        <x:v>420.27388000000002</x:v>
      </x:c>
      <x:c r="AA239" s="21" t="n">
        <x:f>W239/100*(1-0.44)*0.29*T239</x:f>
        <x:v>1020.3745477744002</x:v>
      </x:c>
      <x:c r="AB239" s="21" t="n">
        <x:f>W239/100*(1-0.44)*0.07*T239</x:f>
        <x:v>246.29730463520005</x:v>
      </x:c>
      <x:c r="AC239" s="21">
        <x:f t="shared" si="235"/>
        <x:v>0.49259460927040011</x:v>
      </x:c>
      <x:c r="AD239" s="21"/>
      <x:c r="AE239" s="21">
        <x:f t="shared" si="236"/>
        <x:v>8.4054775999999993</x:v>
      </x:c>
      <x:c r="AF239" s="21"/>
      <x:c r="AG239" s="19" t="s">
        <x:v>78</x:v>
      </x:c>
      <x:c r="AH239" t="s">
        <x:v>78</x:v>
      </x:c>
      <x:c r="AI239" t="s">
        <x:v>78</x:v>
      </x:c>
      <x:c r="AJ239" s="19"/>
      <x:c r="AK239" s="19" t="s">
        <x:v>78</x:v>
      </x:c>
      <x:c r="AL239" t="s">
        <x:v>78</x:v>
      </x:c>
      <x:c r="AM239" s="19" t="s">
        <x:v>78</x:v>
      </x:c>
      <x:c r="AN239" s="21"/>
      <x:c r="AO239" s="21"/>
      <x:c r="AP239" s="21"/>
      <x:c r="AQ239" s="21"/>
      <x:c r="AR239" s="21"/>
      <x:c r="AS239" s="21"/>
      <x:c r="AT239" s="21"/>
      <x:c r="AU239" s="21"/>
      <x:c r="AV239" s="21"/>
      <x:c r="AW239" t="s">
        <x:v>78</x:v>
      </x:c>
      <x:c r="AX239" s="19"/>
      <x:c r="AY239" s="21"/>
      <x:c r="AZ239" s="21"/>
      <x:c r="BA239" s="21"/>
      <x:c r="BB239" s="21"/>
      <x:c r="BC239" s="21"/>
      <x:c r="BD239" s="21"/>
      <x:c r="BE239" s="21"/>
      <x:c r="BF239" s="21"/>
      <x:c r="BG239" s="21"/>
      <x:c r="BH239" t="s">
        <x:v>81</x:v>
      </x:c>
      <x:c r="BI239" s="18">
        <x:v>110</x:v>
      </x:c>
      <x:c r="BJ239" s="18">
        <x:v>26</x:v>
      </x:c>
      <x:c r="BK239" s="18">
        <x:v>58</x:v>
      </x:c>
      <x:c r="BL239" s="18">
        <x:v>21</x:v>
      </x:c>
      <x:c r="BM239" s="18">
        <x:v>1</x:v>
      </x:c>
      <x:c r="BN239" s="18">
        <x:v>25</x:v>
      </x:c>
      <x:c r="BO239" s="22">
        <x:v>110.449444444444</x:v>
      </x:c>
      <x:c r="BP239" s="22">
        <x:v>21.023611111111101</x:v>
      </x:c>
      <x:c r="BQ239" s="18">
        <x:v>150</x:v>
      </x:c>
      <x:c r="BR239" s="18">
        <x:v>223764.95</x:v>
      </x:c>
      <x:c r="BS239" s="18">
        <x:v>416.07100000000003</x:v>
      </x:c>
      <x:c r="BT239" s="18">
        <x:v>13.647</x:v>
      </x:c>
      <x:c r="BU239" s="18">
        <x:v>142.893</x:v>
      </x:c>
      <x:c r="BV239" s="18">
        <x:v>50.012999999999998</x:v>
      </x:c>
      <x:c r="BW239" s="18">
        <x:v>2909.0729999999999</x:v>
      </x:c>
      <x:c r="BX239" s="18">
        <x:v>20.513000000000002</x:v>
      </x:c>
      <x:c r="BY239" s="18">
        <x:v>1700.008</x:v>
      </x:c>
      <x:c r="BZ239" s="18">
        <x:v>1700.008</x:v>
      </x:c>
      <x:c r="CA239" s="23">
        <x:f t="shared" si="184"/>
        <x:v>1286.0380728</x:v>
      </x:c>
      <x:c r="CB239" s="23">
        <x:f t="shared" si="185"/>
        <x:v>1515.0873374</x:v>
      </x:c>
      <x:c r="CC239" s="23">
        <x:f t="shared" si="186"/>
        <x:v>420.27388000000002</x:v>
      </x:c>
      <x:c r="CD239" s="23">
        <x:f t="shared" si="187"/>
        <x:v>1020.3745477744002</x:v>
      </x:c>
      <x:c r="CE239" s="23">
        <x:f t="shared" si="188"/>
        <x:v>246.29730463520005</x:v>
      </x:c>
      <x:c r="CF239" s="23">
        <x:f t="shared" si="189"/>
        <x:v>0.49259460927040011</x:v>
      </x:c>
      <x:c r="CG239" s="23">
        <x:f t="shared" si="190"/>
        <x:v>0</x:v>
      </x:c>
      <x:c r="CH239" s="23">
        <x:f t="shared" si="191"/>
        <x:v>8.4054775999999993</x:v>
      </x:c>
      <x:c r="CI239" s="23">
        <x:f t="shared" si="192"/>
        <x:v>0</x:v>
      </x:c>
      <x:c r="CJ239" s="24" t="s">
        <x:v>516</x:v>
      </x:c>
      <x:c r="CK239" s="29">
        <x:v>97.85</x:v>
      </x:c>
      <x:c r="CL239" s="26" t="s">
        <x:v>104</x:v>
      </x:c>
      <x:c r="CM239" s="28">
        <x:v>75</x:v>
      </x:c>
      <x:c r="CN239" s="30" t="s">
        <x:v>291</x:v>
      </x:c>
      <x:c r="CO239" s="27">
        <x:v>98.9</x:v>
      </x:c>
      <x:c r="CP239" s="27">
        <x:v>97</x:v>
      </x:c>
      <x:c r="CQ239" s="26">
        <x:f t="shared" si="193"/>
        <x:v>27.649818565200096</x:v>
      </x:c>
      <x:c r="CR239" s="26">
        <x:f t="shared" si="194"/>
        <x:v>378.77183435000001</x:v>
      </x:c>
      <x:c r="CS239" s="26">
        <x:f t="shared" si="202"/>
        <x:v>420.27388000000002</x:v>
      </x:c>
      <x:c r="CT239" s="26">
        <x:f t="shared" si="219"/>
        <x:v>11.2241200255183</x:v>
      </x:c>
      <x:c r="CU239" s="26">
        <x:f t="shared" si="220"/>
        <x:v>7.3889191390560081</x:v>
      </x:c>
      <x:c r="CV239" s="26">
        <x:f t="shared" si="221"/>
        <x:v>1.4777838278112016E-2</x:v>
      </x:c>
      <x:c r="CW239" s="26">
        <x:f t="shared" si="222"/>
        <x:v>0</x:v>
      </x:c>
      <x:c r="CX239" s="26">
        <x:f t="shared" si="203"/>
        <x:v>8.4054775999999993</x:v>
      </x:c>
      <x:c r="CY239" s="26">
        <x:f t="shared" si="204"/>
        <x:v>0</x:v>
      </x:c>
    </x:row>
    <x:row r="240">
      <x:c r="A240" s="18">
        <x:v>2022</x:v>
      </x:c>
      <x:c r="B240" t="s">
        <x:v>517</x:v>
      </x:c>
      <x:c r="C240" t="s">
        <x:v>518</x:v>
      </x:c>
      <x:c r="D240" t="s">
        <x:v>519</x:v>
      </x:c>
      <x:c r="E240" s="18">
        <x:v>440882</x:v>
      </x:c>
      <x:c r="F240" t="s">
        <x:v>520</x:v>
      </x:c>
      <x:c r="G240" t="s">
        <x:v>486</x:v>
      </x:c>
      <x:c r="H240" s="18">
        <x:v>4411</x:v>
      </x:c>
      <x:c r="I240" t="s">
        <x:v>102</x:v>
      </x:c>
      <x:c r="J240" t="s">
        <x:v>78</x:v>
      </x:c>
      <x:c r="K240" t="s">
        <x:v>109</x:v>
      </x:c>
      <x:c r="L240" s="20">
        <x:v>100</x:v>
      </x:c>
      <x:c r="M240" t="s">
        <x:v>110</x:v>
      </x:c>
      <x:c r="N240" s="18">
        <x:v>2764.03</x:v>
      </x:c>
      <x:c r="O240" t="s">
        <x:v>88</x:v>
      </x:c>
      <x:c r="P240" s="18">
        <x:v>4</x:v>
      </x:c>
      <x:c r="Q240" s="19" t="s">
        <x:v>111</x:v>
      </x:c>
      <x:c r="R240" s="18">
        <x:v>2356403</x:v>
      </x:c>
      <x:c r="S240" t="s">
        <x:v>112</x:v>
      </x:c>
      <x:c r="T240" s="19">
        <x:f t="shared" si="232"/>
        <x:v>2356403</x:v>
      </x:c>
      <x:c r="U240" s="20">
        <x:v>0.49</x:v>
      </x:c>
      <x:c r="V240" t="s">
        <x:v>113</x:v>
      </x:c>
      <x:c r="W240" s="20">
        <x:v>10.75</x:v>
      </x:c>
      <x:c r="X240" s="21">
        <x:f t="shared" si="233"/>
        <x:v>19628.836989999996</x:v>
      </x:c>
      <x:c r="Y240" s="21" t="n">
        <x:f>7.21*T240/1000</x:f>
        <x:v>16989.66563</x:v>
      </x:c>
      <x:c r="Z240" s="21">
        <x:f t="shared" si="234"/>
        <x:v>4712.8059999999996</x:v>
      </x:c>
      <x:c r="AA240" s="21" t="n">
        <x:f>W240/100*(1-0.25)*0.23*T240</x:f>
        <x:v>43696.548131250005</x:v>
      </x:c>
      <x:c r="AB240" s="21" t="n">
        <x:f>W240/100*(1-0.25)*0.06*T240</x:f>
        <x:v>11399.099512499999</x:v>
      </x:c>
      <x:c r="AC240" s="21" t="n">
        <x:f t="shared" ref="AC240:AC241" si="237">0.002*AB240</x:f>
        <x:v>22.798199025</x:v>
      </x:c>
      <x:c r="AD240" s="21"/>
      <x:c r="AE240" s="21">
        <x:f t="shared" si="236"/>
        <x:v>94.256119999999996</x:v>
      </x:c>
      <x:c r="AF240" s="21"/>
      <x:c r="AG240" s="19" t="s">
        <x:v>78</x:v>
      </x:c>
      <x:c r="AH240" t="s">
        <x:v>78</x:v>
      </x:c>
      <x:c r="AI240" t="s">
        <x:v>78</x:v>
      </x:c>
      <x:c r="AJ240" s="19"/>
      <x:c r="AK240" s="19" t="s">
        <x:v>78</x:v>
      </x:c>
      <x:c r="AL240" t="s">
        <x:v>78</x:v>
      </x:c>
      <x:c r="AM240" s="19" t="s">
        <x:v>78</x:v>
      </x:c>
      <x:c r="AN240" s="21"/>
      <x:c r="AO240" s="21"/>
      <x:c r="AP240" s="21"/>
      <x:c r="AQ240" s="21"/>
      <x:c r="AR240" s="21"/>
      <x:c r="AS240" s="21"/>
      <x:c r="AT240" s="21"/>
      <x:c r="AU240" s="21"/>
      <x:c r="AV240" s="21"/>
      <x:c r="AW240" t="s">
        <x:v>78</x:v>
      </x:c>
      <x:c r="AX240" s="19"/>
      <x:c r="AY240" s="21"/>
      <x:c r="AZ240" s="21"/>
      <x:c r="BA240" s="21"/>
      <x:c r="BB240" s="21"/>
      <x:c r="BC240" s="21"/>
      <x:c r="BD240" s="21"/>
      <x:c r="BE240" s="21"/>
      <x:c r="BF240" s="21"/>
      <x:c r="BG240" s="21"/>
      <x:c r="BH240" t="s">
        <x:v>81</x:v>
      </x:c>
      <x:c r="BI240" s="18">
        <x:v>109</x:v>
      </x:c>
      <x:c r="BJ240" s="18">
        <x:v>49</x:v>
      </x:c>
      <x:c r="BK240" s="18">
        <x:v>34.1</x:v>
      </x:c>
      <x:c r="BL240" s="18">
        <x:v>20</x:v>
      </x:c>
      <x:c r="BM240" s="18">
        <x:v>30</x:v>
      </x:c>
      <x:c r="BN240" s="18">
        <x:v>29.38</x:v>
      </x:c>
      <x:c r="BO240" s="22">
        <x:v>109.82613888888901</x:v>
      </x:c>
      <x:c r="BP240" s="22">
        <x:v>20.5081611111111</x:v>
      </x:c>
      <x:c r="BQ240" s="18">
        <x:v>248</x:v>
      </x:c>
      <x:c r="BR240" s="18">
        <x:v>1518481.112</x:v>
      </x:c>
      <x:c r="BS240" s="18">
        <x:v>18238.302</x:v>
      </x:c>
      <x:c r="BT240" s="18">
        <x:v>304.26900000000001</x:v>
      </x:c>
      <x:c r="BU240" s="18">
        <x:v>4396.5450000000001</x:v>
      </x:c>
      <x:c r="BV240" s="18">
        <x:v>571.87599999999998</x:v>
      </x:c>
      <x:c r="BW240" s="18">
        <x:v>254450.28700000001</x:v>
      </x:c>
      <x:c r="BX240" s="18">
        <x:v>9.7929999999999993</x:v>
      </x:c>
      <x:c r="BY240" s="18">
        <x:v>27805.555</x:v>
      </x:c>
      <x:c r="BZ240" s="18">
        <x:v>27805.555</x:v>
      </x:c>
      <x:c r="CA240" s="23">
        <x:f t="shared" si="184"/>
        <x:v>19628.836989999996</x:v>
      </x:c>
      <x:c r="CB240" s="23">
        <x:f t="shared" si="185"/>
        <x:v>16989.66563</x:v>
      </x:c>
      <x:c r="CC240" s="23">
        <x:f t="shared" si="186"/>
        <x:v>4712.8059999999996</x:v>
      </x:c>
      <x:c r="CD240" s="23">
        <x:f t="shared" si="187"/>
        <x:v>43696.548131250005</x:v>
      </x:c>
      <x:c r="CE240" s="23">
        <x:f t="shared" si="188"/>
        <x:v>11399.099512499999</x:v>
      </x:c>
      <x:c r="CF240" s="23">
        <x:f t="shared" si="189"/>
        <x:v>22.798199024999999</x:v>
      </x:c>
      <x:c r="CG240" s="23">
        <x:f t="shared" si="190"/>
        <x:v>0</x:v>
      </x:c>
      <x:c r="CH240" s="23">
        <x:f t="shared" si="191"/>
        <x:v>94.256119999999996</x:v>
      </x:c>
      <x:c r="CI240" s="23">
        <x:f t="shared" si="192"/>
        <x:v>0</x:v>
      </x:c>
      <x:c r="CJ240" s="24" t="s">
        <x:v>180</x:v>
      </x:c>
      <x:c r="CK240" s="29">
        <x:v>98.8</x:v>
      </x:c>
      <x:c r="CL240" s="26" t="s">
        <x:v>104</x:v>
      </x:c>
      <x:c r="CM240" s="28">
        <x:v>85</x:v>
      </x:c>
      <x:c r="CN240" s="30" t="s">
        <x:v>521</x:v>
      </x:c>
      <x:c r="CO240" s="27">
        <x:v>99.4</x:v>
      </x:c>
      <x:c r="CP240" s="27">
        <x:v>98.3</x:v>
      </x:c>
      <x:c r="CQ240" s="26">
        <x:f t="shared" si="193"/>
        <x:v>235.54604388000016</x:v>
      </x:c>
      <x:c r="CR240" s="26">
        <x:f t="shared" si="194"/>
        <x:v>2548.4498445000004</x:v>
      </x:c>
      <x:c r="CS240" s="26">
        <x:f t="shared" si="202"/>
        <x:v>4712.8059999999996</x:v>
      </x:c>
      <x:c r="CT240" s="26">
        <x:f t="shared" si="219"/>
        <x:v>262.17928878749541</x:v>
      </x:c>
      <x:c r="CU240" s="26">
        <x:f t="shared" si="220"/>
        <x:v>193.78469171250015</x:v>
      </x:c>
      <x:c r="CV240" s="26">
        <x:f t="shared" si="221"/>
        <x:v>0.3875693834250003</x:v>
      </x:c>
      <x:c r="CW240" s="26">
        <x:f t="shared" si="222"/>
        <x:v>0</x:v>
      </x:c>
      <x:c r="CX240" s="26">
        <x:f t="shared" si="203"/>
        <x:v>94.256119999999996</x:v>
      </x:c>
      <x:c r="CY240" s="26">
        <x:f t="shared" si="204"/>
        <x:v>0</x:v>
      </x:c>
    </x:row>
    <x:row r="241">
      <x:c r="A241" s="18">
        <x:v>2022</x:v>
      </x:c>
      <x:c r="B241" t="s">
        <x:v>517</x:v>
      </x:c>
      <x:c r="C241" t="s">
        <x:v>518</x:v>
      </x:c>
      <x:c r="D241" t="s">
        <x:v>519</x:v>
      </x:c>
      <x:c r="E241" s="18">
        <x:v>440882</x:v>
      </x:c>
      <x:c r="F241" t="s">
        <x:v>520</x:v>
      </x:c>
      <x:c r="G241" t="s">
        <x:v>486</x:v>
      </x:c>
      <x:c r="H241" s="18">
        <x:v>4411</x:v>
      </x:c>
      <x:c r="I241" t="s">
        <x:v>102</x:v>
      </x:c>
      <x:c r="J241" t="s">
        <x:v>78</x:v>
      </x:c>
      <x:c r="K241" t="s">
        <x:v>109</x:v>
      </x:c>
      <x:c r="L241" s="20">
        <x:v>100</x:v>
      </x:c>
      <x:c r="M241" t="s">
        <x:v>110</x:v>
      </x:c>
      <x:c r="N241" s="18">
        <x:v>2764.03</x:v>
      </x:c>
      <x:c r="O241" t="s">
        <x:v>88</x:v>
      </x:c>
      <x:c r="P241" s="18">
        <x:v>4</x:v>
      </x:c>
      <x:c r="Q241" s="19" t="s">
        <x:v>111</x:v>
      </x:c>
      <x:c r="R241" s="18">
        <x:v>1717136</x:v>
      </x:c>
      <x:c r="S241" t="s">
        <x:v>112</x:v>
      </x:c>
      <x:c r="T241" s="19">
        <x:f t="shared" si="232"/>
        <x:v>1717136</x:v>
      </x:c>
      <x:c r="U241" s="20">
        <x:v>0.49</x:v>
      </x:c>
      <x:c r="V241" t="s">
        <x:v>113</x:v>
      </x:c>
      <x:c r="W241" s="20">
        <x:v>10.75</x:v>
      </x:c>
      <x:c r="X241" s="21">
        <x:f t="shared" si="233"/>
        <x:v>14303.742879999998</x:v>
      </x:c>
      <x:c r="Y241" s="21" t="n">
        <x:f>7.21*T241/1000</x:f>
        <x:v>12380.55056</x:v>
      </x:c>
      <x:c r="Z241" s="21">
        <x:f t="shared" si="234"/>
        <x:v>3434.2719999999999</x:v>
      </x:c>
      <x:c r="AA241" s="21" t="n">
        <x:f>W241/100*(1-0.25)*0.23*T241</x:f>
        <x:v>31842.140700000004</x:v>
      </x:c>
      <x:c r="AB241" s="21" t="n">
        <x:f>W241/100*(1-0.25)*0.06*T241</x:f>
        <x:v>8306.6454</x:v>
      </x:c>
      <x:c r="AC241" s="21">
        <x:f t="shared" si="237"/>
        <x:v>16.613290799999998</x:v>
      </x:c>
      <x:c r="AD241" s="21"/>
      <x:c r="AE241" s="21">
        <x:f t="shared" si="236"/>
        <x:v>68.68544</x:v>
      </x:c>
      <x:c r="AF241" s="21"/>
      <x:c r="AG241" s="19" t="s">
        <x:v>78</x:v>
      </x:c>
      <x:c r="AH241" t="s">
        <x:v>78</x:v>
      </x:c>
      <x:c r="AI241" t="s">
        <x:v>78</x:v>
      </x:c>
      <x:c r="AJ241" s="19"/>
      <x:c r="AK241" s="19" t="s">
        <x:v>78</x:v>
      </x:c>
      <x:c r="AL241" t="s">
        <x:v>78</x:v>
      </x:c>
      <x:c r="AM241" s="19" t="s">
        <x:v>78</x:v>
      </x:c>
      <x:c r="AN241" s="21"/>
      <x:c r="AO241" s="21"/>
      <x:c r="AP241" s="21"/>
      <x:c r="AQ241" s="21"/>
      <x:c r="AR241" s="21"/>
      <x:c r="AS241" s="21"/>
      <x:c r="AT241" s="21"/>
      <x:c r="AU241" s="21"/>
      <x:c r="AV241" s="21"/>
      <x:c r="AW241" t="s">
        <x:v>78</x:v>
      </x:c>
      <x:c r="AX241" s="19"/>
      <x:c r="AY241" s="21"/>
      <x:c r="AZ241" s="21"/>
      <x:c r="BA241" s="21"/>
      <x:c r="BB241" s="21"/>
      <x:c r="BC241" s="21"/>
      <x:c r="BD241" s="21"/>
      <x:c r="BE241" s="21"/>
      <x:c r="BF241" s="21"/>
      <x:c r="BG241" s="21"/>
      <x:c r="BH241" t="s">
        <x:v>81</x:v>
      </x:c>
      <x:c r="BI241" s="18">
        <x:v>109</x:v>
      </x:c>
      <x:c r="BJ241" s="18">
        <x:v>49</x:v>
      </x:c>
      <x:c r="BK241" s="18">
        <x:v>34.21</x:v>
      </x:c>
      <x:c r="BL241" s="18">
        <x:v>20</x:v>
      </x:c>
      <x:c r="BM241" s="18">
        <x:v>30</x:v>
      </x:c>
      <x:c r="BN241" s="18">
        <x:v>29.74</x:v>
      </x:c>
      <x:c r="BO241" s="22">
        <x:v>109.82616944444401</x:v>
      </x:c>
      <x:c r="BP241" s="22">
        <x:v>20.5082611111111</x:v>
      </x:c>
      <x:c r="BQ241" s="18">
        <x:v>248</x:v>
      </x:c>
      <x:c r="BR241" s="18">
        <x:v>1214315.662</x:v>
      </x:c>
      <x:c r="BS241" s="18">
        <x:v>16373.65</x:v>
      </x:c>
      <x:c r="BT241" s="18">
        <x:v>238.44300000000001</x:v>
      </x:c>
      <x:c r="BU241" s="18">
        <x:v>3468.8989999999999</x:v>
      </x:c>
      <x:c r="BV241" s="18">
        <x:v>442.108</x:v>
      </x:c>
      <x:c r="BW241" s="18">
        <x:v>185420.63800000001</x:v>
      </x:c>
      <x:c r="BX241" s="18">
        <x:v>7.9050000000000002</x:v>
      </x:c>
      <x:c r="BY241" s="18">
        <x:v>20262.205000000002</x:v>
      </x:c>
      <x:c r="BZ241" s="18">
        <x:v>20262.205000000002</x:v>
      </x:c>
      <x:c r="CA241" s="23">
        <x:f t="shared" si="184"/>
        <x:v>14303.742879999998</x:v>
      </x:c>
      <x:c r="CB241" s="23">
        <x:f t="shared" si="185"/>
        <x:v>12380.55056</x:v>
      </x:c>
      <x:c r="CC241" s="23">
        <x:f t="shared" si="186"/>
        <x:v>3434.2719999999999</x:v>
      </x:c>
      <x:c r="CD241" s="23">
        <x:f t="shared" si="187"/>
        <x:v>31842.140700000004</x:v>
      </x:c>
      <x:c r="CE241" s="23">
        <x:f t="shared" si="188"/>
        <x:v>8306.6453999999994</x:v>
      </x:c>
      <x:c r="CF241" s="23">
        <x:f t="shared" si="189"/>
        <x:v>16.613290799999998</x:v>
      </x:c>
      <x:c r="CG241" s="23">
        <x:f t="shared" si="190"/>
        <x:v>0</x:v>
      </x:c>
      <x:c r="CH241" s="23">
        <x:f t="shared" si="191"/>
        <x:v>68.68544</x:v>
      </x:c>
      <x:c r="CI241" s="23">
        <x:f t="shared" si="192"/>
        <x:v>0</x:v>
      </x:c>
      <x:c r="CJ241" s="24" t="s">
        <x:v>180</x:v>
      </x:c>
      <x:c r="CK241" s="29">
        <x:v>98.8</x:v>
      </x:c>
      <x:c r="CL241" s="26" t="s">
        <x:v>104</x:v>
      </x:c>
      <x:c r="CM241" s="28">
        <x:v>85</x:v>
      </x:c>
      <x:c r="CN241" s="30" t="s">
        <x:v>521</x:v>
      </x:c>
      <x:c r="CO241" s="27">
        <x:v>99.4</x:v>
      </x:c>
      <x:c r="CP241" s="27">
        <x:v>98.3</x:v>
      </x:c>
      <x:c r="CQ241" s="26">
        <x:f t="shared" si="193"/>
        <x:v>171.64491456000013</x:v>
      </x:c>
      <x:c r="CR241" s="26">
        <x:f t="shared" si="194"/>
        <x:v>1857.0825840000002</x:v>
      </x:c>
      <x:c r="CS241" s="26">
        <x:f t="shared" si="202"/>
        <x:v>3434.2719999999999</x:v>
      </x:c>
      <x:c r="CT241" s="26">
        <x:f t="shared" si="219"/>
        <x:v>191.05284419999666</x:v>
      </x:c>
      <x:c r="CU241" s="26">
        <x:f t="shared" si="220"/>
        <x:v>141.2129718000001</x:v>
      </x:c>
      <x:c r="CV241" s="26">
        <x:f t="shared" si="221"/>
        <x:v>0.28242594360000023</x:v>
      </x:c>
      <x:c r="CW241" s="26">
        <x:f t="shared" si="222"/>
        <x:v>0</x:v>
      </x:c>
      <x:c r="CX241" s="26">
        <x:f t="shared" si="203"/>
        <x:v>68.68544</x:v>
      </x:c>
      <x:c r="CY241" s="26">
        <x:f t="shared" si="204"/>
        <x:v>0</x:v>
      </x:c>
    </x:row>
    <x:row r="242">
      <x:c r="A242" s="18">
        <x:v>2022</x:v>
      </x:c>
      <x:c r="B242" t="s">
        <x:v>522</x:v>
      </x:c>
      <x:c r="C242" t="s">
        <x:v>523</x:v>
      </x:c>
      <x:c r="D242" t="s">
        <x:v>524</x:v>
      </x:c>
      <x:c r="E242" s="18">
        <x:v>440902</x:v>
      </x:c>
      <x:c r="F242" t="s">
        <x:v>525</x:v>
      </x:c>
      <x:c r="G242" t="s">
        <x:v>526</x:v>
      </x:c>
      <x:c r="H242" s="18">
        <x:v>2661</x:v>
      </x:c>
      <x:c r="I242" t="s">
        <x:v>527</x:v>
      </x:c>
      <x:c r="J242" t="s">
        <x:v>528</x:v>
      </x:c>
      <x:c r="K242" t="s">
        <x:v>72</x:v>
      </x:c>
      <x:c r="L242" s="18">
        <x:v>1.95</x:v>
      </x:c>
      <x:c r="M242" t="s">
        <x:v>73</x:v>
      </x:c>
      <x:c r="N242" s="18">
        <x:v>85</x:v>
      </x:c>
      <x:c r="O242" t="s">
        <x:v>88</x:v>
      </x:c>
      <x:c r="P242" s="18">
        <x:v>11</x:v>
      </x:c>
      <x:c r="Q242" s="19" t="s">
        <x:v>75</x:v>
      </x:c>
      <x:c r="R242" s="18">
        <x:v>40074.660000000003</x:v>
      </x:c>
      <x:c r="S242" t="s">
        <x:v>76</x:v>
      </x:c>
      <x:c r="T242" s="19">
        <x:f t="shared" si="232"/>
        <x:v>40074.660000000003</x:v>
      </x:c>
      <x:c r="U242" s="20">
        <x:v>200</x:v>
      </x:c>
      <x:c r="V242" t="s">
        <x:v>77</x:v>
      </x:c>
      <x:c r="W242" s="20">
        <x:v>0</x:v>
      </x:c>
      <x:c r="X242" s="21" t="n">
        <x:f>2*U242*T242*10000/1000000000</x:f>
        <x:v>160.29864000000003</x:v>
      </x:c>
      <x:c r="Y242" s="21" t="n">
        <x:f>1.35*T242*10000/1000000</x:f>
        <x:v>541.00791</x:v>
      </x:c>
      <x:c r="Z242" s="21" t="n">
        <x:f>1.3*T242*10000/1000000</x:f>
        <x:v>520.97058</x:v>
      </x:c>
      <x:c r="AA242" s="21" t="n">
        <x:f>0.03*T242*10000/1000000</x:f>
        <x:v>12.022398</x:v>
      </x:c>
      <x:c r="AB242" s="21" t="n">
        <x:f>0.03*T242*10000/1000000</x:f>
        <x:v>12.022398</x:v>
      </x:c>
      <x:c r="AC242" s="21"/>
      <x:c r="AD242" s="21"/>
      <x:c r="AE242" s="21" t="n">
        <x:f>0.02*T242*10000/1000000</x:f>
        <x:v>8.014932000000002</x:v>
      </x:c>
      <x:c r="AF242" s="21"/>
      <x:c r="AG242" s="19" t="s">
        <x:v>78</x:v>
      </x:c>
      <x:c r="AH242" t="s">
        <x:v>78</x:v>
      </x:c>
      <x:c r="AI242" t="s">
        <x:v>78</x:v>
      </x:c>
      <x:c r="AJ242" s="19"/>
      <x:c r="AK242" s="19" t="s">
        <x:v>78</x:v>
      </x:c>
      <x:c r="AL242" t="s">
        <x:v>78</x:v>
      </x:c>
      <x:c r="AM242" s="19" t="s">
        <x:v>78</x:v>
      </x:c>
      <x:c r="AN242" s="21"/>
      <x:c r="AO242" s="21"/>
      <x:c r="AP242" s="21"/>
      <x:c r="AQ242" s="21"/>
      <x:c r="AR242" s="21"/>
      <x:c r="AS242" s="21"/>
      <x:c r="AT242" s="21"/>
      <x:c r="AU242" s="21"/>
      <x:c r="AV242" s="21"/>
      <x:c r="AW242" t="s">
        <x:v>78</x:v>
      </x:c>
      <x:c r="AX242" s="19"/>
      <x:c r="AY242" s="21"/>
      <x:c r="AZ242" s="21"/>
      <x:c r="BA242" s="21"/>
      <x:c r="BB242" s="21"/>
      <x:c r="BC242" s="21"/>
      <x:c r="BD242" s="21"/>
      <x:c r="BE242" s="21"/>
      <x:c r="BF242" s="21"/>
      <x:c r="BG242" s="21"/>
      <x:c r="BH242" t="s">
        <x:v>90</x:v>
      </x:c>
      <x:c r="BI242" s="18">
        <x:v>100</x:v>
      </x:c>
      <x:c r="BJ242" s="18">
        <x:v>50</x:v>
      </x:c>
      <x:c r="BK242" s="18">
        <x:v>31</x:v>
      </x:c>
      <x:c r="BL242" s="18">
        <x:v>21</x:v>
      </x:c>
      <x:c r="BM242" s="18">
        <x:v>40</x:v>
      </x:c>
      <x:c r="BN242" s="18">
        <x:v>24</x:v>
      </x:c>
      <x:c r="BO242" s="22">
        <x:v>110.85578700000001</x:v>
      </x:c>
      <x:c r="BP242" s="22">
        <x:v>21.689951000000001</x:v>
      </x:c>
      <x:c r="BQ242" s="18">
        <x:v>45</x:v>
      </x:c>
      <x:c r="BR242" s="18">
        <x:v>65590</x:v>
      </x:c>
      <x:c r="BS242" s="18">
        <x:v>98.385000000000005</x:v>
      </x:c>
      <x:c r="BT242" s="18">
        <x:v>7.8710000000000004</x:v>
      </x:c>
      <x:c r="BU242" s="18">
        <x:v>229.566</x:v>
      </x:c>
      <x:c r="BV242" s="18">
        <x:v>22.957000000000001</x:v>
      </x:c>
      <x:c r="BW242" s="18">
        <x:v>32.795000000000002</x:v>
      </x:c>
      <x:c r="BX242" s="18">
        <x:v>2.427</x:v>
      </x:c>
      <x:c r="BY242" s="18">
        <x:v>13384.936</x:v>
      </x:c>
      <x:c r="BZ242" s="18">
        <x:v>13384.936</x:v>
      </x:c>
      <x:c r="CA242" s="23">
        <x:f t="shared" si="184"/>
        <x:v>160.29864000000003</x:v>
      </x:c>
      <x:c r="CB242" s="23">
        <x:f t="shared" si="185"/>
        <x:v>541.00791000000004</x:v>
      </x:c>
      <x:c r="CC242" s="23">
        <x:f t="shared" si="186"/>
        <x:v>520.97058000000004</x:v>
      </x:c>
      <x:c r="CD242" s="23">
        <x:f t="shared" si="187"/>
        <x:v>12.022398000000001</x:v>
      </x:c>
      <x:c r="CE242" s="23">
        <x:f t="shared" si="188"/>
        <x:v>12.022398000000001</x:v>
      </x:c>
      <x:c r="CF242" s="23">
        <x:f t="shared" si="189"/>
        <x:v>0</x:v>
      </x:c>
      <x:c r="CG242" s="23">
        <x:f t="shared" si="190"/>
        <x:v>0</x:v>
      </x:c>
      <x:c r="CH242" s="23">
        <x:f t="shared" si="191"/>
        <x:v>8.0149320000000017</x:v>
      </x:c>
      <x:c r="CI242" s="23">
        <x:f t="shared" si="192"/>
        <x:v>0</x:v>
      </x:c>
      <x:c r="CJ242" s="24" t="s">
        <x:v>529</x:v>
      </x:c>
      <x:c r="CK242" s="25">
        <x:v>95</x:v>
      </x:c>
      <x:c r="CL242" s="26" t="s">
        <x:v>127</x:v>
      </x:c>
      <x:c r="CM242" s="26">
        <x:v>60</x:v>
      </x:c>
      <x:c r="CN242" s="27" t="s">
        <x:v>530</x:v>
      </x:c>
      <x:c r="CO242" s="27">
        <x:v>99.8</x:v>
      </x:c>
      <x:c r="CP242" s="27">
        <x:v>99.6</x:v>
      </x:c>
      <x:c r="CQ242" s="26">
        <x:f t="shared" si="193"/>
        <x:v>8.0149320000000088</x:v>
      </x:c>
      <x:c r="CR242" s="26">
        <x:f t="shared" si="194"/>
        <x:v>216.40316400000003</x:v>
      </x:c>
      <x:c r="CS242" s="26">
        <x:f t="shared" si="202"/>
        <x:v>520.97058000000004</x:v>
      </x:c>
      <x:c r="CT242" s="26">
        <x:f t="shared" si="219"/>
        <x:v>2.4044796000000025E-2</x:v>
      </x:c>
      <x:c r="CU242" s="26">
        <x:f t="shared" si="220"/>
        <x:v>4.8089592000000049E-2</x:v>
      </x:c>
      <x:c r="CV242" s="26">
        <x:f t="shared" si="221"/>
        <x:v>0</x:v>
      </x:c>
      <x:c r="CW242" s="26">
        <x:f t="shared" si="222"/>
        <x:v>0</x:v>
      </x:c>
      <x:c r="CX242" s="26">
        <x:f t="shared" si="203"/>
        <x:v>8.0149320000000017</x:v>
      </x:c>
      <x:c r="CY242" s="26">
        <x:f t="shared" si="204"/>
        <x:v>0</x:v>
      </x:c>
    </x:row>
    <x:row r="243">
      <x:c r="A243" s="18">
        <x:v>2022</x:v>
      </x:c>
      <x:c r="B243" t="s">
        <x:v>531</x:v>
      </x:c>
      <x:c r="C243" t="s">
        <x:v>532</x:v>
      </x:c>
      <x:c r="D243" t="s">
        <x:v>533</x:v>
      </x:c>
      <x:c r="E243" s="18">
        <x:v>440902</x:v>
      </x:c>
      <x:c r="F243" t="s">
        <x:v>525</x:v>
      </x:c>
      <x:c r="G243" t="s">
        <x:v>526</x:v>
      </x:c>
      <x:c r="H243" s="18">
        <x:v>2511</x:v>
      </x:c>
      <x:c r="I243" t="s">
        <x:v>119</x:v>
      </x:c>
      <x:c r="J243" t="s">
        <x:v>78</x:v>
      </x:c>
      <x:c r="K243" t="s">
        <x:v>109</x:v>
      </x:c>
      <x:c r="L243" s="20">
        <x:v>2.5</x:v>
      </x:c>
      <x:c r="M243" t="s">
        <x:v>125</x:v>
      </x:c>
      <x:c r="N243" s="18">
        <x:v>310</x:v>
      </x:c>
      <x:c r="O243" t="s">
        <x:v>74</x:v>
      </x:c>
      <x:c r="P243" s="18">
        <x:v>2</x:v>
      </x:c>
      <x:c r="Q243" s="19" t="s">
        <x:v>231</x:v>
      </x:c>
      <x:c r="R243" s="18">
        <x:v>113752.77</x:v>
      </x:c>
      <x:c r="S243" t="s">
        <x:v>112</x:v>
      </x:c>
      <x:c r="T243" s="19" t="n">
        <x:f t="shared" ref="T243:T259" si="238">R243</x:f>
        <x:v>113752.77</x:v>
      </x:c>
      <x:c r="U243" s="20">
        <x:v>0.71</x:v>
      </x:c>
      <x:c r="V243" t="s">
        <x:v>113</x:v>
      </x:c>
      <x:c r="W243" s="20">
        <x:v>23.47</x:v>
      </x:c>
      <x:c r="X243" s="21" t="n">
        <x:f t="shared" ref="X243:X257" si="239">2*U243/100*(1-0.15)*T243</x:f>
        <x:v>1372.9959339</x:v>
      </x:c>
      <x:c r="Y243" s="21" t="n">
        <x:f>8.96*T243/1000</x:f>
        <x:v>1019.2248192000002</x:v>
      </x:c>
      <x:c r="Z243" s="21" t="n">
        <x:f t="shared" ref="Z243:Z257" si="240">2*T243/1000</x:f>
        <x:v>227.50554</x:v>
      </x:c>
      <x:c r="AA243" s="21" t="n">
        <x:f>W243/100*(1-0.44)*0.29*T243</x:f>
        <x:v>4335.7186793256005</x:v>
      </x:c>
      <x:c r="AB243" s="21" t="n">
        <x:f>W243/100*(1-0.44)*0.07*T243</x:f>
        <x:v>1046.5527846648004</x:v>
      </x:c>
      <x:c r="AC243" s="21" t="n">
        <x:f t="shared" ref="AC243:AC245" si="241">0.002*AB243</x:f>
        <x:v>2.093105569329601</x:v>
      </x:c>
      <x:c r="AD243" s="21"/>
      <x:c r="AE243" s="21" t="n">
        <x:f t="shared" ref="AE243:AE257" si="242">0.04*T243/1000</x:f>
        <x:v>4.550110800000001</x:v>
      </x:c>
      <x:c r="AF243" s="21"/>
      <x:c r="AG243" s="19" t="s">
        <x:v>126</x:v>
      </x:c>
      <x:c r="AH243" s="18">
        <x:v>131047</x:v>
      </x:c>
      <x:c r="AI243" t="s">
        <x:v>112</x:v>
      </x:c>
      <x:c r="AJ243" s="19" t="n">
        <x:f t="shared" ref="AJ243:AJ245" si="243">AH243</x:f>
        <x:v>131047</x:v>
      </x:c>
      <x:c r="AK243" s="20">
        <x:v>4.5599999999999996</x:v>
      </x:c>
      <x:c r="AL243" t="s">
        <x:v>113</x:v>
      </x:c>
      <x:c r="AM243" s="20">
        <x:v>1.08</x:v>
      </x:c>
      <x:c r="AN243" s="21" t="n">
        <x:f>2*AK243/100*(1-0.15)*AJ243</x:f>
        <x:v>10158.763439999999</x:v>
      </x:c>
      <x:c r="AO243" s="21" t="n">
        <x:f>8.85*AJ243/1000</x:f>
        <x:v>1159.76595</x:v>
      </x:c>
      <x:c r="AP243" s="21" t="n">
        <x:f>2*AJ243/1000</x:f>
        <x:v>262.094</x:v>
      </x:c>
      <x:c r="AQ243" s="21" t="n">
        <x:f>AM243/100*(1-0.44)*0.29*AJ243</x:f>
        <x:v>229.84595424000003</x:v>
      </x:c>
      <x:c r="AR243" s="21" t="n">
        <x:f>AM243/100*(1-0.44)*0.07*AJ243</x:f>
        <x:v>55.480057920000014</x:v>
      </x:c>
      <x:c r="AS243" s="21" t="n">
        <x:f t="shared" ref="AS243:AS245" si="244">0.002*AR243</x:f>
        <x:v>0.11096011584000003</x:v>
      </x:c>
      <x:c r="AT243" s="21"/>
      <x:c r="AU243" s="21" t="n">
        <x:f>0.04*AJ243/1000</x:f>
        <x:v>5.24188</x:v>
      </x:c>
      <x:c r="AV243" s="21"/>
      <x:c r="AW243" t="s">
        <x:v>78</x:v>
      </x:c>
      <x:c r="AX243" s="19"/>
      <x:c r="AY243" s="21"/>
      <x:c r="AZ243" s="21"/>
      <x:c r="BA243" s="21"/>
      <x:c r="BB243" s="21"/>
      <x:c r="BC243" s="21"/>
      <x:c r="BD243" s="21"/>
      <x:c r="BE243" s="21"/>
      <x:c r="BF243" s="21"/>
      <x:c r="BG243" s="21"/>
      <x:c r="BH243" t="s">
        <x:v>81</x:v>
      </x:c>
      <x:c r="BI243" s="18">
        <x:v>110</x:v>
      </x:c>
      <x:c r="BJ243" s="18">
        <x:v>53</x:v>
      </x:c>
      <x:c r="BK243" s="18">
        <x:v>44</x:v>
      </x:c>
      <x:c r="BL243" s="18">
        <x:v>21</x:v>
      </x:c>
      <x:c r="BM243" s="18">
        <x:v>40</x:v>
      </x:c>
      <x:c r="BN243" s="18">
        <x:v>49</x:v>
      </x:c>
      <x:c r="BO243" s="22">
        <x:v>110.895555555556</x:v>
      </x:c>
      <x:c r="BP243" s="22">
        <x:v>21.6802777777778</x:v>
      </x:c>
      <x:c r="BQ243" s="18">
        <x:v>150</x:v>
      </x:c>
      <x:c r="BR243" s="18">
        <x:v>732605.02</x:v>
      </x:c>
      <x:c r="BS243" s="18">
        <x:v>6948.0320000000002</x:v>
      </x:c>
      <x:c r="BT243" s="18">
        <x:v>35.732999999999997</x:v>
      </x:c>
      <x:c r="BU243" s="18">
        <x:v>935.44200000000001</x:v>
      </x:c>
      <x:c r="BV243" s="18">
        <x:v>130.33500000000001</x:v>
      </x:c>
      <x:c r="BW243" s="18">
        <x:v>73051.014999999999</x:v>
      </x:c>
      <x:c r="BX243" s="18">
        <x:v>28.645</x:v>
      </x:c>
      <x:c r="BY243" s="18">
        <x:v>1227.8689999999999</x:v>
      </x:c>
      <x:c r="BZ243" s="18">
        <x:v>1227.8689999999999</x:v>
      </x:c>
      <x:c r="CA243" s="23">
        <x:f t="shared" si="184"/>
        <x:v>11531.759373899999</x:v>
      </x:c>
      <x:c r="CB243" s="23">
        <x:f t="shared" si="185"/>
        <x:v>2178.9907692000002</x:v>
      </x:c>
      <x:c r="CC243" s="23">
        <x:f t="shared" si="186"/>
        <x:v>489.59953999999999</x:v>
      </x:c>
      <x:c r="CD243" s="23">
        <x:f t="shared" si="187"/>
        <x:v>4565.5646335656002</x:v>
      </x:c>
      <x:c r="CE243" s="23">
        <x:f t="shared" si="188"/>
        <x:v>1102.0328425848004</x:v>
      </x:c>
      <x:c r="CF243" s="23">
        <x:f t="shared" si="189"/>
        <x:v>2.204065685169601</x:v>
      </x:c>
      <x:c r="CG243" s="23">
        <x:f t="shared" si="190"/>
        <x:v>0</x:v>
      </x:c>
      <x:c r="CH243" s="23">
        <x:f t="shared" si="191"/>
        <x:v>9.7919908000000007</x:v>
      </x:c>
      <x:c r="CI243" s="23">
        <x:f t="shared" si="192"/>
        <x:v>0</x:v>
      </x:c>
      <x:c r="CJ243" s="24" t="s">
        <x:v>180</x:v>
      </x:c>
      <x:c r="CK243" s="29">
        <x:v>99.87</x:v>
      </x:c>
      <x:c r="CL243" s="26" t="s">
        <x:v>78</x:v>
      </x:c>
      <x:c r="CM243" s="26" t="n">
        <x:f>(1-BV243/BU243)*100</x:f>
        <x:v>86.06701430981289</x:v>
      </x:c>
      <x:c r="CN243" s="30" t="s">
        <x:v>357</x:v>
      </x:c>
      <x:c r="CO243" s="27">
        <x:v>99.8</x:v>
      </x:c>
      <x:c r="CP243" s="27">
        <x:v>99.6</x:v>
      </x:c>
      <x:c r="CQ243" s="26">
        <x:f t="shared" si="193"/>
        <x:v>14.991287186069627</x:v>
      </x:c>
      <x:c r="CR243" s="26">
        <x:f t="shared" si="194"/>
        <x:v>303.59847206313395</x:v>
      </x:c>
      <x:c r="CS243" s="26">
        <x:f t="shared" si="202"/>
        <x:v>489.59953999999999</x:v>
      </x:c>
      <x:c r="CT243" s="26">
        <x:f t="shared" si="219"/>
        <x:v>9.1311292671312092</x:v>
      </x:c>
      <x:c r="CU243" s="26">
        <x:f t="shared" si="220"/>
        <x:v>4.4081313703392055</x:v>
      </x:c>
      <x:c r="CV243" s="26">
        <x:f t="shared" si="221"/>
        <x:v>8.816262740678411E-3</x:v>
      </x:c>
      <x:c r="CW243" s="26">
        <x:f t="shared" si="222"/>
        <x:v>0</x:v>
      </x:c>
      <x:c r="CX243" s="26">
        <x:f t="shared" si="203"/>
        <x:v>9.7919908000000007</x:v>
      </x:c>
      <x:c r="CY243" s="26">
        <x:f t="shared" si="204"/>
        <x:v>0</x:v>
      </x:c>
    </x:row>
    <x:row r="244">
      <x:c r="A244" s="18">
        <x:v>2022</x:v>
      </x:c>
      <x:c r="B244" t="s">
        <x:v>531</x:v>
      </x:c>
      <x:c r="C244" t="s">
        <x:v>532</x:v>
      </x:c>
      <x:c r="D244" t="s">
        <x:v>533</x:v>
      </x:c>
      <x:c r="E244" s="18">
        <x:v>440902</x:v>
      </x:c>
      <x:c r="F244" t="s">
        <x:v>525</x:v>
      </x:c>
      <x:c r="G244" t="s">
        <x:v>526</x:v>
      </x:c>
      <x:c r="H244" s="18">
        <x:v>2511</x:v>
      </x:c>
      <x:c r="I244" t="s">
        <x:v>119</x:v>
      </x:c>
      <x:c r="J244" t="s">
        <x:v>78</x:v>
      </x:c>
      <x:c r="K244" t="s">
        <x:v>109</x:v>
      </x:c>
      <x:c r="L244" s="20">
        <x:v>5</x:v>
      </x:c>
      <x:c r="M244" t="s">
        <x:v>125</x:v>
      </x:c>
      <x:c r="N244" s="18">
        <x:v>310</x:v>
      </x:c>
      <x:c r="O244" t="s">
        <x:v>74</x:v>
      </x:c>
      <x:c r="P244" s="18">
        <x:v>4</x:v>
      </x:c>
      <x:c r="Q244" s="19" t="s">
        <x:v>111</x:v>
      </x:c>
      <x:c r="R244" s="18">
        <x:v>113752.77</x:v>
      </x:c>
      <x:c r="S244" t="s">
        <x:v>112</x:v>
      </x:c>
      <x:c r="T244" s="19">
        <x:f t="shared" si="238"/>
        <x:v>113752.77</x:v>
      </x:c>
      <x:c r="U244" s="20">
        <x:v>0.71</x:v>
      </x:c>
      <x:c r="V244" t="s">
        <x:v>113</x:v>
      </x:c>
      <x:c r="W244" s="20">
        <x:v>23.47</x:v>
      </x:c>
      <x:c r="X244" s="21">
        <x:f t="shared" si="239"/>
        <x:v>1372.9959339</x:v>
      </x:c>
      <x:c r="Y244" s="21" t="n">
        <x:f>8.96*T244/1000</x:f>
        <x:v>1019.2248192000002</x:v>
      </x:c>
      <x:c r="Z244" s="21">
        <x:f t="shared" si="240"/>
        <x:v>227.50554</x:v>
      </x:c>
      <x:c r="AA244" s="21" t="n">
        <x:f>W244/100*(1-0.44)*0.29*T244</x:f>
        <x:v>4335.7186793256005</x:v>
      </x:c>
      <x:c r="AB244" s="21" t="n">
        <x:f>W244/100*(1-0.44)*0.07*T244</x:f>
        <x:v>1046.5527846648004</x:v>
      </x:c>
      <x:c r="AC244" s="21">
        <x:f t="shared" si="241"/>
        <x:v>2.0931055693296008</x:v>
      </x:c>
      <x:c r="AD244" s="21"/>
      <x:c r="AE244" s="21">
        <x:f t="shared" si="242"/>
        <x:v>4.5501108000000006</x:v>
      </x:c>
      <x:c r="AF244" s="21"/>
      <x:c r="AG244" s="19" t="s">
        <x:v>126</x:v>
      </x:c>
      <x:c r="AH244" s="18">
        <x:v>131047</x:v>
      </x:c>
      <x:c r="AI244" t="s">
        <x:v>112</x:v>
      </x:c>
      <x:c r="AJ244" s="19">
        <x:f t="shared" si="243"/>
        <x:v>131047</x:v>
      </x:c>
      <x:c r="AK244" s="20">
        <x:v>4.5599999999999996</x:v>
      </x:c>
      <x:c r="AL244" t="s">
        <x:v>113</x:v>
      </x:c>
      <x:c r="AM244" s="20">
        <x:v>1.08</x:v>
      </x:c>
      <x:c r="AN244" s="21" t="n">
        <x:f>2*AK244/100*(1-0.15)*AJ244</x:f>
        <x:v>10158.763439999999</x:v>
      </x:c>
      <x:c r="AO244" s="21" t="n">
        <x:f>8.85*AJ244/1000</x:f>
        <x:v>1159.76595</x:v>
      </x:c>
      <x:c r="AP244" s="21" t="n">
        <x:f>2*AJ244/1000</x:f>
        <x:v>262.094</x:v>
      </x:c>
      <x:c r="AQ244" s="21" t="n">
        <x:f>AM244/100*(1-0.44)*0.29*AJ244</x:f>
        <x:v>229.84595424000003</x:v>
      </x:c>
      <x:c r="AR244" s="21" t="n">
        <x:f>AM244/100*(1-0.44)*0.07*AJ244</x:f>
        <x:v>55.480057920000014</x:v>
      </x:c>
      <x:c r="AS244" s="21">
        <x:f t="shared" si="244"/>
        <x:v>0.11096011584000003</x:v>
      </x:c>
      <x:c r="AT244" s="21"/>
      <x:c r="AU244" s="21" t="n">
        <x:f>0.04*AJ244/1000</x:f>
        <x:v>5.24188</x:v>
      </x:c>
      <x:c r="AV244" s="21"/>
      <x:c r="AW244" t="s">
        <x:v>78</x:v>
      </x:c>
      <x:c r="AX244" s="19"/>
      <x:c r="AY244" s="21"/>
      <x:c r="AZ244" s="21"/>
      <x:c r="BA244" s="21"/>
      <x:c r="BB244" s="21"/>
      <x:c r="BC244" s="21"/>
      <x:c r="BD244" s="21"/>
      <x:c r="BE244" s="21"/>
      <x:c r="BF244" s="21"/>
      <x:c r="BG244" s="21"/>
      <x:c r="BH244" t="s">
        <x:v>81</x:v>
      </x:c>
      <x:c r="BI244" s="18">
        <x:v>110</x:v>
      </x:c>
      <x:c r="BJ244" s="18">
        <x:v>53</x:v>
      </x:c>
      <x:c r="BK244" s="18">
        <x:v>44</x:v>
      </x:c>
      <x:c r="BL244" s="18">
        <x:v>21</x:v>
      </x:c>
      <x:c r="BM244" s="18">
        <x:v>40</x:v>
      </x:c>
      <x:c r="BN244" s="18">
        <x:v>49</x:v>
      </x:c>
      <x:c r="BO244" s="22">
        <x:v>110.895555555556</x:v>
      </x:c>
      <x:c r="BP244" s="22">
        <x:v>21.6802777777778</x:v>
      </x:c>
      <x:c r="BQ244" s="18">
        <x:v>150</x:v>
      </x:c>
      <x:c r="BR244" t="s">
        <x:v>78</x:v>
      </x:c>
      <x:c r="BS244" t="s">
        <x:v>78</x:v>
      </x:c>
      <x:c r="BT244" t="s">
        <x:v>78</x:v>
      </x:c>
      <x:c r="BU244" t="s">
        <x:v>78</x:v>
      </x:c>
      <x:c r="BV244" t="s">
        <x:v>78</x:v>
      </x:c>
      <x:c r="BW244" t="s">
        <x:v>78</x:v>
      </x:c>
      <x:c r="BX244" t="s">
        <x:v>78</x:v>
      </x:c>
      <x:c r="BY244" s="18">
        <x:v>4006.8490000000002</x:v>
      </x:c>
      <x:c r="BZ244" s="18">
        <x:v>4006.8490000000002</x:v>
      </x:c>
      <x:c r="CA244" s="23">
        <x:f t="shared" si="184"/>
        <x:v>11531.759373899999</x:v>
      </x:c>
      <x:c r="CB244" s="23">
        <x:f t="shared" si="185"/>
        <x:v>2178.9907692000002</x:v>
      </x:c>
      <x:c r="CC244" s="23">
        <x:f t="shared" si="186"/>
        <x:v>489.59953999999999</x:v>
      </x:c>
      <x:c r="CD244" s="23">
        <x:f t="shared" si="187"/>
        <x:v>4565.5646335656002</x:v>
      </x:c>
      <x:c r="CE244" s="23">
        <x:f t="shared" si="188"/>
        <x:v>1102.0328425848004</x:v>
      </x:c>
      <x:c r="CF244" s="23">
        <x:f t="shared" si="189"/>
        <x:v>2.204065685169601</x:v>
      </x:c>
      <x:c r="CG244" s="23">
        <x:f t="shared" si="190"/>
        <x:v>0</x:v>
      </x:c>
      <x:c r="CH244" s="23">
        <x:f t="shared" si="191"/>
        <x:v>9.7919908000000007</x:v>
      </x:c>
      <x:c r="CI244" s="23">
        <x:f t="shared" si="192"/>
        <x:v>0</x:v>
      </x:c>
      <x:c r="CJ244" s="24" t="s">
        <x:v>180</x:v>
      </x:c>
      <x:c r="CK244" s="29">
        <x:v>99.87</x:v>
      </x:c>
      <x:c r="CL244" s="26" t="s">
        <x:v>78</x:v>
      </x:c>
      <x:c r="CM244" s="26">
        <x:v>86.067014309812905</x:v>
      </x:c>
      <x:c r="CN244" s="30" t="s">
        <x:v>357</x:v>
      </x:c>
      <x:c r="CO244" s="27">
        <x:v>99.8</x:v>
      </x:c>
      <x:c r="CP244" s="27">
        <x:v>99.6</x:v>
      </x:c>
      <x:c r="CQ244" s="26">
        <x:f t="shared" si="193"/>
        <x:v>14.991287186069627</x:v>
      </x:c>
      <x:c r="CR244" s="26">
        <x:f t="shared" si="194"/>
        <x:v>303.59847206313373</x:v>
      </x:c>
      <x:c r="CS244" s="26">
        <x:f t="shared" si="202"/>
        <x:v>489.59953999999999</x:v>
      </x:c>
      <x:c r="CT244" s="26">
        <x:f t="shared" si="219"/>
        <x:v>9.1311292671312092</x:v>
      </x:c>
      <x:c r="CU244" s="26">
        <x:f t="shared" si="220"/>
        <x:v>4.4081313703392055</x:v>
      </x:c>
      <x:c r="CV244" s="26">
        <x:f t="shared" si="221"/>
        <x:v>8.816262740678411E-3</x:v>
      </x:c>
      <x:c r="CW244" s="26">
        <x:f t="shared" si="222"/>
        <x:v>0</x:v>
      </x:c>
      <x:c r="CX244" s="26">
        <x:f t="shared" si="203"/>
        <x:v>9.7919908000000007</x:v>
      </x:c>
      <x:c r="CY244" s="26">
        <x:f t="shared" si="204"/>
        <x:v>0</x:v>
      </x:c>
    </x:row>
    <x:row r="245">
      <x:c r="A245" s="18">
        <x:v>2022</x:v>
      </x:c>
      <x:c r="B245" t="s">
        <x:v>531</x:v>
      </x:c>
      <x:c r="C245" t="s">
        <x:v>532</x:v>
      </x:c>
      <x:c r="D245" t="s">
        <x:v>533</x:v>
      </x:c>
      <x:c r="E245" s="18">
        <x:v>440902</x:v>
      </x:c>
      <x:c r="F245" t="s">
        <x:v>525</x:v>
      </x:c>
      <x:c r="G245" t="s">
        <x:v>526</x:v>
      </x:c>
      <x:c r="H245" s="18">
        <x:v>2511</x:v>
      </x:c>
      <x:c r="I245" t="s">
        <x:v>119</x:v>
      </x:c>
      <x:c r="J245" t="s">
        <x:v>78</x:v>
      </x:c>
      <x:c r="K245" t="s">
        <x:v>109</x:v>
      </x:c>
      <x:c r="L245" s="20">
        <x:v>5</x:v>
      </x:c>
      <x:c r="M245" t="s">
        <x:v>125</x:v>
      </x:c>
      <x:c r="N245" s="18">
        <x:v>410</x:v>
      </x:c>
      <x:c r="O245" t="s">
        <x:v>74</x:v>
      </x:c>
      <x:c r="P245" s="18">
        <x:v>4</x:v>
      </x:c>
      <x:c r="Q245" s="19" t="s">
        <x:v>111</x:v>
      </x:c>
      <x:c r="R245" s="18">
        <x:v>113752.77</x:v>
      </x:c>
      <x:c r="S245" t="s">
        <x:v>112</x:v>
      </x:c>
      <x:c r="T245" s="19">
        <x:f t="shared" si="238"/>
        <x:v>113752.77</x:v>
      </x:c>
      <x:c r="U245" s="20">
        <x:v>0.71</x:v>
      </x:c>
      <x:c r="V245" t="s">
        <x:v>113</x:v>
      </x:c>
      <x:c r="W245" s="20">
        <x:v>23.47</x:v>
      </x:c>
      <x:c r="X245" s="21">
        <x:f t="shared" si="239"/>
        <x:v>1372.9959339</x:v>
      </x:c>
      <x:c r="Y245" s="21" t="n">
        <x:f>8.96*T245/1000</x:f>
        <x:v>1019.2248192000002</x:v>
      </x:c>
      <x:c r="Z245" s="21">
        <x:f t="shared" si="240"/>
        <x:v>227.50554</x:v>
      </x:c>
      <x:c r="AA245" s="21" t="n">
        <x:f>W245/100*(1-0.44)*0.29*T245</x:f>
        <x:v>4335.7186793256005</x:v>
      </x:c>
      <x:c r="AB245" s="21" t="n">
        <x:f>W245/100*(1-0.44)*0.07*T245</x:f>
        <x:v>1046.5527846648004</x:v>
      </x:c>
      <x:c r="AC245" s="21">
        <x:f t="shared" si="241"/>
        <x:v>2.0931055693296008</x:v>
      </x:c>
      <x:c r="AD245" s="21"/>
      <x:c r="AE245" s="21">
        <x:f t="shared" si="242"/>
        <x:v>4.5501108000000006</x:v>
      </x:c>
      <x:c r="AF245" s="21"/>
      <x:c r="AG245" s="19" t="s">
        <x:v>126</x:v>
      </x:c>
      <x:c r="AH245" s="18">
        <x:v>131047</x:v>
      </x:c>
      <x:c r="AI245" t="s">
        <x:v>112</x:v>
      </x:c>
      <x:c r="AJ245" s="19">
        <x:f t="shared" si="243"/>
        <x:v>131047</x:v>
      </x:c>
      <x:c r="AK245" s="20">
        <x:v>4.5599999999999996</x:v>
      </x:c>
      <x:c r="AL245" t="s">
        <x:v>113</x:v>
      </x:c>
      <x:c r="AM245" s="20">
        <x:v>1.08</x:v>
      </x:c>
      <x:c r="AN245" s="21" t="n">
        <x:f>2*AK245/100*(1-0.15)*AJ245</x:f>
        <x:v>10158.763439999999</x:v>
      </x:c>
      <x:c r="AO245" s="21" t="n">
        <x:f>8.85*AJ245/1000</x:f>
        <x:v>1159.76595</x:v>
      </x:c>
      <x:c r="AP245" s="21" t="n">
        <x:f>2*AJ245/1000</x:f>
        <x:v>262.094</x:v>
      </x:c>
      <x:c r="AQ245" s="21" t="n">
        <x:f>AM245/100*(1-0.44)*0.29*AJ245</x:f>
        <x:v>229.84595424000003</x:v>
      </x:c>
      <x:c r="AR245" s="21" t="n">
        <x:f>AM245/100*(1-0.44)*0.07*AJ245</x:f>
        <x:v>55.480057920000014</x:v>
      </x:c>
      <x:c r="AS245" s="21">
        <x:f t="shared" si="244"/>
        <x:v>0.11096011584000003</x:v>
      </x:c>
      <x:c r="AT245" s="21"/>
      <x:c r="AU245" s="21" t="n">
        <x:f>0.04*AJ245/1000</x:f>
        <x:v>5.24188</x:v>
      </x:c>
      <x:c r="AV245" s="21"/>
      <x:c r="AW245" t="s">
        <x:v>78</x:v>
      </x:c>
      <x:c r="AX245" s="19"/>
      <x:c r="AY245" s="21"/>
      <x:c r="AZ245" s="21"/>
      <x:c r="BA245" s="21"/>
      <x:c r="BB245" s="21"/>
      <x:c r="BC245" s="21"/>
      <x:c r="BD245" s="21"/>
      <x:c r="BE245" s="21"/>
      <x:c r="BF245" s="21"/>
      <x:c r="BG245" s="21"/>
      <x:c r="BH245" t="s">
        <x:v>81</x:v>
      </x:c>
      <x:c r="BI245" s="18">
        <x:v>110</x:v>
      </x:c>
      <x:c r="BJ245" s="18">
        <x:v>53</x:v>
      </x:c>
      <x:c r="BK245" s="18">
        <x:v>44</x:v>
      </x:c>
      <x:c r="BL245" s="18">
        <x:v>21</x:v>
      </x:c>
      <x:c r="BM245" s="18">
        <x:v>40</x:v>
      </x:c>
      <x:c r="BN245" s="18">
        <x:v>49</x:v>
      </x:c>
      <x:c r="BO245" s="22">
        <x:v>110.895555555556</x:v>
      </x:c>
      <x:c r="BP245" s="22">
        <x:v>21.6802777777778</x:v>
      </x:c>
      <x:c r="BQ245" s="18">
        <x:v>150</x:v>
      </x:c>
      <x:c r="BR245" t="s">
        <x:v>78</x:v>
      </x:c>
      <x:c r="BS245" t="s">
        <x:v>78</x:v>
      </x:c>
      <x:c r="BT245" t="s">
        <x:v>78</x:v>
      </x:c>
      <x:c r="BU245" t="s">
        <x:v>78</x:v>
      </x:c>
      <x:c r="BV245" t="s">
        <x:v>78</x:v>
      </x:c>
      <x:c r="BW245" t="s">
        <x:v>78</x:v>
      </x:c>
      <x:c r="BX245" t="s">
        <x:v>78</x:v>
      </x:c>
      <x:c r="BY245" s="18">
        <x:v>4006.8490000000002</x:v>
      </x:c>
      <x:c r="BZ245" s="18">
        <x:v>4006.8490000000002</x:v>
      </x:c>
      <x:c r="CA245" s="23">
        <x:f t="shared" si="184"/>
        <x:v>11531.759373899999</x:v>
      </x:c>
      <x:c r="CB245" s="23">
        <x:f t="shared" si="185"/>
        <x:v>2178.9907692000002</x:v>
      </x:c>
      <x:c r="CC245" s="23">
        <x:f t="shared" si="186"/>
        <x:v>489.59953999999999</x:v>
      </x:c>
      <x:c r="CD245" s="23">
        <x:f t="shared" si="187"/>
        <x:v>4565.5646335656002</x:v>
      </x:c>
      <x:c r="CE245" s="23">
        <x:f t="shared" si="188"/>
        <x:v>1102.0328425848004</x:v>
      </x:c>
      <x:c r="CF245" s="23">
        <x:f t="shared" si="189"/>
        <x:v>2.204065685169601</x:v>
      </x:c>
      <x:c r="CG245" s="23">
        <x:f t="shared" si="190"/>
        <x:v>0</x:v>
      </x:c>
      <x:c r="CH245" s="23">
        <x:f t="shared" si="191"/>
        <x:v>9.7919908000000007</x:v>
      </x:c>
      <x:c r="CI245" s="23">
        <x:f t="shared" si="192"/>
        <x:v>0</x:v>
      </x:c>
      <x:c r="CJ245" s="24" t="s">
        <x:v>180</x:v>
      </x:c>
      <x:c r="CK245" s="29">
        <x:v>99.87</x:v>
      </x:c>
      <x:c r="CL245" s="26" t="s">
        <x:v>78</x:v>
      </x:c>
      <x:c r="CM245" s="26">
        <x:v>86.067014309812905</x:v>
      </x:c>
      <x:c r="CN245" s="30" t="s">
        <x:v>357</x:v>
      </x:c>
      <x:c r="CO245" s="27">
        <x:v>99.8</x:v>
      </x:c>
      <x:c r="CP245" s="27">
        <x:v>99.6</x:v>
      </x:c>
      <x:c r="CQ245" s="26">
        <x:f t="shared" si="193"/>
        <x:v>14.991287186069627</x:v>
      </x:c>
      <x:c r="CR245" s="26">
        <x:f t="shared" si="194"/>
        <x:v>303.59847206313373</x:v>
      </x:c>
      <x:c r="CS245" s="26">
        <x:f t="shared" si="202"/>
        <x:v>489.59953999999999</x:v>
      </x:c>
      <x:c r="CT245" s="26">
        <x:f t="shared" si="219"/>
        <x:v>9.1311292671312092</x:v>
      </x:c>
      <x:c r="CU245" s="26">
        <x:f t="shared" si="220"/>
        <x:v>4.4081313703392055</x:v>
      </x:c>
      <x:c r="CV245" s="26">
        <x:f t="shared" si="221"/>
        <x:v>8.816262740678411E-3</x:v>
      </x:c>
      <x:c r="CW245" s="26">
        <x:f t="shared" si="222"/>
        <x:v>0</x:v>
      </x:c>
      <x:c r="CX245" s="26">
        <x:f t="shared" si="203"/>
        <x:v>9.7919908000000007</x:v>
      </x:c>
      <x:c r="CY245" s="26">
        <x:f t="shared" si="204"/>
        <x:v>0</x:v>
      </x:c>
    </x:row>
    <x:row r="246">
      <x:c r="A246" s="18">
        <x:v>2022</x:v>
      </x:c>
      <x:c r="B246" t="s">
        <x:v>534</x:v>
      </x:c>
      <x:c r="C246" t="s">
        <x:v>535</x:v>
      </x:c>
      <x:c r="D246" t="s">
        <x:v>536</x:v>
      </x:c>
      <x:c r="E246" s="18">
        <x:v>440902</x:v>
      </x:c>
      <x:c r="F246" t="s">
        <x:v>525</x:v>
      </x:c>
      <x:c r="G246" t="s">
        <x:v>526</x:v>
      </x:c>
      <x:c r="H246" s="18">
        <x:v>4412</x:v>
      </x:c>
      <x:c r="I246" t="s">
        <x:v>108</x:v>
      </x:c>
      <x:c r="J246" t="s">
        <x:v>537</x:v>
      </x:c>
      <x:c r="K246" t="s">
        <x:v>109</x:v>
      </x:c>
      <x:c r="L246" s="20">
        <x:v>20</x:v>
      </x:c>
      <x:c r="M246" t="s">
        <x:v>110</x:v>
      </x:c>
      <x:c r="N246" s="18">
        <x:v>680</x:v>
      </x:c>
      <x:c r="O246" t="s">
        <x:v>88</x:v>
      </x:c>
      <x:c r="P246" s="18">
        <x:v>4</x:v>
      </x:c>
      <x:c r="Q246" s="19" t="s">
        <x:v>111</x:v>
      </x:c>
      <x:c r="R246" s="18">
        <x:v>491300</x:v>
      </x:c>
      <x:c r="S246" t="s">
        <x:v>112</x:v>
      </x:c>
      <x:c r="T246" s="19">
        <x:f t="shared" si="238"/>
        <x:v>491300</x:v>
      </x:c>
      <x:c r="U246" s="20">
        <x:v>0.78</x:v>
      </x:c>
      <x:c r="V246" t="s">
        <x:v>113</x:v>
      </x:c>
      <x:c r="W246" s="20">
        <x:v>19.05</x:v>
      </x:c>
      <x:c r="X246" s="21">
        <x:f t="shared" si="239"/>
        <x:v>6514.6380000000008</x:v>
      </x:c>
      <x:c r="Y246" s="21" t="n">
        <x:f>8.19*T246/1000</x:f>
        <x:v>4023.7469999999994</x:v>
      </x:c>
      <x:c r="Z246" s="21">
        <x:f t="shared" si="240"/>
        <x:v>982.6</x:v>
      </x:c>
      <x:c r="AA246" s="21" t="n">
        <x:f>W246/100*(1-0.25)*0.23*T246</x:f>
        <x:v>16144.732125</x:v>
      </x:c>
      <x:c r="AB246" s="21" t="n">
        <x:f>W246/100*(1-0.25)*0.06*T246</x:f>
        <x:v>4211.66925</x:v>
      </x:c>
      <x:c r="AC246" s="21" t="n">
        <x:f t="shared" ref="AC246:AC257" si="245">0.002*AB246</x:f>
        <x:v>8.4233385</x:v>
      </x:c>
      <x:c r="AD246" s="21"/>
      <x:c r="AE246" s="21">
        <x:f t="shared" si="242"/>
        <x:v>19.652000000000001</x:v>
      </x:c>
      <x:c r="AF246" s="21"/>
      <x:c r="AG246" s="19" t="s">
        <x:v>176</x:v>
      </x:c>
      <x:c r="AH246" s="18">
        <x:v>244.1</x:v>
      </x:c>
      <x:c r="AI246" t="s">
        <x:v>112</x:v>
      </x:c>
      <x:c r="AJ246" s="19" t="n">
        <x:f t="shared" ref="AJ246:AJ250" si="246">AH246</x:f>
        <x:v>244.1</x:v>
      </x:c>
      <x:c r="AK246" s="20">
        <x:v>1E-3</x:v>
      </x:c>
      <x:c r="AL246" t="s">
        <x:v>113</x:v>
      </x:c>
      <x:c r="AM246" s="20">
        <x:v>0</x:v>
      </x:c>
      <x:c r="AN246" s="21" t="n">
        <x:f>2*AK246/100*AJ246</x:f>
        <x:v>0.004882</x:v>
      </x:c>
      <x:c r="AO246" s="21" t="n">
        <x:f>7.4*AJ246/1000</x:f>
        <x:v>1.80634</x:v>
      </x:c>
      <x:c r="AP246" s="21" t="n">
        <x:f>0.6*AJ246/1000</x:f>
        <x:v>0.14645999999999998</x:v>
      </x:c>
      <x:c r="AQ246" s="21" t="n">
        <x:f>0.5*AJ246/1000</x:f>
        <x:v>0.12204999999999999</x:v>
      </x:c>
      <x:c r="AR246" s="21" t="n">
        <x:f>0.5*AJ246/1000</x:f>
        <x:v>0.12204999999999999</x:v>
      </x:c>
      <x:c r="AS246" s="21" t="n">
        <x:f>0.01*AJ246/1000</x:f>
        <x:v>0.002441</x:v>
      </x:c>
      <x:c r="AT246" s="21" t="n">
        <x:f>0.04*AJ246/1000</x:f>
        <x:v>0.009764</x:v>
      </x:c>
      <x:c r="AU246" s="21" t="n">
        <x:f>0.13*AJ246/1000</x:f>
        <x:v>0.031733</x:v>
      </x:c>
      <x:c r="AV246" s="21"/>
      <x:c r="AW246" t="s">
        <x:v>78</x:v>
      </x:c>
      <x:c r="AX246" s="19"/>
      <x:c r="AY246" s="21"/>
      <x:c r="AZ246" s="21"/>
      <x:c r="BA246" s="21"/>
      <x:c r="BB246" s="21"/>
      <x:c r="BC246" s="21"/>
      <x:c r="BD246" s="21"/>
      <x:c r="BE246" s="21"/>
      <x:c r="BF246" s="21"/>
      <x:c r="BG246" s="21"/>
      <x:c r="BH246" t="s">
        <x:v>81</x:v>
      </x:c>
      <x:c r="BI246" s="18">
        <x:v>110</x:v>
      </x:c>
      <x:c r="BJ246" s="18">
        <x:v>52</x:v>
      </x:c>
      <x:c r="BK246" s="18">
        <x:v>35.54</x:v>
      </x:c>
      <x:c r="BL246" s="18">
        <x:v>21</x:v>
      </x:c>
      <x:c r="BM246" s="18">
        <x:v>40</x:v>
      </x:c>
      <x:c r="BN246" s="18">
        <x:v>32.56</x:v>
      </x:c>
      <x:c r="BO246" s="22">
        <x:v>110.876538888889</x:v>
      </x:c>
      <x:c r="BP246" s="22">
        <x:v>21.675711111111099</x:v>
      </x:c>
      <x:c r="BQ246" s="18">
        <x:v>210</x:v>
      </x:c>
      <x:c r="BR246" s="18">
        <x:v>433526</x:v>
      </x:c>
      <x:c r="BS246" s="18">
        <x:v>8354.17</x:v>
      </x:c>
      <x:c r="BT246" s="18">
        <x:v>71.221000000000004</x:v>
      </x:c>
      <x:c r="BU246" s="18">
        <x:v>1578.5329999999999</x:v>
      </x:c>
      <x:c r="BV246" s="18">
        <x:v>117.718</x:v>
      </x:c>
      <x:c r="BW246" s="18">
        <x:v>38.658999999999999</x:v>
      </x:c>
      <x:c r="BX246" s="18">
        <x:v>7.09</x:v>
      </x:c>
      <x:c r="BY246" s="18">
        <x:v>5797.34</x:v>
      </x:c>
      <x:c r="BZ246" s="18">
        <x:v>5797.34</x:v>
      </x:c>
      <x:c r="CA246" s="23">
        <x:f t="shared" si="184"/>
        <x:v>6514.642882000001</x:v>
      </x:c>
      <x:c r="CB246" s="23">
        <x:f t="shared" si="185"/>
        <x:v>4025.5533399999995</x:v>
      </x:c>
      <x:c r="CC246" s="23">
        <x:f t="shared" si="186"/>
        <x:v>982.74646000000007</x:v>
      </x:c>
      <x:c r="CD246" s="23">
        <x:f t="shared" si="187"/>
        <x:v>16144.854175</x:v>
      </x:c>
      <x:c r="CE246" s="23">
        <x:f t="shared" si="188"/>
        <x:v>4211.7912999999999</x:v>
      </x:c>
      <x:c r="CF246" s="23">
        <x:f t="shared" si="189"/>
        <x:v>8.4257794999999991</x:v>
      </x:c>
      <x:c r="CG246" s="23">
        <x:f t="shared" si="190"/>
        <x:v>9.7640000000000001E-3</x:v>
      </x:c>
      <x:c r="CH246" s="23">
        <x:f t="shared" si="191"/>
        <x:v>19.683733</x:v>
      </x:c>
      <x:c r="CI246" s="23">
        <x:f t="shared" si="192"/>
        <x:v>0</x:v>
      </x:c>
      <x:c r="CJ246" s="24" t="s">
        <x:v>356</x:v>
      </x:c>
      <x:c r="CK246" s="29">
        <x:v>99.18</x:v>
      </x:c>
      <x:c r="CL246" s="26" t="s">
        <x:v>97</x:v>
      </x:c>
      <x:c r="CM246" s="28">
        <x:v>75</x:v>
      </x:c>
      <x:c r="CN246" s="30" t="s">
        <x:v>351</x:v>
      </x:c>
      <x:c r="CO246" s="27">
        <x:v>98.9</x:v>
      </x:c>
      <x:c r="CP246" s="27">
        <x:v>97</x:v>
      </x:c>
      <x:c r="CQ246" s="26">
        <x:f t="shared" si="193"/>
        <x:v>53.42007163239991</x:v>
      </x:c>
      <x:c r="CR246" s="26">
        <x:f t="shared" si="194"/>
        <x:v>1006.3883349999999</x:v>
      </x:c>
      <x:c r="CS246" s="26">
        <x:f t="shared" si="202"/>
        <x:v>982.74646000000007</x:v>
      </x:c>
      <x:c r="CT246" s="26">
        <x:f t="shared" si="219"/>
        <x:v>177.59339592499836</x:v>
      </x:c>
      <x:c r="CU246" s="26">
        <x:f t="shared" si="220"/>
        <x:v>126.3537390000001</x:v>
      </x:c>
      <x:c r="CV246" s="26">
        <x:f t="shared" si="221"/>
        <x:v>0.25277338500000018</x:v>
      </x:c>
      <x:c r="CW246" s="26">
        <x:f t="shared" si="222"/>
        <x:v>2.9292000000000028E-4</x:v>
      </x:c>
      <x:c r="CX246" s="26">
        <x:f t="shared" si="203"/>
        <x:v>19.683733</x:v>
      </x:c>
      <x:c r="CY246" s="26">
        <x:f t="shared" si="204"/>
        <x:v>0</x:v>
      </x:c>
    </x:row>
    <x:row r="247">
      <x:c r="A247" s="18">
        <x:v>2022</x:v>
      </x:c>
      <x:c r="B247" t="s">
        <x:v>534</x:v>
      </x:c>
      <x:c r="C247" t="s">
        <x:v>535</x:v>
      </x:c>
      <x:c r="D247" t="s">
        <x:v>536</x:v>
      </x:c>
      <x:c r="E247" s="18">
        <x:v>440902</x:v>
      </x:c>
      <x:c r="F247" t="s">
        <x:v>525</x:v>
      </x:c>
      <x:c r="G247" t="s">
        <x:v>526</x:v>
      </x:c>
      <x:c r="H247" s="18">
        <x:v>4412</x:v>
      </x:c>
      <x:c r="I247" t="s">
        <x:v>108</x:v>
      </x:c>
      <x:c r="J247" t="s">
        <x:v>537</x:v>
      </x:c>
      <x:c r="K247" t="s">
        <x:v>109</x:v>
      </x:c>
      <x:c r="L247" s="20">
        <x:v>33</x:v>
      </x:c>
      <x:c r="M247" t="s">
        <x:v>110</x:v>
      </x:c>
      <x:c r="N247" s="18">
        <x:v>1025</x:v>
      </x:c>
      <x:c r="O247" t="s">
        <x:v>88</x:v>
      </x:c>
      <x:c r="P247" s="18">
        <x:v>4</x:v>
      </x:c>
      <x:c r="Q247" s="19" t="s">
        <x:v>111</x:v>
      </x:c>
      <x:c r="R247" s="18">
        <x:v>624499</x:v>
      </x:c>
      <x:c r="S247" t="s">
        <x:v>112</x:v>
      </x:c>
      <x:c r="T247" s="19">
        <x:f t="shared" si="238"/>
        <x:v>624499</x:v>
      </x:c>
      <x:c r="U247" s="20">
        <x:v>0.86</x:v>
      </x:c>
      <x:c r="V247" t="s">
        <x:v>113</x:v>
      </x:c>
      <x:c r="W247" s="20">
        <x:v>20.85</x:v>
      </x:c>
      <x:c r="X247" s="21">
        <x:f t="shared" si="239"/>
        <x:v>9130.1753799999988</x:v>
      </x:c>
      <x:c r="Y247" s="21" t="n">
        <x:f>7.21*T247/1000</x:f>
        <x:v>4502.63779</x:v>
      </x:c>
      <x:c r="Z247" s="21">
        <x:f t="shared" si="240"/>
        <x:v>1248.998</x:v>
      </x:c>
      <x:c r="AA247" s="21" t="n">
        <x:f>W247/100*(1-0.25)*0.23*T247</x:f>
        <x:v>22460.887158750003</x:v>
      </x:c>
      <x:c r="AB247" s="21" t="n">
        <x:f>W247/100*(1-0.25)*0.06*T247</x:f>
        <x:v>5859.3618675</x:v>
      </x:c>
      <x:c r="AC247" s="21">
        <x:f t="shared" si="245"/>
        <x:v>11.718723734999999</x:v>
      </x:c>
      <x:c r="AD247" s="21"/>
      <x:c r="AE247" s="21">
        <x:f t="shared" si="242"/>
        <x:v>24.979959999999998</x:v>
      </x:c>
      <x:c r="AF247" s="21"/>
      <x:c r="AG247" s="19" t="s">
        <x:v>176</x:v>
      </x:c>
      <x:c r="AH247" s="18">
        <x:v>144.1</x:v>
      </x:c>
      <x:c r="AI247" t="s">
        <x:v>112</x:v>
      </x:c>
      <x:c r="AJ247" s="19">
        <x:f t="shared" si="246"/>
        <x:v>144.1</x:v>
      </x:c>
      <x:c r="AK247" s="20">
        <x:v>1E-3</x:v>
      </x:c>
      <x:c r="AL247" t="s">
        <x:v>113</x:v>
      </x:c>
      <x:c r="AM247" s="20">
        <x:v>0</x:v>
      </x:c>
      <x:c r="AN247" s="21" t="n">
        <x:f>2*AK247/100*AJ247</x:f>
        <x:v>0.002882</x:v>
      </x:c>
      <x:c r="AO247" s="21" t="n">
        <x:f>7.4*AJ247/1000</x:f>
        <x:v>1.0663399999999998</x:v>
      </x:c>
      <x:c r="AP247" s="21" t="n">
        <x:f>0.6*AJ247/1000</x:f>
        <x:v>0.08646</x:v>
      </x:c>
      <x:c r="AQ247" s="21" t="n">
        <x:f>0.5*AJ247/1000</x:f>
        <x:v>0.07205</x:v>
      </x:c>
      <x:c r="AR247" s="21" t="n">
        <x:f>0.5*AJ247/1000</x:f>
        <x:v>0.07205</x:v>
      </x:c>
      <x:c r="AS247" s="21" t="n">
        <x:f>0.01*AJ247/1000</x:f>
        <x:v>0.001441</x:v>
      </x:c>
      <x:c r="AT247" s="21" t="n">
        <x:f>0.04*AJ247/1000</x:f>
        <x:v>0.005764</x:v>
      </x:c>
      <x:c r="AU247" s="21" t="n">
        <x:f>0.13*AJ247/1000</x:f>
        <x:v>0.018733</x:v>
      </x:c>
      <x:c r="AV247" s="21"/>
      <x:c r="AW247" t="s">
        <x:v>78</x:v>
      </x:c>
      <x:c r="AX247" s="19"/>
      <x:c r="AY247" s="21"/>
      <x:c r="AZ247" s="21"/>
      <x:c r="BA247" s="21"/>
      <x:c r="BB247" s="21"/>
      <x:c r="BC247" s="21"/>
      <x:c r="BD247" s="21"/>
      <x:c r="BE247" s="21"/>
      <x:c r="BF247" s="21"/>
      <x:c r="BG247" s="21"/>
      <x:c r="BH247" t="s">
        <x:v>79</x:v>
      </x:c>
      <x:c r="BI247" s="18">
        <x:v>110</x:v>
      </x:c>
      <x:c r="BJ247" s="18">
        <x:v>52</x:v>
      </x:c>
      <x:c r="BK247" s="18">
        <x:v>35.54</x:v>
      </x:c>
      <x:c r="BL247" s="18">
        <x:v>21</x:v>
      </x:c>
      <x:c r="BM247" s="18">
        <x:v>40</x:v>
      </x:c>
      <x:c r="BN247" s="18">
        <x:v>32.56</x:v>
      </x:c>
      <x:c r="BO247" s="22">
        <x:v>110.876538888889</x:v>
      </x:c>
      <x:c r="BP247" s="22">
        <x:v>21.675711111111099</x:v>
      </x:c>
      <x:c r="BQ247" s="18">
        <x:v>210</x:v>
      </x:c>
      <x:c r="BR247" s="18">
        <x:v>630482</x:v>
      </x:c>
      <x:c r="BS247" s="18">
        <x:v>12662.778</x:v>
      </x:c>
      <x:c r="BT247" s="18">
        <x:v>87.087999999999994</x:v>
      </x:c>
      <x:c r="BU247" s="18">
        <x:v>1816.13</x:v>
      </x:c>
      <x:c r="BV247" s="18">
        <x:v>160.72800000000001</x:v>
      </x:c>
      <x:c r="BW247" s="18">
        <x:v>65.512</x:v>
      </x:c>
      <x:c r="BX247" s="18">
        <x:v>6.548</x:v>
      </x:c>
      <x:c r="BY247" s="18">
        <x:v>7369.0879999999997</x:v>
      </x:c>
      <x:c r="BZ247" s="18">
        <x:v>7369.0879999999997</x:v>
      </x:c>
      <x:c r="CA247" s="23">
        <x:f t="shared" si="184"/>
        <x:v>9130.1782619999994</x:v>
      </x:c>
      <x:c r="CB247" s="23">
        <x:f t="shared" si="185"/>
        <x:v>4503.7041300000001</x:v>
      </x:c>
      <x:c r="CC247" s="23">
        <x:f t="shared" si="186"/>
        <x:v>1249.08446</x:v>
      </x:c>
      <x:c r="CD247" s="23">
        <x:f t="shared" si="187"/>
        <x:v>22460.959208750002</x:v>
      </x:c>
      <x:c r="CE247" s="23">
        <x:f t="shared" si="188"/>
        <x:v>5859.4339174999996</x:v>
      </x:c>
      <x:c r="CF247" s="23">
        <x:f t="shared" si="189"/>
        <x:v>11.720164734999999</x:v>
      </x:c>
      <x:c r="CG247" s="23">
        <x:f t="shared" si="190"/>
        <x:v>5.764E-3</x:v>
      </x:c>
      <x:c r="CH247" s="23">
        <x:f t="shared" si="191"/>
        <x:v>24.998692999999999</x:v>
      </x:c>
      <x:c r="CI247" s="23">
        <x:f t="shared" si="192"/>
        <x:v>0</x:v>
      </x:c>
      <x:c r="CJ247" s="24" t="s">
        <x:v>356</x:v>
      </x:c>
      <x:c r="CK247" s="29">
        <x:v>99.18</x:v>
      </x:c>
      <x:c r="CL247" s="26" t="s">
        <x:v>97</x:v>
      </x:c>
      <x:c r="CM247" s="28">
        <x:v>75</x:v>
      </x:c>
      <x:c r="CN247" s="30" t="s">
        <x:v>351</x:v>
      </x:c>
      <x:c r="CO247" s="27">
        <x:v>98.9</x:v>
      </x:c>
      <x:c r="CP247" s="27">
        <x:v>97</x:v>
      </x:c>
      <x:c r="CQ247" s="26">
        <x:f t="shared" si="193"/>
        <x:v>74.867461748399862</x:v>
      </x:c>
      <x:c r="CR247" s="26">
        <x:f t="shared" si="194"/>
        <x:v>1125.9260325</x:v>
      </x:c>
      <x:c r="CS247" s="26">
        <x:f t="shared" si="202"/>
        <x:v>1249.08446</x:v>
      </x:c>
      <x:c r="CT247" s="26">
        <x:f t="shared" si="219"/>
        <x:v>247.07055129624774</x:v>
      </x:c>
      <x:c r="CU247" s="26">
        <x:f t="shared" si="220"/>
        <x:v>175.78301752500013</x:v>
      </x:c>
      <x:c r="CV247" s="26">
        <x:f t="shared" si="221"/>
        <x:v>0.35160494205000031</x:v>
      </x:c>
      <x:c r="CW247" s="26">
        <x:f t="shared" si="222"/>
        <x:v>1.7292000000000015E-4</x:v>
      </x:c>
      <x:c r="CX247" s="26">
        <x:f t="shared" si="203"/>
        <x:v>24.998692999999999</x:v>
      </x:c>
      <x:c r="CY247" s="26">
        <x:f t="shared" si="204"/>
        <x:v>0</x:v>
      </x:c>
    </x:row>
    <x:row r="248">
      <x:c r="A248" s="18">
        <x:v>2022</x:v>
      </x:c>
      <x:c r="B248" t="s">
        <x:v>534</x:v>
      </x:c>
      <x:c r="C248" t="s">
        <x:v>535</x:v>
      </x:c>
      <x:c r="D248" t="s">
        <x:v>536</x:v>
      </x:c>
      <x:c r="E248" s="18">
        <x:v>440902</x:v>
      </x:c>
      <x:c r="F248" t="s">
        <x:v>525</x:v>
      </x:c>
      <x:c r="G248" t="s">
        <x:v>526</x:v>
      </x:c>
      <x:c r="H248" s="18">
        <x:v>4412</x:v>
      </x:c>
      <x:c r="I248" t="s">
        <x:v>108</x:v>
      </x:c>
      <x:c r="J248" t="s">
        <x:v>537</x:v>
      </x:c>
      <x:c r="K248" t="s">
        <x:v>109</x:v>
      </x:c>
      <x:c r="L248" s="20">
        <x:v>60</x:v>
      </x:c>
      <x:c r="M248" t="s">
        <x:v>110</x:v>
      </x:c>
      <x:c r="N248" s="18">
        <x:v>1920</x:v>
      </x:c>
      <x:c r="O248" t="s">
        <x:v>88</x:v>
      </x:c>
      <x:c r="P248" s="18">
        <x:v>4</x:v>
      </x:c>
      <x:c r="Q248" s="19" t="s">
        <x:v>111</x:v>
      </x:c>
      <x:c r="R248" s="18">
        <x:v>1335259</x:v>
      </x:c>
      <x:c r="S248" t="s">
        <x:v>112</x:v>
      </x:c>
      <x:c r="T248" s="19">
        <x:f t="shared" si="238"/>
        <x:v>1335259</x:v>
      </x:c>
      <x:c r="U248" s="20">
        <x:v>1</x:v>
      </x:c>
      <x:c r="V248" t="s">
        <x:v>113</x:v>
      </x:c>
      <x:c r="W248" s="20">
        <x:v>21.58</x:v>
      </x:c>
      <x:c r="X248" s="21">
        <x:f t="shared" si="239"/>
        <x:v>22699.403000000002</x:v>
      </x:c>
      <x:c r="Y248" s="21" t="n">
        <x:f>7.21*T248/1000</x:f>
        <x:v>9627.21739</x:v>
      </x:c>
      <x:c r="Z248" s="21">
        <x:f t="shared" si="240"/>
        <x:v>2670.518</x:v>
      </x:c>
      <x:c r="AA248" s="21" t="n">
        <x:f>W248/100*(1-0.25)*0.23*T248</x:f>
        <x:v>49705.6839045</x:v>
      </x:c>
      <x:c r="AB248" s="21" t="n">
        <x:f>W248/100*(1-0.25)*0.06*T248</x:f>
        <x:v>12966.700148999998</x:v>
      </x:c>
      <x:c r="AC248" s="21">
        <x:f t="shared" si="245"/>
        <x:v>25.933400297999999</x:v>
      </x:c>
      <x:c r="AD248" s="21"/>
      <x:c r="AE248" s="21">
        <x:f t="shared" si="242"/>
        <x:v>53.410359999999997</x:v>
      </x:c>
      <x:c r="AF248" s="21"/>
      <x:c r="AG248" s="19" t="s">
        <x:v>176</x:v>
      </x:c>
      <x:c r="AH248" s="18">
        <x:v>27</x:v>
      </x:c>
      <x:c r="AI248" t="s">
        <x:v>112</x:v>
      </x:c>
      <x:c r="AJ248" s="19">
        <x:f t="shared" si="246"/>
        <x:v>27</x:v>
      </x:c>
      <x:c r="AK248" s="20">
        <x:v>1E-3</x:v>
      </x:c>
      <x:c r="AL248" t="s">
        <x:v>113</x:v>
      </x:c>
      <x:c r="AM248" s="20">
        <x:v>0</x:v>
      </x:c>
      <x:c r="AN248" s="21" t="n">
        <x:f>2*AK248/100*AJ248</x:f>
        <x:v>0.00054</x:v>
      </x:c>
      <x:c r="AO248" s="21" t="n">
        <x:f>7.4*AJ248/1000</x:f>
        <x:v>0.1998</x:v>
      </x:c>
      <x:c r="AP248" s="21" t="n">
        <x:f>0.6*AJ248/1000</x:f>
        <x:v>0.0162</x:v>
      </x:c>
      <x:c r="AQ248" s="21" t="n">
        <x:f>0.5*AJ248/1000</x:f>
        <x:v>0.0135</x:v>
      </x:c>
      <x:c r="AR248" s="21" t="n">
        <x:f>0.5*AJ248/1000</x:f>
        <x:v>0.0135</x:v>
      </x:c>
      <x:c r="AS248" s="21" t="n">
        <x:f>0.01*AJ248/1000</x:f>
        <x:v>0.00027</x:v>
      </x:c>
      <x:c r="AT248" s="21" t="n">
        <x:f>0.04*AJ248/1000</x:f>
        <x:v>0.00108</x:v>
      </x:c>
      <x:c r="AU248" s="21" t="n">
        <x:f>0.13*AJ248/1000</x:f>
        <x:v>0.00351</x:v>
      </x:c>
      <x:c r="AV248" s="21"/>
      <x:c r="AW248" t="s">
        <x:v>78</x:v>
      </x:c>
      <x:c r="AX248" s="19"/>
      <x:c r="AY248" s="21"/>
      <x:c r="AZ248" s="21"/>
      <x:c r="BA248" s="21"/>
      <x:c r="BB248" s="21"/>
      <x:c r="BC248" s="21"/>
      <x:c r="BD248" s="21"/>
      <x:c r="BE248" s="21"/>
      <x:c r="BF248" s="21"/>
      <x:c r="BG248" s="21"/>
      <x:c r="BH248" t="s">
        <x:v>82</x:v>
      </x:c>
      <x:c r="BI248" s="18">
        <x:v>110</x:v>
      </x:c>
      <x:c r="BJ248" s="18">
        <x:v>52</x:v>
      </x:c>
      <x:c r="BK248" s="18">
        <x:v>44.76</x:v>
      </x:c>
      <x:c r="BL248" s="18">
        <x:v>21</x:v>
      </x:c>
      <x:c r="BM248" s="18">
        <x:v>40</x:v>
      </x:c>
      <x:c r="BN248" s="18">
        <x:v>34.86</x:v>
      </x:c>
      <x:c r="BO248" s="22">
        <x:v>110.87909999999999</x:v>
      </x:c>
      <x:c r="BP248" s="22">
        <x:v>21.676349999999999</x:v>
      </x:c>
      <x:c r="BQ248" s="18">
        <x:v>240</x:v>
      </x:c>
      <x:c r="BR248" s="18">
        <x:v>1269037</x:v>
      </x:c>
      <x:c r="BS248" s="18">
        <x:v>29245.131000000001</x:v>
      </x:c>
      <x:c r="BT248" s="18">
        <x:v>176.155</x:v>
      </x:c>
      <x:c r="BU248" s="18">
        <x:v>3476.4540000000002</x:v>
      </x:c>
      <x:c r="BV248" s="18">
        <x:v>311.221</x:v>
      </x:c>
      <x:c r="BW248" s="18">
        <x:v>27.603999999999999</x:v>
      </x:c>
      <x:c r="BX248" s="18">
        <x:v>12.41</x:v>
      </x:c>
      <x:c r="BY248" s="18">
        <x:v>15756.056</x:v>
      </x:c>
      <x:c r="BZ248" s="18">
        <x:v>15756.056</x:v>
      </x:c>
      <x:c r="CA248" s="23">
        <x:f t="shared" si="184"/>
        <x:v>22699.403540000003</x:v>
      </x:c>
      <x:c r="CB248" s="23">
        <x:f t="shared" si="185"/>
        <x:v>9627.4171900000001</x:v>
      </x:c>
      <x:c r="CC248" s="23">
        <x:f t="shared" si="186"/>
        <x:v>2670.5342000000001</x:v>
      </x:c>
      <x:c r="CD248" s="23">
        <x:f t="shared" si="187"/>
        <x:v>49705.697404500002</x:v>
      </x:c>
      <x:c r="CE248" s="23">
        <x:f t="shared" si="188"/>
        <x:v>12966.713648999998</x:v>
      </x:c>
      <x:c r="CF248" s="23">
        <x:f t="shared" si="189"/>
        <x:v>25.933670297999999</x:v>
      </x:c>
      <x:c r="CG248" s="23">
        <x:f t="shared" si="190"/>
        <x:v>1.08E-3</x:v>
      </x:c>
      <x:c r="CH248" s="23">
        <x:f t="shared" si="191"/>
        <x:v>53.413869999999996</x:v>
      </x:c>
      <x:c r="CI248" s="23">
        <x:f t="shared" si="192"/>
        <x:v>0</x:v>
      </x:c>
      <x:c r="CJ248" s="24" t="s">
        <x:v>356</x:v>
      </x:c>
      <x:c r="CK248" s="29">
        <x:v>99.18</x:v>
      </x:c>
      <x:c r="CL248" s="26" t="s">
        <x:v>97</x:v>
      </x:c>
      <x:c r="CM248" s="28">
        <x:v>75</x:v>
      </x:c>
      <x:c r="CN248" s="30" t="s">
        <x:v>351</x:v>
      </x:c>
      <x:c r="CO248" s="27">
        <x:v>98.9</x:v>
      </x:c>
      <x:c r="CP248" s="27">
        <x:v>97</x:v>
      </x:c>
      <x:c r="CQ248" s="26">
        <x:f t="shared" si="193"/>
        <x:v>186.13510902799968</x:v>
      </x:c>
      <x:c r="CR248" s="26">
        <x:f t="shared" si="194"/>
        <x:v>2406.8542975</x:v>
      </x:c>
      <x:c r="CS248" s="26">
        <x:f t="shared" si="202"/>
        <x:v>2670.5342000000001</x:v>
      </x:c>
      <x:c r="CT248" s="26">
        <x:f t="shared" si="219"/>
        <x:v>546.76267144949497</x:v>
      </x:c>
      <x:c r="CU248" s="26">
        <x:f t="shared" si="220"/>
        <x:v>389.00140947000028</x:v>
      </x:c>
      <x:c r="CV248" s="26">
        <x:f t="shared" si="221"/>
        <x:v>0.77801010894000067</x:v>
      </x:c>
      <x:c r="CW248" s="26">
        <x:f t="shared" si="222"/>
        <x:v>3.2400000000000029E-5</x:v>
      </x:c>
      <x:c r="CX248" s="26">
        <x:f t="shared" si="203"/>
        <x:v>53.413869999999996</x:v>
      </x:c>
      <x:c r="CY248" s="26">
        <x:f t="shared" si="204"/>
        <x:v>0</x:v>
      </x:c>
    </x:row>
    <x:row r="249">
      <x:c r="A249" s="18">
        <x:v>2022</x:v>
      </x:c>
      <x:c r="B249" t="s">
        <x:v>538</x:v>
      </x:c>
      <x:c r="C249" t="s">
        <x:v>539</x:v>
      </x:c>
      <x:c r="D249" t="s">
        <x:v>540</x:v>
      </x:c>
      <x:c r="E249" s="18">
        <x:v>440961</x:v>
      </x:c>
      <x:c r="F249" t="s">
        <x:v>541</x:v>
      </x:c>
      <x:c r="G249" t="s">
        <x:v>526</x:v>
      </x:c>
      <x:c r="H249" s="18">
        <x:v>4411</x:v>
      </x:c>
      <x:c r="I249" t="s">
        <x:v>102</x:v>
      </x:c>
      <x:c r="J249" t="s">
        <x:v>542</x:v>
      </x:c>
      <x:c r="K249" t="s">
        <x:v>109</x:v>
      </x:c>
      <x:c r="L249" s="20">
        <x:v>5</x:v>
      </x:c>
      <x:c r="M249" t="s">
        <x:v>125</x:v>
      </x:c>
      <x:c r="N249" s="18">
        <x:v>410</x:v>
      </x:c>
      <x:c r="O249" t="s">
        <x:v>74</x:v>
      </x:c>
      <x:c r="P249" s="18">
        <x:v>4</x:v>
      </x:c>
      <x:c r="Q249" s="19" t="s">
        <x:v>111</x:v>
      </x:c>
      <x:c r="R249" s="18">
        <x:v>105301.90399999999</x:v>
      </x:c>
      <x:c r="S249" t="s">
        <x:v>112</x:v>
      </x:c>
      <x:c r="T249" s="19">
        <x:f t="shared" si="238"/>
        <x:v>105301.90399999999</x:v>
      </x:c>
      <x:c r="U249" s="20">
        <x:v>0.77</x:v>
      </x:c>
      <x:c r="V249" t="s">
        <x:v>113</x:v>
      </x:c>
      <x:c r="W249" s="20">
        <x:v>23.03</x:v>
      </x:c>
      <x:c r="X249" s="21">
        <x:f t="shared" si="239"/>
        <x:v>1378.40192336</x:v>
      </x:c>
      <x:c r="Y249" s="21" t="n">
        <x:f t="shared" ref="Y249:Y257" si="247">8.96*T249/1000</x:f>
        <x:v>943.5050598400001</x:v>
      </x:c>
      <x:c r="Z249" s="21">
        <x:f t="shared" si="240"/>
        <x:v>210.60380799999999</x:v>
      </x:c>
      <x:c r="AA249" s="21" t="n">
        <x:f t="shared" ref="AA249:AA257" si="248">W249/100*(1-0.44)*0.29*T249</x:f>
        <x:v>3938.3670269708805</x:v>
      </x:c>
      <x:c r="AB249" s="21" t="n">
        <x:f t="shared" ref="AB249:AB257" si="249">W249/100*(1-0.44)*0.07*T249</x:f>
        <x:v>950.6403168550403</x:v>
      </x:c>
      <x:c r="AC249" s="21">
        <x:f t="shared" si="245"/>
        <x:v>1.9012806337100807</x:v>
      </x:c>
      <x:c r="AD249" s="21"/>
      <x:c r="AE249" s="21">
        <x:f t="shared" si="242"/>
        <x:v>4.2120761599999996</x:v>
      </x:c>
      <x:c r="AF249" s="21"/>
      <x:c r="AG249" s="19" t="s">
        <x:v>126</x:v>
      </x:c>
      <x:c r="AH249" s="18">
        <x:v>84772.737999999998</x:v>
      </x:c>
      <x:c r="AI249" t="s">
        <x:v>112</x:v>
      </x:c>
      <x:c r="AJ249" s="19">
        <x:f t="shared" si="246"/>
        <x:v>84772.737999999998</x:v>
      </x:c>
      <x:c r="AK249" s="20">
        <x:v>4</x:v>
      </x:c>
      <x:c r="AL249" t="s">
        <x:v>113</x:v>
      </x:c>
      <x:c r="AM249" s="20">
        <x:v>0.71</x:v>
      </x:c>
      <x:c r="AN249" s="21" t="n">
        <x:f>2*AK249/100*(1-0.15)*AJ249</x:f>
        <x:v>5764.546184</x:v>
      </x:c>
      <x:c r="AO249" s="21" t="n">
        <x:f>8.85*AJ249/1000</x:f>
        <x:v>750.2387313</x:v>
      </x:c>
      <x:c r="AP249" s="21" t="n">
        <x:f>2*AJ249/1000</x:f>
        <x:v>169.545476</x:v>
      </x:c>
      <x:c r="AQ249" s="21" t="n">
        <x:f>AM249/100*(1-0.44)*0.29*AJ249</x:f>
        <x:v>97.74635782351999</x:v>
      </x:c>
      <x:c r="AR249" s="21" t="n">
        <x:f>AM249/100*(1-0.44)*0.07*AJ249</x:f>
        <x:v>23.593948440160002</x:v>
      </x:c>
      <x:c r="AS249" s="21" t="n">
        <x:f t="shared" ref="AS249:AS250" si="250">0.002*AR249</x:f>
        <x:v>0.047187896880320004</x:v>
      </x:c>
      <x:c r="AT249" s="21"/>
      <x:c r="AU249" s="21" t="n">
        <x:f>0.04*AJ249/1000</x:f>
        <x:v>3.39090952</x:v>
      </x:c>
      <x:c r="AV249" s="21"/>
      <x:c r="AW249" t="s">
        <x:v>78</x:v>
      </x:c>
      <x:c r="AX249" s="19"/>
      <x:c r="AY249" s="21"/>
      <x:c r="AZ249" s="21"/>
      <x:c r="BA249" s="21"/>
      <x:c r="BB249" s="21"/>
      <x:c r="BC249" s="21"/>
      <x:c r="BD249" s="21"/>
      <x:c r="BE249" s="21"/>
      <x:c r="BF249" s="21"/>
      <x:c r="BG249" s="21"/>
      <x:c r="BH249" t="s">
        <x:v>81</x:v>
      </x:c>
      <x:c r="BI249" s="18">
        <x:v>110</x:v>
      </x:c>
      <x:c r="BJ249" s="18">
        <x:v>57</x:v>
      </x:c>
      <x:c r="BK249" s="18">
        <x:v>29</x:v>
      </x:c>
      <x:c r="BL249" s="18">
        <x:v>21</x:v>
      </x:c>
      <x:c r="BM249" s="18">
        <x:v>34</x:v>
      </x:c>
      <x:c r="BN249" s="18">
        <x:v>25</x:v>
      </x:c>
      <x:c r="BO249" s="22">
        <x:v>110.958055555556</x:v>
      </x:c>
      <x:c r="BP249" s="22">
        <x:v>21.573611111111099</x:v>
      </x:c>
      <x:c r="BQ249" s="18">
        <x:v>150</x:v>
      </x:c>
      <x:c r="BR249" s="18">
        <x:v>380758.43</x:v>
      </x:c>
      <x:c r="BS249" s="18">
        <x:v>2667.904</x:v>
      </x:c>
      <x:c r="BT249" s="18">
        <x:v>11.603</x:v>
      </x:c>
      <x:c r="BU249" s="18">
        <x:v>499.83600000000001</x:v>
      </x:c>
      <x:c r="BV249" s="18">
        <x:v>95.451999999999998</x:v>
      </x:c>
      <x:c r="BW249" s="18">
        <x:v>37217.442000000003</x:v>
      </x:c>
      <x:c r="BX249" s="18">
        <x:v>11.063000000000001</x:v>
      </x:c>
      <x:c r="BY249" s="18">
        <x:v>3499.078</x:v>
      </x:c>
      <x:c r="BZ249" s="18">
        <x:v>3499.078</x:v>
      </x:c>
      <x:c r="CA249" s="23">
        <x:f t="shared" si="184"/>
        <x:v>7142.94810736</x:v>
      </x:c>
      <x:c r="CB249" s="23">
        <x:f t="shared" si="185"/>
        <x:v>1693.7437911400002</x:v>
      </x:c>
      <x:c r="CC249" s="23">
        <x:f t="shared" si="186"/>
        <x:v>380.14928399999997</x:v>
      </x:c>
      <x:c r="CD249" s="23">
        <x:f t="shared" si="187"/>
        <x:v>4036.1133847944006</x:v>
      </x:c>
      <x:c r="CE249" s="23">
        <x:f t="shared" si="188"/>
        <x:v>974.23426529520032</x:v>
      </x:c>
      <x:c r="CF249" s="23">
        <x:f t="shared" si="189"/>
        <x:v>1.9484685305904008</x:v>
      </x:c>
      <x:c r="CG249" s="23">
        <x:f t="shared" si="190"/>
        <x:v>0</x:v>
      </x:c>
      <x:c r="CH249" s="23">
        <x:f t="shared" si="191"/>
        <x:v>7.6029856799999997</x:v>
      </x:c>
      <x:c r="CI249" s="23">
        <x:f t="shared" si="192"/>
        <x:v>0</x:v>
      </x:c>
      <x:c r="CJ249" s="24" t="s">
        <x:v>180</x:v>
      </x:c>
      <x:c r="CK249" s="29">
        <x:v>99.92</x:v>
      </x:c>
      <x:c r="CL249" s="26" t="s">
        <x:v>78</x:v>
      </x:c>
      <x:c r="CM249" s="26" t="n">
        <x:f>(1-BV249/BU249)*100</x:f>
        <x:v>80.90333629430452</x:v>
      </x:c>
      <x:c r="CN249" s="30" t="s">
        <x:v>543</x:v>
      </x:c>
      <x:c r="CO249" s="27">
        <x:v>98.9</x:v>
      </x:c>
      <x:c r="CP249" s="27">
        <x:v>97</x:v>
      </x:c>
      <x:c r="CQ249" s="26">
        <x:f t="shared" si="193"/>
        <x:v>5.7143584858881633</x:v>
      </x:c>
      <x:c r="CR249" s="26">
        <x:f t="shared" si="194"/>
        <x:v>323.44855583010292</x:v>
      </x:c>
      <x:c r="CS249" s="26">
        <x:f t="shared" si="202"/>
        <x:v>380.14928399999997</x:v>
      </x:c>
      <x:c r="CT249" s="26">
        <x:f t="shared" si="219"/>
        <x:v>44.397247232737996</x:v>
      </x:c>
      <x:c r="CU249" s="26">
        <x:f t="shared" si="220"/>
        <x:v>29.227027958856034</x:v>
      </x:c>
      <x:c r="CV249" s="26">
        <x:f t="shared" si="221"/>
        <x:v>5.8454055917712078E-2</x:v>
      </x:c>
      <x:c r="CW249" s="26">
        <x:f t="shared" si="222"/>
        <x:v>0</x:v>
      </x:c>
      <x:c r="CX249" s="26">
        <x:f t="shared" si="203"/>
        <x:v>7.6029856799999997</x:v>
      </x:c>
      <x:c r="CY249" s="26">
        <x:f t="shared" si="204"/>
        <x:v>0</x:v>
      </x:c>
    </x:row>
    <x:row r="250">
      <x:c r="A250" s="18">
        <x:v>2022</x:v>
      </x:c>
      <x:c r="B250" t="s">
        <x:v>538</x:v>
      </x:c>
      <x:c r="C250" t="s">
        <x:v>539</x:v>
      </x:c>
      <x:c r="D250" t="s">
        <x:v>540</x:v>
      </x:c>
      <x:c r="E250" s="18">
        <x:v>440961</x:v>
      </x:c>
      <x:c r="F250" t="s">
        <x:v>541</x:v>
      </x:c>
      <x:c r="G250" t="s">
        <x:v>526</x:v>
      </x:c>
      <x:c r="H250" s="18">
        <x:v>4411</x:v>
      </x:c>
      <x:c r="I250" t="s">
        <x:v>102</x:v>
      </x:c>
      <x:c r="J250" t="s">
        <x:v>542</x:v>
      </x:c>
      <x:c r="K250" t="s">
        <x:v>109</x:v>
      </x:c>
      <x:c r="L250" s="20">
        <x:v>5</x:v>
      </x:c>
      <x:c r="M250" t="s">
        <x:v>125</x:v>
      </x:c>
      <x:c r="N250" s="18">
        <x:v>410</x:v>
      </x:c>
      <x:c r="O250" t="s">
        <x:v>74</x:v>
      </x:c>
      <x:c r="P250" s="18">
        <x:v>4</x:v>
      </x:c>
      <x:c r="Q250" s="19" t="s">
        <x:v>111</x:v>
      </x:c>
      <x:c r="R250" s="18">
        <x:v>105301.90399999999</x:v>
      </x:c>
      <x:c r="S250" t="s">
        <x:v>112</x:v>
      </x:c>
      <x:c r="T250" s="19">
        <x:f t="shared" si="238"/>
        <x:v>105301.90399999999</x:v>
      </x:c>
      <x:c r="U250" s="20">
        <x:v>0.77</x:v>
      </x:c>
      <x:c r="V250" t="s">
        <x:v>113</x:v>
      </x:c>
      <x:c r="W250" s="20">
        <x:v>23.03</x:v>
      </x:c>
      <x:c r="X250" s="21">
        <x:f t="shared" si="239"/>
        <x:v>1378.40192336</x:v>
      </x:c>
      <x:c r="Y250" s="21">
        <x:f t="shared" si="247"/>
        <x:v>943.50505984000006</x:v>
      </x:c>
      <x:c r="Z250" s="21">
        <x:f t="shared" si="240"/>
        <x:v>210.60380799999999</x:v>
      </x:c>
      <x:c r="AA250" s="21">
        <x:f t="shared" si="248"/>
        <x:v>3938.3670269708805</x:v>
      </x:c>
      <x:c r="AB250" s="21">
        <x:f t="shared" si="249"/>
        <x:v>950.64031685504028</x:v>
      </x:c>
      <x:c r="AC250" s="21">
        <x:f t="shared" si="245"/>
        <x:v>1.9012806337100807</x:v>
      </x:c>
      <x:c r="AD250" s="21"/>
      <x:c r="AE250" s="21">
        <x:f t="shared" si="242"/>
        <x:v>4.2120761599999996</x:v>
      </x:c>
      <x:c r="AF250" s="21"/>
      <x:c r="AG250" s="19" t="s">
        <x:v>126</x:v>
      </x:c>
      <x:c r="AH250" s="18">
        <x:v>84772.737999999998</x:v>
      </x:c>
      <x:c r="AI250" t="s">
        <x:v>112</x:v>
      </x:c>
      <x:c r="AJ250" s="19">
        <x:f t="shared" si="246"/>
        <x:v>84772.737999999998</x:v>
      </x:c>
      <x:c r="AK250" s="20">
        <x:v>4</x:v>
      </x:c>
      <x:c r="AL250" t="s">
        <x:v>113</x:v>
      </x:c>
      <x:c r="AM250" s="20">
        <x:v>0.71</x:v>
      </x:c>
      <x:c r="AN250" s="21" t="n">
        <x:f>2*AK250/100*(1-0.15)*AJ250</x:f>
        <x:v>5764.546184</x:v>
      </x:c>
      <x:c r="AO250" s="21" t="n">
        <x:f>8.85*AJ250/1000</x:f>
        <x:v>750.2387313</x:v>
      </x:c>
      <x:c r="AP250" s="21" t="n">
        <x:f>2*AJ250/1000</x:f>
        <x:v>169.545476</x:v>
      </x:c>
      <x:c r="AQ250" s="21" t="n">
        <x:f>AM250/100*(1-0.44)*0.29*AJ250</x:f>
        <x:v>97.74635782351999</x:v>
      </x:c>
      <x:c r="AR250" s="21" t="n">
        <x:f>AM250/100*(1-0.44)*0.07*AJ250</x:f>
        <x:v>23.593948440160002</x:v>
      </x:c>
      <x:c r="AS250" s="21">
        <x:f t="shared" si="250"/>
        <x:v>4.7187896880320004E-2</x:v>
      </x:c>
      <x:c r="AT250" s="21"/>
      <x:c r="AU250" s="21" t="n">
        <x:f>0.04*AJ250/1000</x:f>
        <x:v>3.39090952</x:v>
      </x:c>
      <x:c r="AV250" s="21"/>
      <x:c r="AW250" t="s">
        <x:v>78</x:v>
      </x:c>
      <x:c r="AX250" s="19"/>
      <x:c r="AY250" s="21"/>
      <x:c r="AZ250" s="21"/>
      <x:c r="BA250" s="21"/>
      <x:c r="BB250" s="21"/>
      <x:c r="BC250" s="21"/>
      <x:c r="BD250" s="21"/>
      <x:c r="BE250" s="21"/>
      <x:c r="BF250" s="21"/>
      <x:c r="BG250" s="21"/>
      <x:c r="BH250" t="s">
        <x:v>81</x:v>
      </x:c>
      <x:c r="BI250" s="18">
        <x:v>110</x:v>
      </x:c>
      <x:c r="BJ250" s="18">
        <x:v>57</x:v>
      </x:c>
      <x:c r="BK250" s="18">
        <x:v>29</x:v>
      </x:c>
      <x:c r="BL250" s="18">
        <x:v>21</x:v>
      </x:c>
      <x:c r="BM250" s="18">
        <x:v>34</x:v>
      </x:c>
      <x:c r="BN250" s="18">
        <x:v>25</x:v>
      </x:c>
      <x:c r="BO250" s="22">
        <x:v>110.958055555556</x:v>
      </x:c>
      <x:c r="BP250" s="22">
        <x:v>21.573611111111099</x:v>
      </x:c>
      <x:c r="BQ250" s="18">
        <x:v>150</x:v>
      </x:c>
      <x:c r="BR250" t="s">
        <x:v>78</x:v>
      </x:c>
      <x:c r="BS250" t="s">
        <x:v>78</x:v>
      </x:c>
      <x:c r="BT250" t="s">
        <x:v>78</x:v>
      </x:c>
      <x:c r="BU250" t="s">
        <x:v>78</x:v>
      </x:c>
      <x:c r="BV250" t="s">
        <x:v>78</x:v>
      </x:c>
      <x:c r="BW250" t="s">
        <x:v>78</x:v>
      </x:c>
      <x:c r="BX250" t="s">
        <x:v>78</x:v>
      </x:c>
      <x:c r="BY250" s="18">
        <x:v>3499.078</x:v>
      </x:c>
      <x:c r="BZ250" s="18">
        <x:v>3499.078</x:v>
      </x:c>
      <x:c r="CA250" s="23">
        <x:f t="shared" si="184"/>
        <x:v>7142.94810736</x:v>
      </x:c>
      <x:c r="CB250" s="23">
        <x:f t="shared" si="185"/>
        <x:v>1693.7437911400002</x:v>
      </x:c>
      <x:c r="CC250" s="23">
        <x:f t="shared" si="186"/>
        <x:v>380.14928399999997</x:v>
      </x:c>
      <x:c r="CD250" s="23">
        <x:f t="shared" si="187"/>
        <x:v>4036.1133847944006</x:v>
      </x:c>
      <x:c r="CE250" s="23">
        <x:f t="shared" si="188"/>
        <x:v>974.23426529520032</x:v>
      </x:c>
      <x:c r="CF250" s="23">
        <x:f t="shared" si="189"/>
        <x:v>1.9484685305904008</x:v>
      </x:c>
      <x:c r="CG250" s="23">
        <x:f t="shared" si="190"/>
        <x:v>0</x:v>
      </x:c>
      <x:c r="CH250" s="23">
        <x:f t="shared" si="191"/>
        <x:v>7.6029856799999997</x:v>
      </x:c>
      <x:c r="CI250" s="23">
        <x:f t="shared" si="192"/>
        <x:v>0</x:v>
      </x:c>
      <x:c r="CJ250" s="24" t="s">
        <x:v>180</x:v>
      </x:c>
      <x:c r="CK250" s="29">
        <x:v>99.92</x:v>
      </x:c>
      <x:c r="CL250" s="26" t="s">
        <x:v>78</x:v>
      </x:c>
      <x:c r="CM250" s="26">
        <x:v>80.903336294304495</x:v>
      </x:c>
      <x:c r="CN250" s="30" t="s">
        <x:v>543</x:v>
      </x:c>
      <x:c r="CO250" s="27">
        <x:v>98.9</x:v>
      </x:c>
      <x:c r="CP250" s="27">
        <x:v>97</x:v>
      </x:c>
      <x:c r="CQ250" s="26">
        <x:f t="shared" si="193"/>
        <x:v>5.7143584858881633</x:v>
      </x:c>
      <x:c r="CR250" s="26">
        <x:f t="shared" si="194"/>
        <x:v>323.44855583010349</x:v>
      </x:c>
      <x:c r="CS250" s="26">
        <x:f t="shared" si="202"/>
        <x:v>380.14928399999997</x:v>
      </x:c>
      <x:c r="CT250" s="26">
        <x:f t="shared" si="219"/>
        <x:v>44.397247232737996</x:v>
      </x:c>
      <x:c r="CU250" s="26">
        <x:f t="shared" si="220"/>
        <x:v>29.227027958856034</x:v>
      </x:c>
      <x:c r="CV250" s="26">
        <x:f t="shared" si="221"/>
        <x:v>5.8454055917712078E-2</x:v>
      </x:c>
      <x:c r="CW250" s="26">
        <x:f t="shared" si="222"/>
        <x:v>0</x:v>
      </x:c>
      <x:c r="CX250" s="26">
        <x:f t="shared" si="203"/>
        <x:v>7.6029856799999997</x:v>
      </x:c>
      <x:c r="CY250" s="26">
        <x:f t="shared" si="204"/>
        <x:v>0</x:v>
      </x:c>
    </x:row>
    <x:row r="251">
      <x:c r="A251" s="18">
        <x:v>2022</x:v>
      </x:c>
      <x:c r="B251" t="s">
        <x:v>544</x:v>
      </x:c>
      <x:c r="C251" t="s">
        <x:v>545</x:v>
      </x:c>
      <x:c r="D251" t="s">
        <x:v>546</x:v>
      </x:c>
      <x:c r="E251" s="18">
        <x:v>440961</x:v>
      </x:c>
      <x:c r="F251" t="s">
        <x:v>541</x:v>
      </x:c>
      <x:c r="G251" t="s">
        <x:v>526</x:v>
      </x:c>
      <x:c r="H251" s="18">
        <x:v>4412</x:v>
      </x:c>
      <x:c r="I251" t="s">
        <x:v>108</x:v>
      </x:c>
      <x:c r="J251" t="s">
        <x:v>78</x:v>
      </x:c>
      <x:c r="K251" t="s">
        <x:v>109</x:v>
      </x:c>
      <x:c r="L251" s="20">
        <x:v>3</x:v>
      </x:c>
      <x:c r="M251" t="s">
        <x:v>125</x:v>
      </x:c>
      <x:c r="N251" s="18">
        <x:v>260</x:v>
      </x:c>
      <x:c r="O251" t="s">
        <x:v>88</x:v>
      </x:c>
      <x:c r="P251" s="18">
        <x:v>4</x:v>
      </x:c>
      <x:c r="Q251" s="19" t="s">
        <x:v>111</x:v>
      </x:c>
      <x:c r="R251" s="18">
        <x:v>35941</x:v>
      </x:c>
      <x:c r="S251" t="s">
        <x:v>112</x:v>
      </x:c>
      <x:c r="T251" s="19">
        <x:f t="shared" si="238"/>
        <x:v>35941</x:v>
      </x:c>
      <x:c r="U251" s="20">
        <x:v>0.64</x:v>
      </x:c>
      <x:c r="V251" t="s">
        <x:v>113</x:v>
      </x:c>
      <x:c r="W251" s="20">
        <x:v>22.4</x:v>
      </x:c>
      <x:c r="X251" s="21">
        <x:f t="shared" si="239"/>
        <x:v>391.03808000000004</x:v>
      </x:c>
      <x:c r="Y251" s="21">
        <x:f t="shared" si="247"/>
        <x:v>322.03136000000006</x:v>
      </x:c>
      <x:c r="Z251" s="21">
        <x:f t="shared" si="240"/>
        <x:v>71.882000000000005</x:v>
      </x:c>
      <x:c r="AA251" s="21">
        <x:f t="shared" si="248"/>
        <x:v>1307.4473215999999</x:v>
      </x:c>
      <x:c r="AB251" s="21">
        <x:f t="shared" si="249"/>
        <x:v>315.59073280000001</x:v>
      </x:c>
      <x:c r="AC251" s="21">
        <x:f t="shared" si="245"/>
        <x:v>0.63118146559999999</x:v>
      </x:c>
      <x:c r="AD251" s="21"/>
      <x:c r="AE251" s="21">
        <x:f t="shared" si="242"/>
        <x:v>1.43764</x:v>
      </x:c>
      <x:c r="AF251" s="21"/>
      <x:c r="AG251" s="19" t="s">
        <x:v>78</x:v>
      </x:c>
      <x:c r="AH251" t="s">
        <x:v>78</x:v>
      </x:c>
      <x:c r="AI251" t="s">
        <x:v>78</x:v>
      </x:c>
      <x:c r="AJ251" s="19"/>
      <x:c r="AK251" s="19" t="s">
        <x:v>78</x:v>
      </x:c>
      <x:c r="AL251" t="s">
        <x:v>78</x:v>
      </x:c>
      <x:c r="AM251" s="19" t="s">
        <x:v>78</x:v>
      </x:c>
      <x:c r="AN251" s="21"/>
      <x:c r="AO251" s="21"/>
      <x:c r="AP251" s="21"/>
      <x:c r="AQ251" s="21"/>
      <x:c r="AR251" s="21"/>
      <x:c r="AS251" s="21"/>
      <x:c r="AT251" s="21"/>
      <x:c r="AU251" s="21"/>
      <x:c r="AV251" s="21"/>
      <x:c r="AW251" t="s">
        <x:v>78</x:v>
      </x:c>
      <x:c r="AX251" s="19"/>
      <x:c r="AY251" s="21"/>
      <x:c r="AZ251" s="21"/>
      <x:c r="BA251" s="21"/>
      <x:c r="BB251" s="21"/>
      <x:c r="BC251" s="21"/>
      <x:c r="BD251" s="21"/>
      <x:c r="BE251" s="21"/>
      <x:c r="BF251" s="21"/>
      <x:c r="BG251" s="21"/>
      <x:c r="BH251" t="s">
        <x:v>81</x:v>
      </x:c>
      <x:c r="BI251" s="18">
        <x:v>110</x:v>
      </x:c>
      <x:c r="BJ251" s="18">
        <x:v>56</x:v>
      </x:c>
      <x:c r="BK251" s="18">
        <x:v>7.12</x:v>
      </x:c>
      <x:c r="BL251" s="18">
        <x:v>21</x:v>
      </x:c>
      <x:c r="BM251" s="18">
        <x:v>33</x:v>
      </x:c>
      <x:c r="BN251" s="18">
        <x:v>26.93</x:v>
      </x:c>
      <x:c r="BO251" s="22">
        <x:v>110.93531111111101</x:v>
      </x:c>
      <x:c r="BP251" s="22">
        <x:v>21.5574805555556</x:v>
      </x:c>
      <x:c r="BQ251" s="18">
        <x:v>120</x:v>
      </x:c>
      <x:c r="BR251" s="18">
        <x:v>164433.78</x:v>
      </x:c>
      <x:c r="BS251" t="s">
        <x:v>78</x:v>
      </x:c>
      <x:c r="BT251" t="s">
        <x:v>78</x:v>
      </x:c>
      <x:c r="BU251" t="s">
        <x:v>78</x:v>
      </x:c>
      <x:c r="BV251" t="s">
        <x:v>78</x:v>
      </x:c>
      <x:c r="BW251" t="s">
        <x:v>78</x:v>
      </x:c>
      <x:c r="BX251" t="s">
        <x:v>78</x:v>
      </x:c>
      <x:c r="BY251" s="18">
        <x:v>1027.913</x:v>
      </x:c>
      <x:c r="BZ251" s="18">
        <x:v>1027.913</x:v>
      </x:c>
      <x:c r="CA251" s="23">
        <x:f t="shared" si="184"/>
        <x:v>391.03808000000004</x:v>
      </x:c>
      <x:c r="CB251" s="23">
        <x:f t="shared" si="185"/>
        <x:v>322.03136000000006</x:v>
      </x:c>
      <x:c r="CC251" s="23">
        <x:f t="shared" si="186"/>
        <x:v>71.882000000000005</x:v>
      </x:c>
      <x:c r="CD251" s="23">
        <x:f t="shared" si="187"/>
        <x:v>1307.4473215999999</x:v>
      </x:c>
      <x:c r="CE251" s="23">
        <x:f t="shared" si="188"/>
        <x:v>315.59073280000001</x:v>
      </x:c>
      <x:c r="CF251" s="23">
        <x:f t="shared" si="189"/>
        <x:v>0.63118146559999999</x:v>
      </x:c>
      <x:c r="CG251" s="23">
        <x:f t="shared" si="190"/>
        <x:v>0</x:v>
      </x:c>
      <x:c r="CH251" s="23">
        <x:f t="shared" si="191"/>
        <x:v>1.43764</x:v>
      </x:c>
      <x:c r="CI251" s="23">
        <x:f t="shared" si="192"/>
        <x:v>0</x:v>
      </x:c>
      <x:c r="CJ251" s="24" t="s">
        <x:v>153</x:v>
      </x:c>
      <x:c r="CK251" s="29">
        <x:v>93.69</x:v>
      </x:c>
      <x:c r="CL251" s="26" t="s">
        <x:v>78</x:v>
      </x:c>
      <x:c r="CM251" s="26">
        <x:v>42</x:v>
      </x:c>
      <x:c r="CN251" s="27" t="s">
        <x:v>78</x:v>
      </x:c>
      <x:c r="CO251" s="27">
        <x:v>98.8</x:v>
      </x:c>
      <x:c r="CP251" s="27">
        <x:v>97</x:v>
      </x:c>
      <x:c r="CQ251" s="26">
        <x:f t="shared" si="193"/>
        <x:v>24.674502848000021</x:v>
      </x:c>
      <x:c r="CR251" s="26">
        <x:f t="shared" si="194"/>
        <x:v>186.77818880000007</x:v>
      </x:c>
      <x:c r="CS251" s="26">
        <x:f t="shared" si="202"/>
        <x:v>71.882000000000005</x:v>
      </x:c>
      <x:c r="CT251" s="26">
        <x:f t="shared" si="219"/>
        <x:v>15.689367859200013</x:v>
      </x:c>
      <x:c r="CU251" s="26">
        <x:f t="shared" si="220"/>
        <x:v>9.4677219840000095</x:v>
      </x:c>
      <x:c r="CV251" s="26">
        <x:f t="shared" si="221"/>
        <x:v>1.8935443968000017E-2</x:v>
      </x:c>
      <x:c r="CW251" s="26">
        <x:f t="shared" si="222"/>
        <x:v>0</x:v>
      </x:c>
      <x:c r="CX251" s="26">
        <x:f t="shared" si="203"/>
        <x:v>1.43764</x:v>
      </x:c>
      <x:c r="CY251" s="26">
        <x:f t="shared" si="204"/>
        <x:v>0</x:v>
      </x:c>
    </x:row>
    <x:row r="252">
      <x:c r="A252" s="18">
        <x:v>2022</x:v>
      </x:c>
      <x:c r="B252" t="s">
        <x:v>544</x:v>
      </x:c>
      <x:c r="C252" t="s">
        <x:v>545</x:v>
      </x:c>
      <x:c r="D252" t="s">
        <x:v>546</x:v>
      </x:c>
      <x:c r="E252" s="18">
        <x:v>440961</x:v>
      </x:c>
      <x:c r="F252" t="s">
        <x:v>541</x:v>
      </x:c>
      <x:c r="G252" t="s">
        <x:v>526</x:v>
      </x:c>
      <x:c r="H252" s="18">
        <x:v>4412</x:v>
      </x:c>
      <x:c r="I252" t="s">
        <x:v>108</x:v>
      </x:c>
      <x:c r="J252" t="s">
        <x:v>78</x:v>
      </x:c>
      <x:c r="K252" t="s">
        <x:v>109</x:v>
      </x:c>
      <x:c r="L252" s="20">
        <x:v>3</x:v>
      </x:c>
      <x:c r="M252" t="s">
        <x:v>125</x:v>
      </x:c>
      <x:c r="N252" s="18">
        <x:v>260</x:v>
      </x:c>
      <x:c r="O252" t="s">
        <x:v>88</x:v>
      </x:c>
      <x:c r="P252" s="18">
        <x:v>4</x:v>
      </x:c>
      <x:c r="Q252" s="19" t="s">
        <x:v>111</x:v>
      </x:c>
      <x:c r="R252" s="18">
        <x:v>45078</x:v>
      </x:c>
      <x:c r="S252" t="s">
        <x:v>112</x:v>
      </x:c>
      <x:c r="T252" s="19">
        <x:f t="shared" si="238"/>
        <x:v>45078</x:v>
      </x:c>
      <x:c r="U252" s="20">
        <x:v>0.64</x:v>
      </x:c>
      <x:c r="V252" t="s">
        <x:v>113</x:v>
      </x:c>
      <x:c r="W252" s="20">
        <x:v>22.4</x:v>
      </x:c>
      <x:c r="X252" s="21">
        <x:f t="shared" si="239"/>
        <x:v>490.44864000000001</x:v>
      </x:c>
      <x:c r="Y252" s="21">
        <x:f t="shared" si="247"/>
        <x:v>403.89888000000008</x:v>
      </x:c>
      <x:c r="Z252" s="21">
        <x:f t="shared" si="240"/>
        <x:v>90.156000000000006</x:v>
      </x:c>
      <x:c r="AA252" s="21">
        <x:f t="shared" si="248"/>
        <x:v>1639.8294527999999</x:v>
      </x:c>
      <x:c r="AB252" s="21">
        <x:f t="shared" si="249"/>
        <x:v>395.82090240000002</x:v>
      </x:c>
      <x:c r="AC252" s="21">
        <x:f t="shared" si="245"/>
        <x:v>0.79164180480000002</x:v>
      </x:c>
      <x:c r="AD252" s="21"/>
      <x:c r="AE252" s="21">
        <x:f t="shared" si="242"/>
        <x:v>1.8031200000000001</x:v>
      </x:c>
      <x:c r="AF252" s="21"/>
      <x:c r="AG252" s="19" t="s">
        <x:v>78</x:v>
      </x:c>
      <x:c r="AH252" t="s">
        <x:v>78</x:v>
      </x:c>
      <x:c r="AI252" t="s">
        <x:v>78</x:v>
      </x:c>
      <x:c r="AJ252" s="19"/>
      <x:c r="AK252" s="19" t="s">
        <x:v>78</x:v>
      </x:c>
      <x:c r="AL252" t="s">
        <x:v>78</x:v>
      </x:c>
      <x:c r="AM252" s="19" t="s">
        <x:v>78</x:v>
      </x:c>
      <x:c r="AN252" s="21"/>
      <x:c r="AO252" s="21"/>
      <x:c r="AP252" s="21"/>
      <x:c r="AQ252" s="21"/>
      <x:c r="AR252" s="21"/>
      <x:c r="AS252" s="21"/>
      <x:c r="AT252" s="21"/>
      <x:c r="AU252" s="21"/>
      <x:c r="AV252" s="21"/>
      <x:c r="AW252" t="s">
        <x:v>78</x:v>
      </x:c>
      <x:c r="AX252" s="19"/>
      <x:c r="AY252" s="21"/>
      <x:c r="AZ252" s="21"/>
      <x:c r="BA252" s="21"/>
      <x:c r="BB252" s="21"/>
      <x:c r="BC252" s="21"/>
      <x:c r="BD252" s="21"/>
      <x:c r="BE252" s="21"/>
      <x:c r="BF252" s="21"/>
      <x:c r="BG252" s="21"/>
      <x:c r="BH252" t="s">
        <x:v>81</x:v>
      </x:c>
      <x:c r="BI252" s="18">
        <x:v>110</x:v>
      </x:c>
      <x:c r="BJ252" s="18">
        <x:v>56</x:v>
      </x:c>
      <x:c r="BK252" s="18">
        <x:v>7.12</x:v>
      </x:c>
      <x:c r="BL252" s="18">
        <x:v>21</x:v>
      </x:c>
      <x:c r="BM252" s="18">
        <x:v>33</x:v>
      </x:c>
      <x:c r="BN252" s="18">
        <x:v>26.93</x:v>
      </x:c>
      <x:c r="BO252" s="22">
        <x:v>110.93531111111101</x:v>
      </x:c>
      <x:c r="BP252" s="22">
        <x:v>21.5574805555556</x:v>
      </x:c>
      <x:c r="BQ252" s="18">
        <x:v>120</x:v>
      </x:c>
      <x:c r="BR252" s="18">
        <x:v>164433.78</x:v>
      </x:c>
      <x:c r="BS252" t="s">
        <x:v>78</x:v>
      </x:c>
      <x:c r="BT252" t="s">
        <x:v>78</x:v>
      </x:c>
      <x:c r="BU252" t="s">
        <x:v>78</x:v>
      </x:c>
      <x:c r="BV252" t="s">
        <x:v>78</x:v>
      </x:c>
      <x:c r="BW252" t="s">
        <x:v>78</x:v>
      </x:c>
      <x:c r="BX252" t="s">
        <x:v>78</x:v>
      </x:c>
      <x:c r="BY252" s="18">
        <x:v>1289.231</x:v>
      </x:c>
      <x:c r="BZ252" s="18">
        <x:v>1289.231</x:v>
      </x:c>
      <x:c r="CA252" s="23">
        <x:f t="shared" si="184"/>
        <x:v>490.44864000000001</x:v>
      </x:c>
      <x:c r="CB252" s="23">
        <x:f t="shared" si="185"/>
        <x:v>403.89888000000008</x:v>
      </x:c>
      <x:c r="CC252" s="23">
        <x:f t="shared" si="186"/>
        <x:v>90.156000000000006</x:v>
      </x:c>
      <x:c r="CD252" s="23">
        <x:f t="shared" si="187"/>
        <x:v>1639.8294527999999</x:v>
      </x:c>
      <x:c r="CE252" s="23">
        <x:f t="shared" si="188"/>
        <x:v>395.82090240000002</x:v>
      </x:c>
      <x:c r="CF252" s="23">
        <x:f t="shared" si="189"/>
        <x:v>0.79164180480000002</x:v>
      </x:c>
      <x:c r="CG252" s="23">
        <x:f t="shared" si="190"/>
        <x:v>0</x:v>
      </x:c>
      <x:c r="CH252" s="23">
        <x:f t="shared" si="191"/>
        <x:v>1.8031200000000001</x:v>
      </x:c>
      <x:c r="CI252" s="23">
        <x:f t="shared" si="192"/>
        <x:v>0</x:v>
      </x:c>
      <x:c r="CJ252" s="24" t="s">
        <x:v>153</x:v>
      </x:c>
      <x:c r="CK252" s="29">
        <x:v>93.69</x:v>
      </x:c>
      <x:c r="CL252" s="26" t="s">
        <x:v>78</x:v>
      </x:c>
      <x:c r="CM252" s="26">
        <x:v>42</x:v>
      </x:c>
      <x:c r="CN252" s="27" t="s">
        <x:v>78</x:v>
      </x:c>
      <x:c r="CO252" s="27">
        <x:v>98.8</x:v>
      </x:c>
      <x:c r="CP252" s="27">
        <x:v>97</x:v>
      </x:c>
      <x:c r="CQ252" s="26">
        <x:f t="shared" si="193"/>
        <x:v>30.947309184000023</x:v>
      </x:c>
      <x:c r="CR252" s="26">
        <x:f t="shared" si="194"/>
        <x:v>234.26135040000008</x:v>
      </x:c>
      <x:c r="CS252" s="26">
        <x:f t="shared" si="202"/>
        <x:v>90.156000000000006</x:v>
      </x:c>
      <x:c r="CT252" s="26">
        <x:f t="shared" si="219"/>
        <x:v>19.677953433600017</x:v>
      </x:c>
      <x:c r="CU252" s="26">
        <x:f t="shared" si="220"/>
        <x:v>11.874627072000012</x:v>
      </x:c>
      <x:c r="CV252" s="26">
        <x:f t="shared" si="221"/>
        <x:v>2.3749254144000021E-2</x:v>
      </x:c>
      <x:c r="CW252" s="26">
        <x:f t="shared" si="222"/>
        <x:v>0</x:v>
      </x:c>
      <x:c r="CX252" s="26">
        <x:f t="shared" si="203"/>
        <x:v>1.8031200000000001</x:v>
      </x:c>
      <x:c r="CY252" s="26">
        <x:f t="shared" si="204"/>
        <x:v>0</x:v>
      </x:c>
    </x:row>
    <x:row r="253">
      <x:c r="A253" s="18">
        <x:v>2022</x:v>
      </x:c>
      <x:c r="B253" t="s">
        <x:v>544</x:v>
      </x:c>
      <x:c r="C253" t="s">
        <x:v>545</x:v>
      </x:c>
      <x:c r="D253" t="s">
        <x:v>546</x:v>
      </x:c>
      <x:c r="E253" s="18">
        <x:v>440961</x:v>
      </x:c>
      <x:c r="F253" t="s">
        <x:v>541</x:v>
      </x:c>
      <x:c r="G253" t="s">
        <x:v>526</x:v>
      </x:c>
      <x:c r="H253" s="18">
        <x:v>4412</x:v>
      </x:c>
      <x:c r="I253" t="s">
        <x:v>108</x:v>
      </x:c>
      <x:c r="J253" t="s">
        <x:v>78</x:v>
      </x:c>
      <x:c r="K253" t="s">
        <x:v>109</x:v>
      </x:c>
      <x:c r="L253" s="20">
        <x:v>3</x:v>
      </x:c>
      <x:c r="M253" t="s">
        <x:v>125</x:v>
      </x:c>
      <x:c r="N253" s="18">
        <x:v>260</x:v>
      </x:c>
      <x:c r="O253" t="s">
        <x:v>88</x:v>
      </x:c>
      <x:c r="P253" s="18">
        <x:v>4</x:v>
      </x:c>
      <x:c r="Q253" s="19" t="s">
        <x:v>111</x:v>
      </x:c>
      <x:c r="R253" s="18">
        <x:v>131580</x:v>
      </x:c>
      <x:c r="S253" t="s">
        <x:v>112</x:v>
      </x:c>
      <x:c r="T253" s="19">
        <x:f t="shared" si="238"/>
        <x:v>131580</x:v>
      </x:c>
      <x:c r="U253" s="20">
        <x:v>0.64</x:v>
      </x:c>
      <x:c r="V253" t="s">
        <x:v>113</x:v>
      </x:c>
      <x:c r="W253" s="20">
        <x:v>22.4</x:v>
      </x:c>
      <x:c r="X253" s="21">
        <x:f t="shared" si="239"/>
        <x:v>1431.5904</x:v>
      </x:c>
      <x:c r="Y253" s="21">
        <x:f t="shared" si="247"/>
        <x:v>1178.9568000000002</x:v>
      </x:c>
      <x:c r="Z253" s="21">
        <x:f t="shared" si="240"/>
        <x:v>263.16000000000003</x:v>
      </x:c>
      <x:c r="AA253" s="21">
        <x:f t="shared" si="248"/>
        <x:v>4786.5646079999997</x:v>
      </x:c>
      <x:c r="AB253" s="21">
        <x:f t="shared" si="249"/>
        <x:v>1155.3776640000001</x:v>
      </x:c>
      <x:c r="AC253" s="21">
        <x:f t="shared" si="245"/>
        <x:v>2.3107553280000004</x:v>
      </x:c>
      <x:c r="AD253" s="21"/>
      <x:c r="AE253" s="21">
        <x:f t="shared" si="242"/>
        <x:v>5.2631999999999994</x:v>
      </x:c>
      <x:c r="AF253" s="21"/>
      <x:c r="AG253" s="19" t="s">
        <x:v>78</x:v>
      </x:c>
      <x:c r="AH253" t="s">
        <x:v>78</x:v>
      </x:c>
      <x:c r="AI253" t="s">
        <x:v>78</x:v>
      </x:c>
      <x:c r="AJ253" s="19"/>
      <x:c r="AK253" s="19" t="s">
        <x:v>78</x:v>
      </x:c>
      <x:c r="AL253" t="s">
        <x:v>78</x:v>
      </x:c>
      <x:c r="AM253" s="19" t="s">
        <x:v>78</x:v>
      </x:c>
      <x:c r="AN253" s="21"/>
      <x:c r="AO253" s="21"/>
      <x:c r="AP253" s="21"/>
      <x:c r="AQ253" s="21"/>
      <x:c r="AR253" s="21"/>
      <x:c r="AS253" s="21"/>
      <x:c r="AT253" s="21"/>
      <x:c r="AU253" s="21"/>
      <x:c r="AV253" s="21"/>
      <x:c r="AW253" t="s">
        <x:v>78</x:v>
      </x:c>
      <x:c r="AX253" s="19"/>
      <x:c r="AY253" s="21"/>
      <x:c r="AZ253" s="21"/>
      <x:c r="BA253" s="21"/>
      <x:c r="BB253" s="21"/>
      <x:c r="BC253" s="21"/>
      <x:c r="BD253" s="21"/>
      <x:c r="BE253" s="21"/>
      <x:c r="BF253" s="21"/>
      <x:c r="BG253" s="21"/>
      <x:c r="BH253" t="s">
        <x:v>81</x:v>
      </x:c>
      <x:c r="BI253" s="18">
        <x:v>110</x:v>
      </x:c>
      <x:c r="BJ253" s="18">
        <x:v>56</x:v>
      </x:c>
      <x:c r="BK253" s="18">
        <x:v>7.12</x:v>
      </x:c>
      <x:c r="BL253" s="18">
        <x:v>21</x:v>
      </x:c>
      <x:c r="BM253" s="18">
        <x:v>33</x:v>
      </x:c>
      <x:c r="BN253" s="18">
        <x:v>26.93</x:v>
      </x:c>
      <x:c r="BO253" s="22">
        <x:v>110.93531111111101</x:v>
      </x:c>
      <x:c r="BP253" s="22">
        <x:v>21.5574805555556</x:v>
      </x:c>
      <x:c r="BQ253" s="18">
        <x:v>120</x:v>
      </x:c>
      <x:c r="BR253" s="18">
        <x:v>164433.78</x:v>
      </x:c>
      <x:c r="BS253" t="s">
        <x:v>78</x:v>
      </x:c>
      <x:c r="BT253" t="s">
        <x:v>78</x:v>
      </x:c>
      <x:c r="BU253" t="s">
        <x:v>78</x:v>
      </x:c>
      <x:c r="BV253" t="s">
        <x:v>78</x:v>
      </x:c>
      <x:c r="BW253" t="s">
        <x:v>78</x:v>
      </x:c>
      <x:c r="BX253" t="s">
        <x:v>78</x:v>
      </x:c>
      <x:c r="BY253" s="18">
        <x:v>3763.1880000000001</x:v>
      </x:c>
      <x:c r="BZ253" s="18">
        <x:v>3763.1880000000001</x:v>
      </x:c>
      <x:c r="CA253" s="23">
        <x:f t="shared" si="184"/>
        <x:v>1431.5904</x:v>
      </x:c>
      <x:c r="CB253" s="23">
        <x:f t="shared" si="185"/>
        <x:v>1178.9568000000002</x:v>
      </x:c>
      <x:c r="CC253" s="23">
        <x:f t="shared" si="186"/>
        <x:v>263.16000000000003</x:v>
      </x:c>
      <x:c r="CD253" s="23">
        <x:f t="shared" si="187"/>
        <x:v>4786.5646079999997</x:v>
      </x:c>
      <x:c r="CE253" s="23">
        <x:f t="shared" si="188"/>
        <x:v>1155.3776640000001</x:v>
      </x:c>
      <x:c r="CF253" s="23">
        <x:f t="shared" si="189"/>
        <x:v>2.3107553280000004</x:v>
      </x:c>
      <x:c r="CG253" s="23">
        <x:f t="shared" si="190"/>
        <x:v>0</x:v>
      </x:c>
      <x:c r="CH253" s="23">
        <x:f t="shared" si="191"/>
        <x:v>5.2631999999999994</x:v>
      </x:c>
      <x:c r="CI253" s="23">
        <x:f t="shared" si="192"/>
        <x:v>0</x:v>
      </x:c>
      <x:c r="CJ253" s="24" t="s">
        <x:v>153</x:v>
      </x:c>
      <x:c r="CK253" s="29">
        <x:v>93.69</x:v>
      </x:c>
      <x:c r="CL253" s="26" t="s">
        <x:v>78</x:v>
      </x:c>
      <x:c r="CM253" s="26">
        <x:v>42</x:v>
      </x:c>
      <x:c r="CN253" s="27" t="s">
        <x:v>78</x:v>
      </x:c>
      <x:c r="CO253" s="27">
        <x:v>98.8</x:v>
      </x:c>
      <x:c r="CP253" s="27">
        <x:v>97</x:v>
      </x:c>
      <x:c r="CQ253" s="26">
        <x:f t="shared" si="193"/>
        <x:v>90.333354240000062</x:v>
      </x:c>
      <x:c r="CR253" s="26">
        <x:f t="shared" si="194"/>
        <x:v>683.79494400000021</x:v>
      </x:c>
      <x:c r="CS253" s="26">
        <x:f t="shared" si="202"/>
        <x:v>263.16000000000003</x:v>
      </x:c>
      <x:c r="CT253" s="26">
        <x:f t="shared" si="219"/>
        <x:v>57.438775296000046</x:v>
      </x:c>
      <x:c r="CU253" s="26">
        <x:f t="shared" si="220"/>
        <x:v>34.661329920000036</x:v>
      </x:c>
      <x:c r="CV253" s="26">
        <x:f t="shared" si="221"/>
        <x:v>6.9322659840000078E-2</x:v>
      </x:c>
      <x:c r="CW253" s="26">
        <x:f t="shared" si="222"/>
        <x:v>0</x:v>
      </x:c>
      <x:c r="CX253" s="26">
        <x:f t="shared" si="203"/>
        <x:v>5.2631999999999994</x:v>
      </x:c>
      <x:c r="CY253" s="26">
        <x:f t="shared" si="204"/>
        <x:v>0</x:v>
      </x:c>
    </x:row>
    <x:row r="254">
      <x:c r="A254" s="18">
        <x:v>2022</x:v>
      </x:c>
      <x:c r="B254" t="s">
        <x:v>547</x:v>
      </x:c>
      <x:c r="C254" t="s">
        <x:v>548</x:v>
      </x:c>
      <x:c r="D254" t="s">
        <x:v>549</x:v>
      </x:c>
      <x:c r="E254" s="18">
        <x:v>440961</x:v>
      </x:c>
      <x:c r="F254" t="s">
        <x:v>541</x:v>
      </x:c>
      <x:c r="G254" t="s">
        <x:v>526</x:v>
      </x:c>
      <x:c r="H254" s="18">
        <x:v>2614</x:v>
      </x:c>
      <x:c r="I254" t="s">
        <x:v>550</x:v>
      </x:c>
      <x:c r="J254" t="s">
        <x:v>78</x:v>
      </x:c>
      <x:c r="K254" t="s">
        <x:v>109</x:v>
      </x:c>
      <x:c r="L254" s="20">
        <x:v>3</x:v>
      </x:c>
      <x:c r="M254" t="s">
        <x:v>125</x:v>
      </x:c>
      <x:c r="N254" s="18">
        <x:v>410</x:v>
      </x:c>
      <x:c r="O254" t="s">
        <x:v>74</x:v>
      </x:c>
      <x:c r="P254" s="18">
        <x:v>4</x:v>
      </x:c>
      <x:c r="Q254" s="19" t="s">
        <x:v>111</x:v>
      </x:c>
      <x:c r="R254" s="18">
        <x:v>103183.519</x:v>
      </x:c>
      <x:c r="S254" t="s">
        <x:v>112</x:v>
      </x:c>
      <x:c r="T254" s="19">
        <x:f t="shared" si="238"/>
        <x:v>103183.519</x:v>
      </x:c>
      <x:c r="U254" s="20">
        <x:v>0.79</x:v>
      </x:c>
      <x:c r="V254" t="s">
        <x:v>113</x:v>
      </x:c>
      <x:c r="W254" s="20">
        <x:v>23.29</x:v>
      </x:c>
      <x:c r="X254" s="21">
        <x:f t="shared" si="239"/>
        <x:v>1385.7546601700001</x:v>
      </x:c>
      <x:c r="Y254" s="21">
        <x:f t="shared" si="247"/>
        <x:v>924.52433024000004</x:v>
      </x:c>
      <x:c r="Z254" s="21">
        <x:f t="shared" si="240"/>
        <x:v>206.36703800000001</x:v>
      </x:c>
      <x:c r="AA254" s="21">
        <x:f t="shared" si="248"/>
        <x:v>3902.7061117962403</x:v>
      </x:c>
      <x:c r="AB254" s="21">
        <x:f t="shared" si="249"/>
        <x:v>942.03250974392017</x:v>
      </x:c>
      <x:c r="AC254" s="21">
        <x:f t="shared" si="245"/>
        <x:v>1.8840650194878403</x:v>
      </x:c>
      <x:c r="AD254" s="21"/>
      <x:c r="AE254" s="21">
        <x:f t="shared" si="242"/>
        <x:v>4.1273407600000001</x:v>
      </x:c>
      <x:c r="AF254" s="21"/>
      <x:c r="AG254" s="19" t="s">
        <x:v>126</x:v>
      </x:c>
      <x:c r="AH254" s="18">
        <x:v>8945.2080000000005</x:v>
      </x:c>
      <x:c r="AI254" t="s">
        <x:v>112</x:v>
      </x:c>
      <x:c r="AJ254" s="19" t="n">
        <x:f t="shared" ref="AJ254:AJ255" si="251">AH254</x:f>
        <x:v>8945.208</x:v>
      </x:c>
      <x:c r="AK254" s="20">
        <x:v>3.5</x:v>
      </x:c>
      <x:c r="AL254" t="s">
        <x:v>113</x:v>
      </x:c>
      <x:c r="AM254" s="20">
        <x:v>0.9</x:v>
      </x:c>
      <x:c r="AN254" s="21" t="n">
        <x:f>2*AK254/100*(1-0.15)*AJ254</x:f>
        <x:v>532.2398760000001</x:v>
      </x:c>
      <x:c r="AO254" s="21" t="n">
        <x:f>8.85*AJ254/1000</x:f>
        <x:v>79.1650908</x:v>
      </x:c>
      <x:c r="AP254" s="21" t="n">
        <x:f>2*AJ254/1000</x:f>
        <x:v>17.890416000000002</x:v>
      </x:c>
      <x:c r="AQ254" s="21" t="n">
        <x:f>AM254/100*(1-0.44)*0.29*AJ254</x:f>
        <x:v>13.074316012800002</x:v>
      </x:c>
      <x:c r="AR254" s="21" t="n">
        <x:f>AM254/100*(1-0.44)*0.07*AJ254</x:f>
        <x:v>3.155869382400001</x:v>
      </x:c>
      <x:c r="AS254" s="21" t="n">
        <x:f t="shared" ref="AS254:AS255" si="252">0.002*AR254</x:f>
        <x:v>0.006311738764800002</x:v>
      </x:c>
      <x:c r="AT254" s="21"/>
      <x:c r="AU254" s="21" t="n">
        <x:f>0.04*AJ254/1000</x:f>
        <x:v>0.35780832</x:v>
      </x:c>
      <x:c r="AV254" s="21"/>
      <x:c r="AW254" t="s">
        <x:v>78</x:v>
      </x:c>
      <x:c r="AX254" s="19"/>
      <x:c r="AY254" s="21"/>
      <x:c r="AZ254" s="21"/>
      <x:c r="BA254" s="21"/>
      <x:c r="BB254" s="21"/>
      <x:c r="BC254" s="21"/>
      <x:c r="BD254" s="21"/>
      <x:c r="BE254" s="21"/>
      <x:c r="BF254" s="21"/>
      <x:c r="BG254" s="21"/>
      <x:c r="BH254" t="s">
        <x:v>551</x:v>
      </x:c>
      <x:c r="BI254" s="18">
        <x:v>110</x:v>
      </x:c>
      <x:c r="BJ254" s="18">
        <x:v>57</x:v>
      </x:c>
      <x:c r="BK254" s="18">
        <x:v>29.88</x:v>
      </x:c>
      <x:c r="BL254" s="18">
        <x:v>21</x:v>
      </x:c>
      <x:c r="BM254" s="18">
        <x:v>34</x:v>
      </x:c>
      <x:c r="BN254" s="18">
        <x:v>42.49</x:v>
      </x:c>
      <x:c r="BO254" s="22">
        <x:v>110.95829999999999</x:v>
      </x:c>
      <x:c r="BP254" s="22">
        <x:v>21.578469444444401</x:v>
      </x:c>
      <x:c r="BQ254" s="18">
        <x:v>150</x:v>
      </x:c>
      <x:c r="BR254" s="18">
        <x:v>111365.9</x:v>
      </x:c>
      <x:c r="BS254" s="18">
        <x:v>164.62</x:v>
      </x:c>
      <x:c r="BT254" s="18">
        <x:v>5.5019999999999998</x:v>
      </x:c>
      <x:c r="BU254" s="18">
        <x:v>166.321</x:v>
      </x:c>
      <x:c r="BV254" s="18">
        <x:v>3.6230000000000002</x:v>
      </x:c>
      <x:c r="BW254" s="18">
        <x:v>15401.285</x:v>
      </x:c>
      <x:c r="BX254" s="18">
        <x:v>3.738</x:v>
      </x:c>
      <x:c r="BY254" s="18">
        <x:v>3002.4839999999999</x:v>
      </x:c>
      <x:c r="BZ254" s="18">
        <x:v>3002.4839999999999</x:v>
      </x:c>
      <x:c r="CA254" s="23">
        <x:f t="shared" si="184"/>
        <x:v>1917.9945361700002</x:v>
      </x:c>
      <x:c r="CB254" s="23">
        <x:f t="shared" si="185"/>
        <x:v>1003.6894210400001</x:v>
      </x:c>
      <x:c r="CC254" s="23">
        <x:f t="shared" si="186"/>
        <x:v>224.257454</x:v>
      </x:c>
      <x:c r="CD254" s="23">
        <x:f t="shared" si="187"/>
        <x:v>3915.7804278090402</x:v>
      </x:c>
      <x:c r="CE254" s="23">
        <x:f t="shared" si="188"/>
        <x:v>945.18837912632023</x:v>
      </x:c>
      <x:c r="CF254" s="23">
        <x:f t="shared" si="189"/>
        <x:v>1.8903767582526403</x:v>
      </x:c>
      <x:c r="CG254" s="23">
        <x:f t="shared" si="190"/>
        <x:v>0</x:v>
      </x:c>
      <x:c r="CH254" s="23">
        <x:f t="shared" si="191"/>
        <x:v>4.4851490800000002</x:v>
      </x:c>
      <x:c r="CI254" s="23">
        <x:f t="shared" si="192"/>
        <x:v>0</x:v>
      </x:c>
      <x:c r="CJ254" s="24" t="s">
        <x:v>180</x:v>
      </x:c>
      <x:c r="CK254" s="29">
        <x:v>99.92</x:v>
      </x:c>
      <x:c r="CL254" s="26" t="s">
        <x:v>78</x:v>
      </x:c>
      <x:c r="CM254" s="26" t="n">
        <x:f>(1-BV254/BU254)*100</x:f>
        <x:v>97.82168216881813</x:v>
      </x:c>
      <x:c r="CN254" s="30" t="s">
        <x:v>357</x:v>
      </x:c>
      <x:c r="CO254" s="27">
        <x:v>99.8</x:v>
      </x:c>
      <x:c r="CP254" s="27">
        <x:v>99.6</x:v>
      </x:c>
      <x:c r="CQ254" s="26">
        <x:f t="shared" si="193"/>
        <x:v>1.5343956289360441</x:v>
      </x:c>
      <x:c r="CR254" s="26">
        <x:f t="shared" si="194"/>
        <x:v>21.863545628200448</x:v>
      </x:c>
      <x:c r="CS254" s="26">
        <x:f t="shared" si="202"/>
        <x:v>224.257454</x:v>
      </x:c>
      <x:c r="CT254" s="26">
        <x:f t="shared" si="219"/>
        <x:v>7.8315608556180871</x:v>
      </x:c>
      <x:c r="CU254" s="26">
        <x:f t="shared" si="220"/>
        <x:v>3.7807535165052841</x:v>
      </x:c>
      <x:c r="CV254" s="26">
        <x:f t="shared" si="221"/>
        <x:v>7.5615070330105677E-3</x:v>
      </x:c>
      <x:c r="CW254" s="26">
        <x:f t="shared" si="222"/>
        <x:v>0</x:v>
      </x:c>
      <x:c r="CX254" s="26">
        <x:f t="shared" si="203"/>
        <x:v>4.4851490800000002</x:v>
      </x:c>
      <x:c r="CY254" s="26">
        <x:f t="shared" si="204"/>
        <x:v>0</x:v>
      </x:c>
    </x:row>
    <x:row r="255">
      <x:c r="A255" s="18">
        <x:v>2022</x:v>
      </x:c>
      <x:c r="B255" t="s">
        <x:v>547</x:v>
      </x:c>
      <x:c r="C255" t="s">
        <x:v>548</x:v>
      </x:c>
      <x:c r="D255" t="s">
        <x:v>549</x:v>
      </x:c>
      <x:c r="E255" s="18">
        <x:v>440961</x:v>
      </x:c>
      <x:c r="F255" t="s">
        <x:v>541</x:v>
      </x:c>
      <x:c r="G255" t="s">
        <x:v>526</x:v>
      </x:c>
      <x:c r="H255" s="18">
        <x:v>2614</x:v>
      </x:c>
      <x:c r="I255" t="s">
        <x:v>550</x:v>
      </x:c>
      <x:c r="J255" t="s">
        <x:v>78</x:v>
      </x:c>
      <x:c r="K255" t="s">
        <x:v>109</x:v>
      </x:c>
      <x:c r="L255" s="20">
        <x:v>3</x:v>
      </x:c>
      <x:c r="M255" t="s">
        <x:v>125</x:v>
      </x:c>
      <x:c r="N255" s="18">
        <x:v>410</x:v>
      </x:c>
      <x:c r="O255" t="s">
        <x:v>74</x:v>
      </x:c>
      <x:c r="P255" s="18">
        <x:v>4</x:v>
      </x:c>
      <x:c r="Q255" s="19" t="s">
        <x:v>111</x:v>
      </x:c>
      <x:c r="R255" s="18">
        <x:v>206367.03700000001</x:v>
      </x:c>
      <x:c r="S255" t="s">
        <x:v>112</x:v>
      </x:c>
      <x:c r="T255" s="19">
        <x:f t="shared" si="238"/>
        <x:v>206367.03700000001</x:v>
      </x:c>
      <x:c r="U255" s="20">
        <x:v>0.79</x:v>
      </x:c>
      <x:c r="V255" t="s">
        <x:v>113</x:v>
      </x:c>
      <x:c r="W255" s="20">
        <x:v>23.29</x:v>
      </x:c>
      <x:c r="X255" s="21">
        <x:f t="shared" si="239"/>
        <x:v>2771.5093069100003</x:v>
      </x:c>
      <x:c r="Y255" s="21">
        <x:f t="shared" si="247"/>
        <x:v>1849.0486515200002</x:v>
      </x:c>
      <x:c r="Z255" s="21">
        <x:f t="shared" si="240"/>
        <x:v>412.73407400000002</x:v>
      </x:c>
      <x:c r="AA255" s="21">
        <x:f t="shared" si="248"/>
        <x:v>7805.4121857695209</x:v>
      </x:c>
      <x:c r="AB255" s="21">
        <x:f t="shared" si="249"/>
        <x:v>1884.0650103581604</x:v>
      </x:c>
      <x:c r="AC255" s="21">
        <x:f t="shared" si="245"/>
        <x:v>3.7681300207163209</x:v>
      </x:c>
      <x:c r="AD255" s="21"/>
      <x:c r="AE255" s="21">
        <x:f t="shared" si="242"/>
        <x:v>8.2546814800000003</x:v>
      </x:c>
      <x:c r="AF255" s="21"/>
      <x:c r="AG255" s="19" t="s">
        <x:v>126</x:v>
      </x:c>
      <x:c r="AH255" s="18">
        <x:v>19731.865000000002</x:v>
      </x:c>
      <x:c r="AI255" t="s">
        <x:v>112</x:v>
      </x:c>
      <x:c r="AJ255" s="19">
        <x:f t="shared" si="251"/>
        <x:v>19731.865000000002</x:v>
      </x:c>
      <x:c r="AK255" s="20">
        <x:v>3.5</x:v>
      </x:c>
      <x:c r="AL255" t="s">
        <x:v>113</x:v>
      </x:c>
      <x:c r="AM255" s="20">
        <x:v>0.9</x:v>
      </x:c>
      <x:c r="AN255" s="21" t="n">
        <x:f>2*AK255/100*(1-0.15)*AJ255</x:f>
        <x:v>1174.0459675000002</x:v>
      </x:c>
      <x:c r="AO255" s="21" t="n">
        <x:f>8.85*AJ255/1000</x:f>
        <x:v>174.62700525000002</x:v>
      </x:c>
      <x:c r="AP255" s="21" t="n">
        <x:f>2*AJ255/1000</x:f>
        <x:v>39.463730000000005</x:v>
      </x:c>
      <x:c r="AQ255" s="21" t="n">
        <x:f>AM255/100*(1-0.44)*0.29*AJ255</x:f>
        <x:v>28.840093884000005</x:v>
      </x:c>
      <x:c r="AR255" s="21" t="n">
        <x:f>AM255/100*(1-0.44)*0.07*AJ255</x:f>
        <x:v>6.961401972000003</x:v>
      </x:c>
      <x:c r="AS255" s="21">
        <x:f t="shared" si="252"/>
        <x:v>1.3922803944000006E-2</x:v>
      </x:c>
      <x:c r="AT255" s="21"/>
      <x:c r="AU255" s="21" t="n">
        <x:f>0.04*AJ255/1000</x:f>
        <x:v>0.7892746</x:v>
      </x:c>
      <x:c r="AV255" s="21"/>
      <x:c r="AW255" t="s">
        <x:v>78</x:v>
      </x:c>
      <x:c r="AX255" s="19"/>
      <x:c r="AY255" s="21"/>
      <x:c r="AZ255" s="21"/>
      <x:c r="BA255" s="21"/>
      <x:c r="BB255" s="21"/>
      <x:c r="BC255" s="21"/>
      <x:c r="BD255" s="21"/>
      <x:c r="BE255" s="21"/>
      <x:c r="BF255" s="21"/>
      <x:c r="BG255" s="21"/>
      <x:c r="BH255" t="s">
        <x:v>552</x:v>
      </x:c>
      <x:c r="BI255" s="18">
        <x:v>110</x:v>
      </x:c>
      <x:c r="BJ255" s="18">
        <x:v>27</x:v>
      </x:c>
      <x:c r="BK255" s="18">
        <x:v>30.06</x:v>
      </x:c>
      <x:c r="BL255" s="18">
        <x:v>21</x:v>
      </x:c>
      <x:c r="BM255" s="18">
        <x:v>34</x:v>
      </x:c>
      <x:c r="BN255" s="18">
        <x:v>42.56</x:v>
      </x:c>
      <x:c r="BO255" s="22">
        <x:v>110.45835</x:v>
      </x:c>
      <x:c r="BP255" s="22">
        <x:v>21.578488888888899</x:v>
      </x:c>
      <x:c r="BQ255" s="18">
        <x:v>150</x:v>
      </x:c>
      <x:c r="BR255" s="18">
        <x:v>237899.77</x:v>
      </x:c>
      <x:c r="BS255" s="18">
        <x:v>353.73099999999999</x:v>
      </x:c>
      <x:c r="BT255" s="18">
        <x:v>10.859</x:v>
      </x:c>
      <x:c r="BU255" s="18">
        <x:v>334.59399999999999</x:v>
      </x:c>
      <x:c r="BV255" s="18">
        <x:v>11.718999999999999</x:v>
      </x:c>
      <x:c r="BW255" s="18">
        <x:v>30898.09</x:v>
      </x:c>
      <x:c r="BX255" s="18">
        <x:v>1.353</x:v>
      </x:c>
      <x:c r="BY255" s="18">
        <x:v>6015.5550000000003</x:v>
      </x:c>
      <x:c r="BZ255" s="18">
        <x:v>6015.5550000000003</x:v>
      </x:c>
      <x:c r="CA255" s="23">
        <x:f t="shared" si="184"/>
        <x:v>3945.5552744100005</x:v>
      </x:c>
      <x:c r="CB255" s="23">
        <x:f t="shared" si="185"/>
        <x:v>2023.6756567700004</x:v>
      </x:c>
      <x:c r="CC255" s="23">
        <x:f t="shared" si="186"/>
        <x:v>452.19780400000002</x:v>
      </x:c>
      <x:c r="CD255" s="23">
        <x:f t="shared" si="187"/>
        <x:v>7834.2522796535213</x:v>
      </x:c>
      <x:c r="CE255" s="23">
        <x:f t="shared" si="188"/>
        <x:v>1891.0264123301604</x:v>
      </x:c>
      <x:c r="CF255" s="23">
        <x:f t="shared" si="189"/>
        <x:v>3.7820528246603207</x:v>
      </x:c>
      <x:c r="CG255" s="23">
        <x:f t="shared" si="190"/>
        <x:v>0</x:v>
      </x:c>
      <x:c r="CH255" s="23">
        <x:f t="shared" si="191"/>
        <x:v>9.043956080000001</x:v>
      </x:c>
      <x:c r="CI255" s="23">
        <x:f t="shared" si="192"/>
        <x:v>0</x:v>
      </x:c>
      <x:c r="CJ255" s="24" t="s">
        <x:v>180</x:v>
      </x:c>
      <x:c r="CK255" s="29">
        <x:v>99.92</x:v>
      </x:c>
      <x:c r="CL255" s="26" t="s">
        <x:v>78</x:v>
      </x:c>
      <x:c r="CM255" s="26" t="n">
        <x:f>(1-BV255/BU255)*100</x:f>
        <x:v>96.49754627996916</x:v>
      </x:c>
      <x:c r="CN255" s="30" t="s">
        <x:v>357</x:v>
      </x:c>
      <x:c r="CO255" s="27">
        <x:v>99.8</x:v>
      </x:c>
      <x:c r="CP255" s="27">
        <x:v>99.6</x:v>
      </x:c>
      <x:c r="CQ255" s="26">
        <x:f t="shared" si="193"/>
        <x:v>3.1564442195280908</x:v>
      </x:c>
      <x:c r="CR255" s="26">
        <x:f t="shared" si="194"/>
        <x:v>70.878303321899423</x:v>
      </x:c>
      <x:c r="CS255" s="26">
        <x:f t="shared" si="202"/>
        <x:v>452.19780400000002</x:v>
      </x:c>
      <x:c r="CT255" s="26">
        <x:f t="shared" si="219"/>
        <x:v>15.668504559307056</x:v>
      </x:c>
      <x:c r="CU255" s="26">
        <x:f t="shared" si="220"/>
        <x:v>7.5641056493206484</x:v>
      </x:c>
      <x:c r="CV255" s="26">
        <x:f t="shared" si="221"/>
        <x:v>1.5128211298641297E-2</x:v>
      </x:c>
      <x:c r="CW255" s="26">
        <x:f t="shared" si="222"/>
        <x:v>0</x:v>
      </x:c>
      <x:c r="CX255" s="26">
        <x:f t="shared" si="203"/>
        <x:v>9.043956080000001</x:v>
      </x:c>
      <x:c r="CY255" s="26">
        <x:f t="shared" si="204"/>
        <x:v>0</x:v>
      </x:c>
    </x:row>
    <x:row r="256">
      <x:c r="A256" s="18">
        <x:v>2022</x:v>
      </x:c>
      <x:c r="B256" t="s">
        <x:v>553</x:v>
      </x:c>
      <x:c r="C256" t="s">
        <x:v>554</x:v>
      </x:c>
      <x:c r="D256" t="s">
        <x:v>555</x:v>
      </x:c>
      <x:c r="E256" s="18">
        <x:v>440981</x:v>
      </x:c>
      <x:c r="F256" t="s">
        <x:v>556</x:v>
      </x:c>
      <x:c r="G256" t="s">
        <x:v>526</x:v>
      </x:c>
      <x:c r="H256" s="18">
        <x:v>2221</x:v>
      </x:c>
      <x:c r="I256" t="s">
        <x:v>158</x:v>
      </x:c>
      <x:c r="J256" t="s">
        <x:v>78</x:v>
      </x:c>
      <x:c r="K256" t="s">
        <x:v>109</x:v>
      </x:c>
      <x:c r="L256" s="20">
        <x:v>0.6</x:v>
      </x:c>
      <x:c r="M256" t="s">
        <x:v>125</x:v>
      </x:c>
      <x:c r="N256" s="18">
        <x:v>25</x:v>
      </x:c>
      <x:c r="O256" t="s">
        <x:v>88</x:v>
      </x:c>
      <x:c r="P256" s="18">
        <x:v>5</x:v>
      </x:c>
      <x:c r="Q256" s="19" t="s">
        <x:v>238</x:v>
      </x:c>
      <x:c r="R256" s="18">
        <x:v>20606.5</x:v>
      </x:c>
      <x:c r="S256" t="s">
        <x:v>112</x:v>
      </x:c>
      <x:c r="T256" s="19">
        <x:f t="shared" si="238"/>
        <x:v>20606.5</x:v>
      </x:c>
      <x:c r="U256" s="20">
        <x:v>0.22</x:v>
      </x:c>
      <x:c r="V256" t="s">
        <x:v>113</x:v>
      </x:c>
      <x:c r="W256" s="20">
        <x:v>5</x:v>
      </x:c>
      <x:c r="X256" s="21">
        <x:f t="shared" si="239"/>
        <x:v>77.068310000000011</x:v>
      </x:c>
      <x:c r="Y256" s="21">
        <x:f t="shared" si="247"/>
        <x:v>184.63424000000003</x:v>
      </x:c>
      <x:c r="Z256" s="21">
        <x:f t="shared" si="240"/>
        <x:v>41.213000000000001</x:v>
      </x:c>
      <x:c r="AA256" s="21">
        <x:f t="shared" si="248"/>
        <x:v>167.32478</x:v>
      </x:c>
      <x:c r="AB256" s="21">
        <x:f t="shared" si="249"/>
        <x:v>40.388740000000006</x:v>
      </x:c>
      <x:c r="AC256" s="21">
        <x:f t="shared" si="245"/>
        <x:v>8.0777480000000013E-2</x:v>
      </x:c>
      <x:c r="AD256" s="21"/>
      <x:c r="AE256" s="21">
        <x:f t="shared" si="242"/>
        <x:v>0.82425999999999999</x:v>
      </x:c>
      <x:c r="AF256" s="21"/>
      <x:c r="AG256" s="19" t="s">
        <x:v>78</x:v>
      </x:c>
      <x:c r="AH256" t="s">
        <x:v>78</x:v>
      </x:c>
      <x:c r="AI256" t="s">
        <x:v>78</x:v>
      </x:c>
      <x:c r="AJ256" s="19"/>
      <x:c r="AK256" s="19" t="s">
        <x:v>78</x:v>
      </x:c>
      <x:c r="AL256" t="s">
        <x:v>78</x:v>
      </x:c>
      <x:c r="AM256" s="19" t="s">
        <x:v>78</x:v>
      </x:c>
      <x:c r="AN256" s="21"/>
      <x:c r="AO256" s="21"/>
      <x:c r="AP256" s="21"/>
      <x:c r="AQ256" s="21"/>
      <x:c r="AR256" s="21"/>
      <x:c r="AS256" s="21"/>
      <x:c r="AT256" s="21"/>
      <x:c r="AU256" s="21"/>
      <x:c r="AV256" s="21"/>
      <x:c r="AW256" t="s">
        <x:v>78</x:v>
      </x:c>
      <x:c r="AX256" s="19"/>
      <x:c r="AY256" s="21"/>
      <x:c r="AZ256" s="21"/>
      <x:c r="BA256" s="21"/>
      <x:c r="BB256" s="21"/>
      <x:c r="BC256" s="21"/>
      <x:c r="BD256" s="21"/>
      <x:c r="BE256" s="21"/>
      <x:c r="BF256" s="21"/>
      <x:c r="BG256" s="21"/>
      <x:c r="BH256" t="s">
        <x:v>81</x:v>
      </x:c>
      <x:c r="BI256" s="18">
        <x:v>21</x:v>
      </x:c>
      <x:c r="BJ256" s="18">
        <x:v>48</x:v>
      </x:c>
      <x:c r="BK256" s="18">
        <x:v>1</x:v>
      </x:c>
      <x:c r="BL256" s="18">
        <x:v>11</x:v>
      </x:c>
      <x:c r="BM256" s="18">
        <x:v>48</x:v>
      </x:c>
      <x:c r="BN256" s="18">
        <x:v>5</x:v>
      </x:c>
      <x:c r="BO256" s="22">
        <x:v>110.811144</x:v>
      </x:c>
      <x:c r="BP256" s="22">
        <x:v>21.802849999999999</x:v>
      </x:c>
      <x:c r="BQ256" s="18">
        <x:v>60</x:v>
      </x:c>
      <x:c r="BR256" s="18">
        <x:v>27624.49</x:v>
      </x:c>
      <x:c r="BS256" t="s">
        <x:v>78</x:v>
      </x:c>
      <x:c r="BT256" t="s">
        <x:v>78</x:v>
      </x:c>
      <x:c r="BU256" t="s">
        <x:v>78</x:v>
      </x:c>
      <x:c r="BV256" t="s">
        <x:v>78</x:v>
      </x:c>
      <x:c r="BW256" t="s">
        <x:v>78</x:v>
      </x:c>
      <x:c r="BX256" t="s">
        <x:v>78</x:v>
      </x:c>
      <x:c r="BY256" s="18">
        <x:v>166.70699999999999</x:v>
      </x:c>
      <x:c r="BZ256" s="18">
        <x:v>166.70699999999999</x:v>
      </x:c>
      <x:c r="CA256" s="23">
        <x:f t="shared" si="184"/>
        <x:v>77.068310000000011</x:v>
      </x:c>
      <x:c r="CB256" s="23">
        <x:f t="shared" si="185"/>
        <x:v>184.63424000000003</x:v>
      </x:c>
      <x:c r="CC256" s="23">
        <x:f t="shared" si="186"/>
        <x:v>41.213000000000001</x:v>
      </x:c>
      <x:c r="CD256" s="23">
        <x:f t="shared" si="187"/>
        <x:v>167.32478</x:v>
      </x:c>
      <x:c r="CE256" s="23">
        <x:f t="shared" si="188"/>
        <x:v>40.388740000000006</x:v>
      </x:c>
      <x:c r="CF256" s="23">
        <x:f t="shared" si="189"/>
        <x:v>8.0777480000000013E-2</x:v>
      </x:c>
      <x:c r="CG256" s="23">
        <x:f t="shared" si="190"/>
        <x:v>0</x:v>
      </x:c>
      <x:c r="CH256" s="23">
        <x:f t="shared" si="191"/>
        <x:v>0.82425999999999999</x:v>
      </x:c>
      <x:c r="CI256" s="23">
        <x:f t="shared" si="192"/>
        <x:v>0</x:v>
      </x:c>
      <x:c r="CJ256" s="24" t="s">
        <x:v>225</x:v>
      </x:c>
      <x:c r="CK256" s="25">
        <x:v>65</x:v>
      </x:c>
      <x:c r="CL256" s="26" t="s">
        <x:v>127</x:v>
      </x:c>
      <x:c r="CM256" s="26">
        <x:v>75</x:v>
      </x:c>
      <x:c r="CN256" s="27" t="s">
        <x:v>233</x:v>
      </x:c>
      <x:c r="CO256" s="27">
        <x:v>99.4</x:v>
      </x:c>
      <x:c r="CP256" s="27">
        <x:v>98.3</x:v>
      </x:c>
      <x:c r="CQ256" s="26">
        <x:f t="shared" si="193"/>
        <x:v>26.973908500000004</x:v>
      </x:c>
      <x:c r="CR256" s="26">
        <x:f t="shared" si="194"/>
        <x:v>46.158560000000008</x:v>
      </x:c>
      <x:c r="CS256" s="26">
        <x:f t="shared" si="202"/>
        <x:v>41.213000000000001</x:v>
      </x:c>
      <x:c r="CT256" s="26">
        <x:f t="shared" si="219"/>
        <x:v>1.0039486799999824</x:v>
      </x:c>
      <x:c r="CU256" s="26">
        <x:f t="shared" si="220"/>
        <x:v>0.68660858000000069</x:v>
      </x:c>
      <x:c r="CV256" s="26">
        <x:f t="shared" si="221"/>
        <x:v>1.3732171600000015E-3</x:v>
      </x:c>
      <x:c r="CW256" s="26">
        <x:f t="shared" si="222"/>
        <x:v>0</x:v>
      </x:c>
      <x:c r="CX256" s="26">
        <x:f t="shared" si="203"/>
        <x:v>0.82425999999999999</x:v>
      </x:c>
      <x:c r="CY256" s="26">
        <x:f t="shared" si="204"/>
        <x:v>0</x:v>
      </x:c>
    </x:row>
    <x:row r="257">
      <x:c r="A257" s="18">
        <x:v>2022</x:v>
      </x:c>
      <x:c r="B257" t="s">
        <x:v>553</x:v>
      </x:c>
      <x:c r="C257" t="s">
        <x:v>554</x:v>
      </x:c>
      <x:c r="D257" t="s">
        <x:v>555</x:v>
      </x:c>
      <x:c r="E257" s="18">
        <x:v>440981</x:v>
      </x:c>
      <x:c r="F257" t="s">
        <x:v>556</x:v>
      </x:c>
      <x:c r="G257" t="s">
        <x:v>526</x:v>
      </x:c>
      <x:c r="H257" s="18">
        <x:v>2221</x:v>
      </x:c>
      <x:c r="I257" t="s">
        <x:v>158</x:v>
      </x:c>
      <x:c r="J257" t="s">
        <x:v>78</x:v>
      </x:c>
      <x:c r="K257" t="s">
        <x:v>109</x:v>
      </x:c>
      <x:c r="L257" s="20">
        <x:v>0.6</x:v>
      </x:c>
      <x:c r="M257" t="s">
        <x:v>125</x:v>
      </x:c>
      <x:c r="N257" s="18">
        <x:v>25</x:v>
      </x:c>
      <x:c r="O257" t="s">
        <x:v>88</x:v>
      </x:c>
      <x:c r="P257" s="18">
        <x:v>5</x:v>
      </x:c>
      <x:c r="Q257" s="19" t="s">
        <x:v>238</x:v>
      </x:c>
      <x:c r="R257" s="18">
        <x:v>20606.5</x:v>
      </x:c>
      <x:c r="S257" t="s">
        <x:v>112</x:v>
      </x:c>
      <x:c r="T257" s="19">
        <x:f t="shared" si="238"/>
        <x:v>20606.5</x:v>
      </x:c>
      <x:c r="U257" s="20">
        <x:v>0.22</x:v>
      </x:c>
      <x:c r="V257" t="s">
        <x:v>113</x:v>
      </x:c>
      <x:c r="W257" s="20">
        <x:v>5</x:v>
      </x:c>
      <x:c r="X257" s="21">
        <x:f t="shared" si="239"/>
        <x:v>77.068310000000011</x:v>
      </x:c>
      <x:c r="Y257" s="21">
        <x:f t="shared" si="247"/>
        <x:v>184.63424000000003</x:v>
      </x:c>
      <x:c r="Z257" s="21">
        <x:f t="shared" si="240"/>
        <x:v>41.213000000000001</x:v>
      </x:c>
      <x:c r="AA257" s="21">
        <x:f t="shared" si="248"/>
        <x:v>167.32478</x:v>
      </x:c>
      <x:c r="AB257" s="21">
        <x:f t="shared" si="249"/>
        <x:v>40.388740000000006</x:v>
      </x:c>
      <x:c r="AC257" s="21">
        <x:f t="shared" si="245"/>
        <x:v>8.0777480000000013E-2</x:v>
      </x:c>
      <x:c r="AD257" s="21"/>
      <x:c r="AE257" s="21">
        <x:f t="shared" si="242"/>
        <x:v>0.82425999999999999</x:v>
      </x:c>
      <x:c r="AF257" s="21"/>
      <x:c r="AG257" s="19" t="s">
        <x:v>78</x:v>
      </x:c>
      <x:c r="AH257" t="s">
        <x:v>78</x:v>
      </x:c>
      <x:c r="AI257" t="s">
        <x:v>78</x:v>
      </x:c>
      <x:c r="AJ257" s="19"/>
      <x:c r="AK257" s="19" t="s">
        <x:v>78</x:v>
      </x:c>
      <x:c r="AL257" t="s">
        <x:v>78</x:v>
      </x:c>
      <x:c r="AM257" s="19" t="s">
        <x:v>78</x:v>
      </x:c>
      <x:c r="AN257" s="21"/>
      <x:c r="AO257" s="21"/>
      <x:c r="AP257" s="21"/>
      <x:c r="AQ257" s="21"/>
      <x:c r="AR257" s="21"/>
      <x:c r="AS257" s="21"/>
      <x:c r="AT257" s="21"/>
      <x:c r="AU257" s="21"/>
      <x:c r="AV257" s="21"/>
      <x:c r="AW257" t="s">
        <x:v>78</x:v>
      </x:c>
      <x:c r="AX257" s="19"/>
      <x:c r="AY257" s="21"/>
      <x:c r="AZ257" s="21"/>
      <x:c r="BA257" s="21"/>
      <x:c r="BB257" s="21"/>
      <x:c r="BC257" s="21"/>
      <x:c r="BD257" s="21"/>
      <x:c r="BE257" s="21"/>
      <x:c r="BF257" s="21"/>
      <x:c r="BG257" s="21"/>
      <x:c r="BH257" t="s">
        <x:v>81</x:v>
      </x:c>
      <x:c r="BI257" s="18">
        <x:v>21</x:v>
      </x:c>
      <x:c r="BJ257" s="18">
        <x:v>48</x:v>
      </x:c>
      <x:c r="BK257" s="18">
        <x:v>1</x:v>
      </x:c>
      <x:c r="BL257" s="18">
        <x:v>11</x:v>
      </x:c>
      <x:c r="BM257" s="18">
        <x:v>48</x:v>
      </x:c>
      <x:c r="BN257" s="18">
        <x:v>5</x:v>
      </x:c>
      <x:c r="BO257" s="22">
        <x:v>110.811144</x:v>
      </x:c>
      <x:c r="BP257" s="22">
        <x:v>21.802849999999999</x:v>
      </x:c>
      <x:c r="BQ257" s="18">
        <x:v>60</x:v>
      </x:c>
      <x:c r="BR257" s="18">
        <x:v>27624.49</x:v>
      </x:c>
      <x:c r="BS257" t="s">
        <x:v>78</x:v>
      </x:c>
      <x:c r="BT257" t="s">
        <x:v>78</x:v>
      </x:c>
      <x:c r="BU257" t="s">
        <x:v>78</x:v>
      </x:c>
      <x:c r="BV257" t="s">
        <x:v>78</x:v>
      </x:c>
      <x:c r="BW257" t="s">
        <x:v>78</x:v>
      </x:c>
      <x:c r="BX257" t="s">
        <x:v>78</x:v>
      </x:c>
      <x:c r="BY257" s="18">
        <x:v>166.70699999999999</x:v>
      </x:c>
      <x:c r="BZ257" s="18">
        <x:v>166.70699999999999</x:v>
      </x:c>
      <x:c r="CA257" s="23">
        <x:f t="shared" si="184"/>
        <x:v>77.068310000000011</x:v>
      </x:c>
      <x:c r="CB257" s="23">
        <x:f t="shared" si="185"/>
        <x:v>184.63424000000003</x:v>
      </x:c>
      <x:c r="CC257" s="23">
        <x:f t="shared" si="186"/>
        <x:v>41.213000000000001</x:v>
      </x:c>
      <x:c r="CD257" s="23">
        <x:f t="shared" si="187"/>
        <x:v>167.32478</x:v>
      </x:c>
      <x:c r="CE257" s="23">
        <x:f t="shared" si="188"/>
        <x:v>40.388740000000006</x:v>
      </x:c>
      <x:c r="CF257" s="23">
        <x:f t="shared" si="189"/>
        <x:v>8.0777480000000013E-2</x:v>
      </x:c>
      <x:c r="CG257" s="23">
        <x:f t="shared" si="190"/>
        <x:v>0</x:v>
      </x:c>
      <x:c r="CH257" s="23">
        <x:f t="shared" si="191"/>
        <x:v>0.82425999999999999</x:v>
      </x:c>
      <x:c r="CI257" s="23">
        <x:f t="shared" si="192"/>
        <x:v>0</x:v>
      </x:c>
      <x:c r="CJ257" s="24" t="s">
        <x:v>225</x:v>
      </x:c>
      <x:c r="CK257" s="25">
        <x:v>65</x:v>
      </x:c>
      <x:c r="CL257" s="26" t="s">
        <x:v>127</x:v>
      </x:c>
      <x:c r="CM257" s="26">
        <x:v>75</x:v>
      </x:c>
      <x:c r="CN257" s="27" t="s">
        <x:v>233</x:v>
      </x:c>
      <x:c r="CO257" s="27">
        <x:v>99.4</x:v>
      </x:c>
      <x:c r="CP257" s="27">
        <x:v>98.3</x:v>
      </x:c>
      <x:c r="CQ257" s="26">
        <x:f t="shared" si="193"/>
        <x:v>26.973908500000004</x:v>
      </x:c>
      <x:c r="CR257" s="26">
        <x:f t="shared" si="194"/>
        <x:v>46.158560000000008</x:v>
      </x:c>
      <x:c r="CS257" s="26">
        <x:f t="shared" si="202"/>
        <x:v>41.213000000000001</x:v>
      </x:c>
      <x:c r="CT257" s="26">
        <x:f t="shared" si="219"/>
        <x:v>1.0039486799999824</x:v>
      </x:c>
      <x:c r="CU257" s="26">
        <x:f t="shared" si="220"/>
        <x:v>0.68660858000000069</x:v>
      </x:c>
      <x:c r="CV257" s="26">
        <x:f t="shared" si="221"/>
        <x:v>1.3732171600000015E-3</x:v>
      </x:c>
      <x:c r="CW257" s="26">
        <x:f t="shared" si="222"/>
        <x:v>0</x:v>
      </x:c>
      <x:c r="CX257" s="26">
        <x:f t="shared" si="203"/>
        <x:v>0.82425999999999999</x:v>
      </x:c>
      <x:c r="CY257" s="26">
        <x:f t="shared" si="204"/>
        <x:v>0</x:v>
      </x:c>
    </x:row>
    <x:row r="258">
      <x:c r="A258" s="18">
        <x:v>2022</x:v>
      </x:c>
      <x:c r="B258" t="s">
        <x:v>557</x:v>
      </x:c>
      <x:c r="C258" t="s">
        <x:v>558</x:v>
      </x:c>
      <x:c r="D258" t="s">
        <x:v>559</x:v>
      </x:c>
      <x:c r="E258" s="18">
        <x:v>440981</x:v>
      </x:c>
      <x:c r="F258" t="s">
        <x:v>556</x:v>
      </x:c>
      <x:c r="G258" t="s">
        <x:v>526</x:v>
      </x:c>
      <x:c r="H258" s="18">
        <x:v>4412</x:v>
      </x:c>
      <x:c r="I258" t="s">
        <x:v>108</x:v>
      </x:c>
      <x:c r="J258" t="s">
        <x:v>78</x:v>
      </x:c>
      <x:c r="K258" t="s">
        <x:v>194</x:v>
      </x:c>
      <x:c r="L258" s="18">
        <x:v>75</x:v>
      </x:c>
      <x:c r="M258" t="s">
        <x:v>78</x:v>
      </x:c>
      <x:c r="N258" t="s">
        <x:v>78</x:v>
      </x:c>
      <x:c r="O258" t="s">
        <x:v>88</x:v>
      </x:c>
      <x:c r="P258" s="18">
        <x:v>16</x:v>
      </x:c>
      <x:c r="Q258" s="19" t="s">
        <x:v>415</x:v>
      </x:c>
      <x:c r="R258" s="18">
        <x:v>10268.64</x:v>
      </x:c>
      <x:c r="S258" t="s">
        <x:v>112</x:v>
      </x:c>
      <x:c r="T258" s="19">
        <x:f t="shared" si="238"/>
        <x:v>10268.64</x:v>
      </x:c>
      <x:c r="U258" s="20">
        <x:v>0.153</x:v>
      </x:c>
      <x:c r="V258" t="s">
        <x:v>113</x:v>
      </x:c>
      <x:c r="W258" s="20">
        <x:v>0</x:v>
      </x:c>
      <x:c r="X258" s="21" t="n">
        <x:f>2*U258/100*T258</x:f>
        <x:v>31.422038399999995</x:v>
      </x:c>
      <x:c r="Y258" s="21" t="n">
        <x:f>3.74*T258/1000</x:f>
        <x:v>38.4047136</x:v>
      </x:c>
      <x:c r="Z258" s="21" t="n">
        <x:f>0.36*T258/1000</x:f>
        <x:v>3.6967103999999993</x:v>
      </x:c>
      <x:c r="AA258" s="21" t="n">
        <x:f>0.17*T258/1000</x:f>
        <x:v>1.7456688</x:v>
      </x:c>
      <x:c r="AB258" s="21" t="n">
        <x:f>0.17*T258/1000</x:f>
        <x:v>1.7456688</x:v>
      </x:c>
      <x:c r="AC258" s="21" t="n">
        <x:f>0.02*T258/1000</x:f>
        <x:v>0.2053728</x:v>
      </x:c>
      <x:c r="AD258" s="21" t="n">
        <x:f>0.09*T258/1000</x:f>
        <x:v>0.9241775999999998</x:v>
      </x:c>
      <x:c r="AE258" s="21" t="n">
        <x:f>33*T258/1000</x:f>
        <x:v>338.86512</x:v>
      </x:c>
      <x:c r="AF258" s="21"/>
      <x:c r="AG258" s="19" t="s">
        <x:v>78</x:v>
      </x:c>
      <x:c r="AH258" t="s">
        <x:v>78</x:v>
      </x:c>
      <x:c r="AI258" t="s">
        <x:v>78</x:v>
      </x:c>
      <x:c r="AJ258" s="19"/>
      <x:c r="AK258" s="19" t="s">
        <x:v>78</x:v>
      </x:c>
      <x:c r="AL258" t="s">
        <x:v>78</x:v>
      </x:c>
      <x:c r="AM258" s="19" t="s">
        <x:v>78</x:v>
      </x:c>
      <x:c r="AN258" s="21"/>
      <x:c r="AO258" s="21"/>
      <x:c r="AP258" s="21"/>
      <x:c r="AQ258" s="21"/>
      <x:c r="AR258" s="21"/>
      <x:c r="AS258" s="21"/>
      <x:c r="AT258" s="21"/>
      <x:c r="AU258" s="21"/>
      <x:c r="AV258" s="21"/>
      <x:c r="AW258" t="s">
        <x:v>78</x:v>
      </x:c>
      <x:c r="AX258" s="19"/>
      <x:c r="AY258" s="21"/>
      <x:c r="AZ258" s="21"/>
      <x:c r="BA258" s="21"/>
      <x:c r="BB258" s="21"/>
      <x:c r="BC258" s="21"/>
      <x:c r="BD258" s="21"/>
      <x:c r="BE258" s="21"/>
      <x:c r="BF258" s="21"/>
      <x:c r="BG258" s="21"/>
      <x:c r="BH258" t="s">
        <x:v>81</x:v>
      </x:c>
      <x:c r="BI258" s="18">
        <x:v>110</x:v>
      </x:c>
      <x:c r="BJ258" s="18">
        <x:v>50</x:v>
      </x:c>
      <x:c r="BK258" s="18">
        <x:v>19</x:v>
      </x:c>
      <x:c r="BL258" s="18">
        <x:v>21</x:v>
      </x:c>
      <x:c r="BM258" s="18">
        <x:v>49</x:v>
      </x:c>
      <x:c r="BN258" s="18">
        <x:v>17</x:v>
      </x:c>
      <x:c r="BO258" s="22">
        <x:v>110.83861111111101</x:v>
      </x:c>
      <x:c r="BP258" s="22">
        <x:v>21.821388888888901</x:v>
      </x:c>
      <x:c r="BQ258" s="18">
        <x:v>40</x:v>
      </x:c>
      <x:c r="BR258" s="18">
        <x:v>442137</x:v>
      </x:c>
      <x:c r="BS258" s="18">
        <x:v>0.60799999999999998</x:v>
      </x:c>
      <x:c r="BT258" s="18">
        <x:v>0.60799999999999998</x:v>
      </x:c>
      <x:c r="BU258" s="18">
        <x:v>13.07</x:v>
      </x:c>
      <x:c r="BV258" s="18">
        <x:v>3.9209999999999998</x:v>
      </x:c>
      <x:c r="BW258" s="18">
        <x:v>1.579</x:v>
      </x:c>
      <x:c r="BX258" s="18">
        <x:v>1.579</x:v>
      </x:c>
      <x:c r="BY258" t="s">
        <x:v>78</x:v>
      </x:c>
      <x:c r="BZ258" t="s">
        <x:v>78</x:v>
      </x:c>
      <x:c r="CA258" s="23" t="n">
        <x:f t="shared" ref="CA258:CA321" si="253">X258+AN258+AY258</x:f>
        <x:v>31.422038399999995</x:v>
      </x:c>
      <x:c r="CB258" s="23" t="n">
        <x:f t="shared" ref="CB258:CB321" si="254">Y258+AO258+AZ258</x:f>
        <x:v>38.4047136</x:v>
      </x:c>
      <x:c r="CC258" s="23" t="n">
        <x:f t="shared" ref="CC258:CC321" si="255">Z258+AP258+BA258</x:f>
        <x:v>3.6967103999999993</x:v>
      </x:c>
      <x:c r="CD258" s="23" t="n">
        <x:f t="shared" ref="CD258:CD321" si="256">AA258+AQ258+BB258</x:f>
        <x:v>1.7456688</x:v>
      </x:c>
      <x:c r="CE258" s="23" t="n">
        <x:f t="shared" ref="CE258:CE321" si="257">AB258+AR258+BC258</x:f>
        <x:v>1.7456688</x:v>
      </x:c>
      <x:c r="CF258" s="23" t="n">
        <x:f t="shared" ref="CF258:CF321" si="258">AC258+AS258+BD258</x:f>
        <x:v>0.2053728</x:v>
      </x:c>
      <x:c r="CG258" s="23" t="n">
        <x:f t="shared" ref="CG258:CG321" si="259">AD258+AT258+BE258</x:f>
        <x:v>0.9241775999999998</x:v>
      </x:c>
      <x:c r="CH258" s="23" t="n">
        <x:f t="shared" ref="CH258:CH321" si="260">AE258+AU258+BF258</x:f>
        <x:v>338.86512</x:v>
      </x:c>
      <x:c r="CI258" s="23" t="n">
        <x:f t="shared" ref="CI258:CI321" si="261">AF258+AV258+BG258</x:f>
        <x:v>0</x:v>
      </x:c>
      <x:c r="CJ258" s="24" t="s">
        <x:v>78</x:v>
      </x:c>
      <x:c r="CK258" s="25">
        <x:v>0</x:v>
      </x:c>
      <x:c r="CL258" s="26" t="s">
        <x:v>78</x:v>
      </x:c>
      <x:c r="CM258" s="26" t="n">
        <x:f>(1-BV258/BU258)*100</x:f>
        <x:v>70</x:v>
      </x:c>
      <x:c r="CN258" s="27" t="s">
        <x:v>78</x:v>
      </x:c>
      <x:c r="CO258" s="27">
        <x:v>0</x:v>
      </x:c>
      <x:c r="CP258" s="27">
        <x:v>0</x:v>
      </x:c>
      <x:c r="CQ258" s="26" t="n">
        <x:f t="shared" ref="CQ258:CQ321" si="262">CA258*(1-CK258/100)</x:f>
        <x:v>31.422038399999995</x:v>
      </x:c>
      <x:c r="CR258" s="26" t="n">
        <x:f t="shared" ref="CR258:CR321" si="263">CB258*(1-CM258/100)</x:f>
        <x:v>11.521414080000001</x:v>
      </x:c>
      <x:c r="CS258" s="26">
        <x:f t="shared" si="202"/>
        <x:v>3.6967103999999993</x:v>
      </x:c>
      <x:c r="CT258" s="26">
        <x:f t="shared" si="219"/>
        <x:v>1.7456688</x:v>
      </x:c>
      <x:c r="CU258" s="26">
        <x:f t="shared" si="220"/>
        <x:v>1.7456688</x:v>
      </x:c>
      <x:c r="CV258" s="26">
        <x:f t="shared" si="221"/>
        <x:v>0.20537279999999999</x:v>
      </x:c>
      <x:c r="CW258" s="26">
        <x:f t="shared" si="222"/>
        <x:v>0.92417759999999982</x:v>
      </x:c>
      <x:c r="CX258" s="26">
        <x:f t="shared" si="203"/>
        <x:v>338.86511999999999</x:v>
      </x:c>
      <x:c r="CY258" s="26">
        <x:f t="shared" si="204"/>
        <x:v>0</x:v>
      </x:c>
    </x:row>
    <x:row r="259">
      <x:c r="A259" s="18">
        <x:v>2022</x:v>
      </x:c>
      <x:c r="B259" t="s">
        <x:v>557</x:v>
      </x:c>
      <x:c r="C259" t="s">
        <x:v>558</x:v>
      </x:c>
      <x:c r="D259" t="s">
        <x:v>559</x:v>
      </x:c>
      <x:c r="E259" s="18">
        <x:v>440981</x:v>
      </x:c>
      <x:c r="F259" t="s">
        <x:v>556</x:v>
      </x:c>
      <x:c r="G259" t="s">
        <x:v>526</x:v>
      </x:c>
      <x:c r="H259" s="18">
        <x:v>4412</x:v>
      </x:c>
      <x:c r="I259" t="s">
        <x:v>108</x:v>
      </x:c>
      <x:c r="J259" t="s">
        <x:v>78</x:v>
      </x:c>
      <x:c r="K259" t="s">
        <x:v>194</x:v>
      </x:c>
      <x:c r="L259" s="18">
        <x:v>75</x:v>
      </x:c>
      <x:c r="M259" t="s">
        <x:v>78</x:v>
      </x:c>
      <x:c r="N259" t="s">
        <x:v>78</x:v>
      </x:c>
      <x:c r="O259" t="s">
        <x:v>88</x:v>
      </x:c>
      <x:c r="P259" s="18">
        <x:v>16</x:v>
      </x:c>
      <x:c r="Q259" s="19" t="s">
        <x:v>415</x:v>
      </x:c>
      <x:c r="R259" s="18">
        <x:v>8084.18</x:v>
      </x:c>
      <x:c r="S259" t="s">
        <x:v>112</x:v>
      </x:c>
      <x:c r="T259" s="19">
        <x:f t="shared" si="238"/>
        <x:v>8084.18</x:v>
      </x:c>
      <x:c r="U259" s="20">
        <x:v>0.153</x:v>
      </x:c>
      <x:c r="V259" t="s">
        <x:v>113</x:v>
      </x:c>
      <x:c r="W259" s="20">
        <x:v>0</x:v>
      </x:c>
      <x:c r="X259" s="21" t="n">
        <x:f>2*U259/100*T259</x:f>
        <x:v>24.7375908</x:v>
      </x:c>
      <x:c r="Y259" s="21" t="n">
        <x:f>3.74*T259/1000</x:f>
        <x:v>30.234833200000004</x:v>
      </x:c>
      <x:c r="Z259" s="21" t="n">
        <x:f>0.36*T259/1000</x:f>
        <x:v>2.9103048</x:v>
      </x:c>
      <x:c r="AA259" s="21" t="n">
        <x:f>0.17*T259/1000</x:f>
        <x:v>1.3743106000000003</x:v>
      </x:c>
      <x:c r="AB259" s="21" t="n">
        <x:f>0.17*T259/1000</x:f>
        <x:v>1.3743106000000003</x:v>
      </x:c>
      <x:c r="AC259" s="21" t="n">
        <x:f>0.02*T259/1000</x:f>
        <x:v>0.1616836</x:v>
      </x:c>
      <x:c r="AD259" s="21" t="n">
        <x:f>0.09*T259/1000</x:f>
        <x:v>0.7275762</x:v>
      </x:c>
      <x:c r="AE259" s="21" t="n">
        <x:f>33*T259/1000</x:f>
        <x:v>266.77794</x:v>
      </x:c>
      <x:c r="AF259" s="21"/>
      <x:c r="AG259" s="19" t="s">
        <x:v>78</x:v>
      </x:c>
      <x:c r="AH259" t="s">
        <x:v>78</x:v>
      </x:c>
      <x:c r="AI259" t="s">
        <x:v>78</x:v>
      </x:c>
      <x:c r="AJ259" s="19"/>
      <x:c r="AK259" s="19" t="s">
        <x:v>78</x:v>
      </x:c>
      <x:c r="AL259" t="s">
        <x:v>78</x:v>
      </x:c>
      <x:c r="AM259" s="19" t="s">
        <x:v>78</x:v>
      </x:c>
      <x:c r="AN259" s="21"/>
      <x:c r="AO259" s="21"/>
      <x:c r="AP259" s="21"/>
      <x:c r="AQ259" s="21"/>
      <x:c r="AR259" s="21"/>
      <x:c r="AS259" s="21"/>
      <x:c r="AT259" s="21"/>
      <x:c r="AU259" s="21"/>
      <x:c r="AV259" s="21"/>
      <x:c r="AW259" t="s">
        <x:v>78</x:v>
      </x:c>
      <x:c r="AX259" s="19"/>
      <x:c r="AY259" s="21"/>
      <x:c r="AZ259" s="21"/>
      <x:c r="BA259" s="21"/>
      <x:c r="BB259" s="21"/>
      <x:c r="BC259" s="21"/>
      <x:c r="BD259" s="21"/>
      <x:c r="BE259" s="21"/>
      <x:c r="BF259" s="21"/>
      <x:c r="BG259" s="21"/>
      <x:c r="BH259" t="s">
        <x:v>79</x:v>
      </x:c>
      <x:c r="BI259" s="18">
        <x:v>110</x:v>
      </x:c>
      <x:c r="BJ259" s="18">
        <x:v>50</x:v>
      </x:c>
      <x:c r="BK259" s="18">
        <x:v>19</x:v>
      </x:c>
      <x:c r="BL259" s="18">
        <x:v>21</x:v>
      </x:c>
      <x:c r="BM259" s="18">
        <x:v>49</x:v>
      </x:c>
      <x:c r="BN259" s="18">
        <x:v>17</x:v>
      </x:c>
      <x:c r="BO259" s="22">
        <x:v>110.83861111111101</x:v>
      </x:c>
      <x:c r="BP259" s="22">
        <x:v>21.821388888888901</x:v>
      </x:c>
      <x:c r="BQ259" s="18">
        <x:v>40</x:v>
      </x:c>
      <x:c r="BR259" s="18">
        <x:v>442137</x:v>
      </x:c>
      <x:c r="BS259" s="18">
        <x:v>0.47899999999999998</x:v>
      </x:c>
      <x:c r="BT259" s="18">
        <x:v>0.47899999999999998</x:v>
      </x:c>
      <x:c r="BU259" s="18">
        <x:v>10.281000000000001</x:v>
      </x:c>
      <x:c r="BV259" s="18">
        <x:v>3.0840000000000001</x:v>
      </x:c>
      <x:c r="BW259" s="18">
        <x:v>1.2430000000000001</x:v>
      </x:c>
      <x:c r="BX259" s="18">
        <x:v>1.2430000000000001</x:v>
      </x:c>
      <x:c r="BY259" t="s">
        <x:v>78</x:v>
      </x:c>
      <x:c r="BZ259" t="s">
        <x:v>78</x:v>
      </x:c>
      <x:c r="CA259" s="23">
        <x:f t="shared" si="253"/>
        <x:v>24.7375908</x:v>
      </x:c>
      <x:c r="CB259" s="23">
        <x:f t="shared" si="254"/>
        <x:v>30.234833200000004</x:v>
      </x:c>
      <x:c r="CC259" s="23">
        <x:f t="shared" si="255"/>
        <x:v>2.9103048</x:v>
      </x:c>
      <x:c r="CD259" s="23">
        <x:f t="shared" si="256"/>
        <x:v>1.3743106000000003</x:v>
      </x:c>
      <x:c r="CE259" s="23">
        <x:f t="shared" si="257"/>
        <x:v>1.3743106000000003</x:v>
      </x:c>
      <x:c r="CF259" s="23">
        <x:f t="shared" si="258"/>
        <x:v>0.16168360000000001</x:v>
      </x:c>
      <x:c r="CG259" s="23">
        <x:f t="shared" si="259"/>
        <x:v>0.72757620000000001</x:v>
      </x:c>
      <x:c r="CH259" s="23">
        <x:f t="shared" si="260"/>
        <x:v>266.77794</x:v>
      </x:c>
      <x:c r="CI259" s="23">
        <x:f t="shared" si="261"/>
        <x:v>0</x:v>
      </x:c>
      <x:c r="CJ259" s="24" t="s">
        <x:v>78</x:v>
      </x:c>
      <x:c r="CK259" s="25">
        <x:v>0</x:v>
      </x:c>
      <x:c r="CL259" s="26" t="s">
        <x:v>78</x:v>
      </x:c>
      <x:c r="CM259" s="26" t="n">
        <x:f>(1-BV259/BU259)*100</x:f>
        <x:v>70.0029180040852</x:v>
      </x:c>
      <x:c r="CN259" s="27" t="s">
        <x:v>78</x:v>
      </x:c>
      <x:c r="CO259" s="27">
        <x:v>0</x:v>
      </x:c>
      <x:c r="CP259" s="27">
        <x:v>0</x:v>
      </x:c>
      <x:c r="CQ259" s="26">
        <x:f t="shared" si="262"/>
        <x:v>24.7375908</x:v>
      </x:c>
      <x:c r="CR259" s="26">
        <x:f t="shared" si="263"/>
        <x:v>9.0695677063320712</x:v>
      </x:c>
      <x:c r="CS259" s="26" t="n">
        <x:f t="shared" ref="CS259:CS322" si="264">CC259</x:f>
        <x:v>2.9103048</x:v>
      </x:c>
      <x:c r="CT259" s="26">
        <x:f t="shared" si="219"/>
        <x:v>1.3743106000000003</x:v>
      </x:c>
      <x:c r="CU259" s="26">
        <x:f t="shared" si="220"/>
        <x:v>1.3743106000000003</x:v>
      </x:c>
      <x:c r="CV259" s="26">
        <x:f t="shared" si="221"/>
        <x:v>0.16168360000000001</x:v>
      </x:c>
      <x:c r="CW259" s="26">
        <x:f t="shared" si="222"/>
        <x:v>0.72757620000000001</x:v>
      </x:c>
      <x:c r="CX259" s="26" t="n">
        <x:f t="shared" ref="CX259:CX322" si="265">CH259</x:f>
        <x:v>266.77794</x:v>
      </x:c>
      <x:c r="CY259" s="26" t="n">
        <x:f t="shared" ref="CY259:CY322" si="266">CI259</x:f>
        <x:v>0</x:v>
      </x:c>
    </x:row>
    <x:row r="260">
      <x:c r="A260" s="18">
        <x:v>2022</x:v>
      </x:c>
      <x:c r="B260" t="s">
        <x:v>560</x:v>
      </x:c>
      <x:c r="C260" t="s">
        <x:v>561</x:v>
      </x:c>
      <x:c r="D260" t="s">
        <x:v>562</x:v>
      </x:c>
      <x:c r="E260" s="18">
        <x:v>440992</x:v>
      </x:c>
      <x:c r="F260" t="s">
        <x:v>563</x:v>
      </x:c>
      <x:c r="G260" t="s">
        <x:v>526</x:v>
      </x:c>
      <x:c r="H260" s="18">
        <x:v>4411</x:v>
      </x:c>
      <x:c r="I260" t="s">
        <x:v>102</x:v>
      </x:c>
      <x:c r="J260" t="s">
        <x:v>564</x:v>
      </x:c>
      <x:c r="K260" t="s">
        <x:v>109</x:v>
      </x:c>
      <x:c r="L260" s="20">
        <x:v>100</x:v>
      </x:c>
      <x:c r="M260" t="s">
        <x:v>110</x:v>
      </x:c>
      <x:c r="N260" s="18">
        <x:v>2994</x:v>
      </x:c>
      <x:c r="O260" t="s">
        <x:v>88</x:v>
      </x:c>
      <x:c r="P260" s="18">
        <x:v>4</x:v>
      </x:c>
      <x:c r="Q260" s="19" t="s">
        <x:v>111</x:v>
      </x:c>
      <x:c r="R260" s="18">
        <x:v>2305909</x:v>
      </x:c>
      <x:c r="S260" t="s">
        <x:v>112</x:v>
      </x:c>
      <x:c r="T260" s="19" t="n">
        <x:f t="shared" ref="T260:T263" si="267">R260</x:f>
        <x:v>2305909</x:v>
      </x:c>
      <x:c r="U260" s="20">
        <x:v>1.01</x:v>
      </x:c>
      <x:c r="V260" t="s">
        <x:v>113</x:v>
      </x:c>
      <x:c r="W260" s="20">
        <x:v>25</x:v>
      </x:c>
      <x:c r="X260" s="21" t="n">
        <x:f>2*U260/100*(1-0.15)*T260</x:f>
        <x:v>39592.45752999999</x:v>
      </x:c>
      <x:c r="Y260" s="21" t="n">
        <x:f>7.21*T260/1000</x:f>
        <x:v>16625.603890000002</x:v>
      </x:c>
      <x:c r="Z260" s="21" t="n">
        <x:f>2*T260/1000</x:f>
        <x:v>4611.818</x:v>
      </x:c>
      <x:c r="AA260" s="21" t="n">
        <x:f>W260/100*(1-0.25)*0.23*T260</x:f>
        <x:v>99442.32562500001</x:v>
      </x:c>
      <x:c r="AB260" s="21" t="n">
        <x:f>W260/100*(1-0.25)*0.06*T260</x:f>
        <x:v>25941.47625</x:v>
      </x:c>
      <x:c r="AC260" s="21" t="n">
        <x:f t="shared" ref="AC260:AC261" si="268">0.002*AB260</x:f>
        <x:v>51.8829525</x:v>
      </x:c>
      <x:c r="AD260" s="21"/>
      <x:c r="AE260" s="21" t="n">
        <x:f>0.04*T260/1000</x:f>
        <x:v>92.23636</x:v>
      </x:c>
      <x:c r="AF260" s="21"/>
      <x:c r="AG260" s="19" t="s">
        <x:v>78</x:v>
      </x:c>
      <x:c r="AH260" t="s">
        <x:v>78</x:v>
      </x:c>
      <x:c r="AI260" t="s">
        <x:v>78</x:v>
      </x:c>
      <x:c r="AJ260" s="19"/>
      <x:c r="AK260" s="19" t="s">
        <x:v>78</x:v>
      </x:c>
      <x:c r="AL260" t="s">
        <x:v>78</x:v>
      </x:c>
      <x:c r="AM260" s="19" t="s">
        <x:v>78</x:v>
      </x:c>
      <x:c r="AN260" s="21"/>
      <x:c r="AO260" s="21"/>
      <x:c r="AP260" s="21"/>
      <x:c r="AQ260" s="21"/>
      <x:c r="AR260" s="21"/>
      <x:c r="AS260" s="21"/>
      <x:c r="AT260" s="21"/>
      <x:c r="AU260" s="21"/>
      <x:c r="AV260" s="21"/>
      <x:c r="AW260" t="s">
        <x:v>78</x:v>
      </x:c>
      <x:c r="AX260" s="19"/>
      <x:c r="AY260" s="21"/>
      <x:c r="AZ260" s="21"/>
      <x:c r="BA260" s="21"/>
      <x:c r="BB260" s="21"/>
      <x:c r="BC260" s="21"/>
      <x:c r="BD260" s="21"/>
      <x:c r="BE260" s="21"/>
      <x:c r="BF260" s="21"/>
      <x:c r="BG260" s="21"/>
      <x:c r="BH260" t="s">
        <x:v>81</x:v>
      </x:c>
      <x:c r="BI260" s="18">
        <x:v>21</x:v>
      </x:c>
      <x:c r="BJ260" s="18">
        <x:v>26</x:v>
      </x:c>
      <x:c r="BK260" s="18">
        <x:v>17.559999999999999</x:v>
      </x:c>
      <x:c r="BL260" s="18">
        <x:v>11</x:v>
      </x:c>
      <x:c r="BM260" s="18">
        <x:v>17</x:v>
      </x:c>
      <x:c r="BN260" s="18">
        <x:v>45.35</x:v>
      </x:c>
      <x:c r="BO260" s="22">
        <x:v>111.295956</x:v>
      </x:c>
      <x:c r="BP260" s="22">
        <x:v>21.449363000000002</x:v>
      </x:c>
      <x:c r="BQ260" s="18">
        <x:v>230</x:v>
      </x:c>
      <x:c r="BR260" s="18">
        <x:v>1669737</x:v>
      </x:c>
      <x:c r="BS260" s="18">
        <x:v>38070.057000000001</x:v>
      </x:c>
      <x:c r="BT260" s="18">
        <x:v>240.79300000000001</x:v>
      </x:c>
      <x:c r="BU260" s="18">
        <x:v>5286.808</x:v>
      </x:c>
      <x:c r="BV260" s="18">
        <x:v>600.37099999999998</x:v>
      </x:c>
      <x:c r="BW260" s="18">
        <x:v>46.703000000000003</x:v>
      </x:c>
      <x:c r="BX260" s="18">
        <x:v>25.045999999999999</x:v>
      </x:c>
      <x:c r="BY260" s="18">
        <x:v>27209.725999999999</x:v>
      </x:c>
      <x:c r="BZ260" s="18">
        <x:v>27209.725999999999</x:v>
      </x:c>
      <x:c r="CA260" s="23">
        <x:f t="shared" si="253"/>
        <x:v>39592.457529999992</x:v>
      </x:c>
      <x:c r="CB260" s="23">
        <x:f t="shared" si="254"/>
        <x:v>16625.603890000002</x:v>
      </x:c>
      <x:c r="CC260" s="23">
        <x:f t="shared" si="255"/>
        <x:v>4611.8180000000002</x:v>
      </x:c>
      <x:c r="CD260" s="23">
        <x:f t="shared" si="256"/>
        <x:v>99442.325625000012</x:v>
      </x:c>
      <x:c r="CE260" s="23">
        <x:f t="shared" si="257"/>
        <x:v>25941.47625</x:v>
      </x:c>
      <x:c r="CF260" s="23">
        <x:f t="shared" si="258"/>
        <x:v>51.882952500000002</x:v>
      </x:c>
      <x:c r="CG260" s="23">
        <x:f t="shared" si="259"/>
        <x:v>0</x:v>
      </x:c>
      <x:c r="CH260" s="23">
        <x:f t="shared" si="260"/>
        <x:v>92.236360000000005</x:v>
      </x:c>
      <x:c r="CI260" s="23">
        <x:f t="shared" si="261"/>
        <x:v>0</x:v>
      </x:c>
      <x:c r="CJ260" s="24" t="s">
        <x:v>239</x:v>
      </x:c>
      <x:c r="CK260" s="25">
        <x:v>98.2</x:v>
      </x:c>
      <x:c r="CL260" s="26" t="s">
        <x:v>240</x:v>
      </x:c>
      <x:c r="CM260" s="26">
        <x:v>86</x:v>
      </x:c>
      <x:c r="CN260" s="27" t="s">
        <x:v>241</x:v>
      </x:c>
      <x:c r="CO260" s="27">
        <x:v>99.4</x:v>
      </x:c>
      <x:c r="CP260" s="27">
        <x:v>98.3</x:v>
      </x:c>
      <x:c r="CQ260" s="26">
        <x:f t="shared" si="262"/>
        <x:v>712.6642355400005</x:v>
      </x:c>
      <x:c r="CR260" s="26">
        <x:f t="shared" si="263"/>
        <x:v>2327.5845446000003</x:v>
      </x:c>
      <x:c r="CS260" s="26">
        <x:f t="shared" si="264"/>
        <x:v>4611.8180000000002</x:v>
      </x:c>
      <x:c r="CT260" s="26">
        <x:f t="shared" si="219"/>
        <x:v>596.65395374998957</x:v>
      </x:c>
      <x:c r="CU260" s="26">
        <x:f t="shared" si="220"/>
        <x:v>441.00509625000041</x:v>
      </x:c>
      <x:c r="CV260" s="26">
        <x:f t="shared" si="221"/>
        <x:v>0.88201019250000079</x:v>
      </x:c>
      <x:c r="CW260" s="26">
        <x:f t="shared" si="222"/>
        <x:v>0</x:v>
      </x:c>
      <x:c r="CX260" s="26">
        <x:f t="shared" si="265"/>
        <x:v>92.236360000000005</x:v>
      </x:c>
      <x:c r="CY260" s="26">
        <x:f t="shared" si="266"/>
        <x:v>0</x:v>
      </x:c>
    </x:row>
    <x:row r="261">
      <x:c r="A261" s="18">
        <x:v>2022</x:v>
      </x:c>
      <x:c r="B261" t="s">
        <x:v>560</x:v>
      </x:c>
      <x:c r="C261" t="s">
        <x:v>561</x:v>
      </x:c>
      <x:c r="D261" t="s">
        <x:v>562</x:v>
      </x:c>
      <x:c r="E261" s="18">
        <x:v>440992</x:v>
      </x:c>
      <x:c r="F261" t="s">
        <x:v>563</x:v>
      </x:c>
      <x:c r="G261" t="s">
        <x:v>526</x:v>
      </x:c>
      <x:c r="H261" s="18">
        <x:v>4411</x:v>
      </x:c>
      <x:c r="I261" t="s">
        <x:v>102</x:v>
      </x:c>
      <x:c r="J261" t="s">
        <x:v>564</x:v>
      </x:c>
      <x:c r="K261" t="s">
        <x:v>109</x:v>
      </x:c>
      <x:c r="L261" s="20">
        <x:v>100</x:v>
      </x:c>
      <x:c r="M261" t="s">
        <x:v>110</x:v>
      </x:c>
      <x:c r="N261" s="18">
        <x:v>2994</x:v>
      </x:c>
      <x:c r="O261" t="s">
        <x:v>88</x:v>
      </x:c>
      <x:c r="P261" s="18">
        <x:v>4</x:v>
      </x:c>
      <x:c r="Q261" s="19" t="s">
        <x:v>111</x:v>
      </x:c>
      <x:c r="R261" s="18">
        <x:v>1934083</x:v>
      </x:c>
      <x:c r="S261" t="s">
        <x:v>112</x:v>
      </x:c>
      <x:c r="T261" s="19">
        <x:f t="shared" si="267"/>
        <x:v>1934083</x:v>
      </x:c>
      <x:c r="U261" s="20">
        <x:v>1.01</x:v>
      </x:c>
      <x:c r="V261" t="s">
        <x:v>113</x:v>
      </x:c>
      <x:c r="W261" s="20">
        <x:v>25</x:v>
      </x:c>
      <x:c r="X261" s="21" t="n">
        <x:f>2*U261/100*(1-0.15)*T261</x:f>
        <x:v>33208.205109999995</x:v>
      </x:c>
      <x:c r="Y261" s="21" t="n">
        <x:f>7.21*T261/1000</x:f>
        <x:v>13944.73843</x:v>
      </x:c>
      <x:c r="Z261" s="21" t="n">
        <x:f>2*T261/1000</x:f>
        <x:v>3868.166</x:v>
      </x:c>
      <x:c r="AA261" s="21" t="n">
        <x:f>W261/100*(1-0.25)*0.23*T261</x:f>
        <x:v>83407.329375</x:v>
      </x:c>
      <x:c r="AB261" s="21" t="n">
        <x:f>W261/100*(1-0.25)*0.06*T261</x:f>
        <x:v>21758.43375</x:v>
      </x:c>
      <x:c r="AC261" s="21">
        <x:f t="shared" si="268"/>
        <x:v>43.516867500000004</x:v>
      </x:c>
      <x:c r="AD261" s="21"/>
      <x:c r="AE261" s="21" t="n">
        <x:f>0.04*T261/1000</x:f>
        <x:v>77.36332</x:v>
      </x:c>
      <x:c r="AF261" s="21"/>
      <x:c r="AG261" s="19" t="s">
        <x:v>78</x:v>
      </x:c>
      <x:c r="AH261" t="s">
        <x:v>78</x:v>
      </x:c>
      <x:c r="AI261" t="s">
        <x:v>78</x:v>
      </x:c>
      <x:c r="AJ261" s="19"/>
      <x:c r="AK261" s="19" t="s">
        <x:v>78</x:v>
      </x:c>
      <x:c r="AL261" t="s">
        <x:v>78</x:v>
      </x:c>
      <x:c r="AM261" s="19" t="s">
        <x:v>78</x:v>
      </x:c>
      <x:c r="AN261" s="21"/>
      <x:c r="AO261" s="21"/>
      <x:c r="AP261" s="21"/>
      <x:c r="AQ261" s="21"/>
      <x:c r="AR261" s="21"/>
      <x:c r="AS261" s="21"/>
      <x:c r="AT261" s="21"/>
      <x:c r="AU261" s="21"/>
      <x:c r="AV261" s="21"/>
      <x:c r="AW261" t="s">
        <x:v>78</x:v>
      </x:c>
      <x:c r="AX261" s="19"/>
      <x:c r="AY261" s="21"/>
      <x:c r="AZ261" s="21"/>
      <x:c r="BA261" s="21"/>
      <x:c r="BB261" s="21"/>
      <x:c r="BC261" s="21"/>
      <x:c r="BD261" s="21"/>
      <x:c r="BE261" s="21"/>
      <x:c r="BF261" s="21"/>
      <x:c r="BG261" s="21"/>
      <x:c r="BH261" t="s">
        <x:v>83</x:v>
      </x:c>
      <x:c r="BI261" s="18">
        <x:v>21</x:v>
      </x:c>
      <x:c r="BJ261" s="18">
        <x:v>26</x:v>
      </x:c>
      <x:c r="BK261" s="18">
        <x:v>17.559999999999999</x:v>
      </x:c>
      <x:c r="BL261" s="18">
        <x:v>11</x:v>
      </x:c>
      <x:c r="BM261" s="18">
        <x:v>17</x:v>
      </x:c>
      <x:c r="BN261" s="18">
        <x:v>45.35</x:v>
      </x:c>
      <x:c r="BO261" s="22">
        <x:v>111.295956</x:v>
      </x:c>
      <x:c r="BP261" s="22">
        <x:v>21.449363000000002</x:v>
      </x:c>
      <x:c r="BQ261" s="18">
        <x:v>230</x:v>
      </x:c>
      <x:c r="BR261" s="18">
        <x:v>1553653</x:v>
      </x:c>
      <x:c r="BS261" s="18">
        <x:v>31035.984</x:v>
      </x:c>
      <x:c r="BT261" s="18">
        <x:v>175.62</x:v>
      </x:c>
      <x:c r="BU261" s="18">
        <x:v>3699.96</x:v>
      </x:c>
      <x:c r="BV261" s="18">
        <x:v>476.58300000000003</x:v>
      </x:c>
      <x:c r="BW261" s="18">
        <x:v>76.12</x:v>
      </x:c>
      <x:c r="BX261" s="18">
        <x:v>25.023</x:v>
      </x:c>
      <x:c r="BY261" s="18">
        <x:v>22822.179</x:v>
      </x:c>
      <x:c r="BZ261" s="18">
        <x:v>22822.179</x:v>
      </x:c>
      <x:c r="CA261" s="23">
        <x:f t="shared" si="253"/>
        <x:v>33208.205109999995</x:v>
      </x:c>
      <x:c r="CB261" s="23">
        <x:f t="shared" si="254"/>
        <x:v>13944.738429999999</x:v>
      </x:c>
      <x:c r="CC261" s="23">
        <x:f t="shared" si="255"/>
        <x:v>3868.1660000000002</x:v>
      </x:c>
      <x:c r="CD261" s="23">
        <x:f t="shared" si="256"/>
        <x:v>83407.329375000001</x:v>
      </x:c>
      <x:c r="CE261" s="23">
        <x:f t="shared" si="257"/>
        <x:v>21758.43375</x:v>
      </x:c>
      <x:c r="CF261" s="23">
        <x:f t="shared" si="258"/>
        <x:v>43.516867500000004</x:v>
      </x:c>
      <x:c r="CG261" s="23">
        <x:f t="shared" si="259"/>
        <x:v>0</x:v>
      </x:c>
      <x:c r="CH261" s="23">
        <x:f t="shared" si="260"/>
        <x:v>77.363320000000002</x:v>
      </x:c>
      <x:c r="CI261" s="23">
        <x:f t="shared" si="261"/>
        <x:v>0</x:v>
      </x:c>
      <x:c r="CJ261" s="24" t="s">
        <x:v>239</x:v>
      </x:c>
      <x:c r="CK261" s="25">
        <x:v>98.2</x:v>
      </x:c>
      <x:c r="CL261" s="26" t="s">
        <x:v>240</x:v>
      </x:c>
      <x:c r="CM261" s="26">
        <x:v>86</x:v>
      </x:c>
      <x:c r="CN261" s="27" t="s">
        <x:v>241</x:v>
      </x:c>
      <x:c r="CO261" s="27">
        <x:v>99.4</x:v>
      </x:c>
      <x:c r="CP261" s="27">
        <x:v>98.3</x:v>
      </x:c>
      <x:c r="CQ261" s="26">
        <x:f t="shared" si="262"/>
        <x:v>597.74769198000047</x:v>
      </x:c>
      <x:c r="CR261" s="26">
        <x:f t="shared" si="263"/>
        <x:v>1952.2633802</x:v>
      </x:c>
      <x:c r="CS261" s="26">
        <x:f t="shared" si="264"/>
        <x:v>3868.1660000000002</x:v>
      </x:c>
      <x:c r="CT261" s="26">
        <x:f t="shared" si="219"/>
        <x:v>500.44397624999118</x:v>
      </x:c>
      <x:c r="CU261" s="26">
        <x:f t="shared" si="220"/>
        <x:v>369.89337375000031</x:v>
      </x:c>
      <x:c r="CV261" s="26">
        <x:f t="shared" si="221"/>
        <x:v>0.73978674750000073</x:v>
      </x:c>
      <x:c r="CW261" s="26">
        <x:f t="shared" si="222"/>
        <x:v>0</x:v>
      </x:c>
      <x:c r="CX261" s="26">
        <x:f t="shared" si="265"/>
        <x:v>77.363320000000002</x:v>
      </x:c>
      <x:c r="CY261" s="26">
        <x:f t="shared" si="266"/>
        <x:v>0</x:v>
      </x:c>
    </x:row>
    <x:row r="262">
      <x:c r="A262" s="18">
        <x:v>2022</x:v>
      </x:c>
      <x:c r="B262" t="s">
        <x:v>565</x:v>
      </x:c>
      <x:c r="C262" t="s">
        <x:v>566</x:v>
      </x:c>
      <x:c r="D262" t="s">
        <x:v>567</x:v>
      </x:c>
      <x:c r="E262" s="18">
        <x:v>441204</x:v>
      </x:c>
      <x:c r="F262" t="s">
        <x:v>568</x:v>
      </x:c>
      <x:c r="G262" t="s">
        <x:v>569</x:v>
      </x:c>
      <x:c r="H262" s="18">
        <x:v>4412</x:v>
      </x:c>
      <x:c r="I262" t="s">
        <x:v>108</x:v>
      </x:c>
      <x:c r="J262" t="s">
        <x:v>78</x:v>
      </x:c>
      <x:c r="K262" t="s">
        <x:v>80</x:v>
      </x:c>
      <x:c r="L262" s="18">
        <x:v>44.7</x:v>
      </x:c>
      <x:c r="M262" t="s">
        <x:v>78</x:v>
      </x:c>
      <x:c r="N262" s="18">
        <x:v>388.2</x:v>
      </x:c>
      <x:c r="O262" t="s">
        <x:v>88</x:v>
      </x:c>
      <x:c r="P262" s="18">
        <x:v>15</x:v>
      </x:c>
      <x:c r="Q262" s="19" t="s">
        <x:v>96</x:v>
      </x:c>
      <x:c r="R262" s="18">
        <x:v>23541.11</x:v>
      </x:c>
      <x:c r="S262" t="s">
        <x:v>76</x:v>
      </x:c>
      <x:c r="T262" s="19">
        <x:f t="shared" si="267"/>
        <x:v>23541.11</x:v>
      </x:c>
      <x:c r="U262" s="19">
        <x:v>12.72</x:v>
      </x:c>
      <x:c r="V262" t="s">
        <x:v>77</x:v>
      </x:c>
      <x:c r="W262" s="19" t="s">
        <x:v>78</x:v>
      </x:c>
      <x:c r="X262" s="21" t="n">
        <x:f>2*U262*T262*10000/1000000000</x:f>
        <x:v>5.988858384</x:v>
      </x:c>
      <x:c r="Y262" s="21" t="n">
        <x:f>4.1*T262*10000/1000000</x:f>
        <x:v>965.1855099999999</x:v>
      </x:c>
      <x:c r="Z262" s="21" t="n">
        <x:f>1.3*T262*10000/1000000</x:f>
        <x:v>306.03443</x:v>
      </x:c>
      <x:c r="AA262" s="21" t="n">
        <x:f>0.03*T262*10000/1000000</x:f>
        <x:v>7.062333</x:v>
      </x:c>
      <x:c r="AB262" s="21" t="n">
        <x:f>0.03*T262*10000/1000000</x:f>
        <x:v>7.062333</x:v>
      </x:c>
      <x:c r="AC262" s="21"/>
      <x:c r="AD262" s="21"/>
      <x:c r="AE262" s="21" t="n">
        <x:f>0.02*T262*10000/1000000</x:f>
        <x:v>4.708222</x:v>
      </x:c>
      <x:c r="AF262" s="21"/>
      <x:c r="AG262" s="19" t="s">
        <x:v>78</x:v>
      </x:c>
      <x:c r="AH262" t="s">
        <x:v>78</x:v>
      </x:c>
      <x:c r="AI262" t="s">
        <x:v>78</x:v>
      </x:c>
      <x:c r="AJ262" s="19"/>
      <x:c r="AK262" s="19" t="s">
        <x:v>78</x:v>
      </x:c>
      <x:c r="AL262" t="s">
        <x:v>78</x:v>
      </x:c>
      <x:c r="AM262" s="19" t="s">
        <x:v>78</x:v>
      </x:c>
      <x:c r="AN262" s="21"/>
      <x:c r="AO262" s="21"/>
      <x:c r="AP262" s="21"/>
      <x:c r="AQ262" s="21"/>
      <x:c r="AR262" s="21"/>
      <x:c r="AS262" s="21"/>
      <x:c r="AT262" s="21"/>
      <x:c r="AU262" s="21"/>
      <x:c r="AV262" s="21"/>
      <x:c r="AW262" t="s">
        <x:v>78</x:v>
      </x:c>
      <x:c r="AX262" s="19"/>
      <x:c r="AY262" s="21"/>
      <x:c r="AZ262" s="21"/>
      <x:c r="BA262" s="21"/>
      <x:c r="BB262" s="21"/>
      <x:c r="BC262" s="21"/>
      <x:c r="BD262" s="21"/>
      <x:c r="BE262" s="21"/>
      <x:c r="BF262" s="21"/>
      <x:c r="BG262" s="21"/>
      <x:c r="BH262" t="s">
        <x:v>81</x:v>
      </x:c>
      <x:c r="BI262" s="18">
        <x:v>112</x:v>
      </x:c>
      <x:c r="BJ262" s="18">
        <x:v>46</x:v>
      </x:c>
      <x:c r="BK262" s="18">
        <x:v>44.72</x:v>
      </x:c>
      <x:c r="BL262" s="18">
        <x:v>23</x:v>
      </x:c>
      <x:c r="BM262" s="18">
        <x:v>8</x:v>
      </x:c>
      <x:c r="BN262" s="18">
        <x:v>0.31</x:v>
      </x:c>
      <x:c r="BO262" s="22">
        <x:v>112.77908888888901</x:v>
      </x:c>
      <x:c r="BP262" s="22">
        <x:v>23.133419444444399</x:v>
      </x:c>
      <x:c r="BQ262" s="18">
        <x:v>60</x:v>
      </x:c>
      <x:c r="BR262" s="18">
        <x:v>518439.22899999999</x:v>
      </x:c>
      <x:c r="BS262" t="s">
        <x:v>78</x:v>
      </x:c>
      <x:c r="BT262" t="s">
        <x:v>78</x:v>
      </x:c>
      <x:c r="BU262" t="s">
        <x:v>78</x:v>
      </x:c>
      <x:c r="BV262" t="s">
        <x:v>78</x:v>
      </x:c>
      <x:c r="BW262" t="s">
        <x:v>78</x:v>
      </x:c>
      <x:c r="BX262" t="s">
        <x:v>78</x:v>
      </x:c>
      <x:c r="BY262" t="s">
        <x:v>78</x:v>
      </x:c>
      <x:c r="BZ262" t="s">
        <x:v>78</x:v>
      </x:c>
      <x:c r="CA262" s="23">
        <x:f t="shared" si="253"/>
        <x:v>5.9888583840000003</x:v>
      </x:c>
      <x:c r="CB262" s="23">
        <x:f t="shared" si="254"/>
        <x:v>965.18550999999991</x:v>
      </x:c>
      <x:c r="CC262" s="23">
        <x:f t="shared" si="255"/>
        <x:v>306.03442999999999</x:v>
      </x:c>
      <x:c r="CD262" s="23">
        <x:f t="shared" si="256"/>
        <x:v>7.0623329999999997</x:v>
      </x:c>
      <x:c r="CE262" s="23">
        <x:f t="shared" si="257"/>
        <x:v>7.0623329999999997</x:v>
      </x:c>
      <x:c r="CF262" s="23">
        <x:f t="shared" si="258"/>
        <x:v>0</x:v>
      </x:c>
      <x:c r="CG262" s="23">
        <x:f t="shared" si="259"/>
        <x:v>0</x:v>
      </x:c>
      <x:c r="CH262" s="23">
        <x:f t="shared" si="260"/>
        <x:v>4.7082220000000001</x:v>
      </x:c>
      <x:c r="CI262" s="23">
        <x:f t="shared" si="261"/>
        <x:v>0</x:v>
      </x:c>
      <x:c r="CJ262" s="24" t="s">
        <x:v>78</x:v>
      </x:c>
      <x:c r="CK262" s="25">
        <x:v>0</x:v>
      </x:c>
      <x:c r="CL262" s="26" t="s">
        <x:v>78</x:v>
      </x:c>
      <x:c r="CM262" s="26">
        <x:v>42</x:v>
      </x:c>
      <x:c r="CN262" s="27" t="s">
        <x:v>78</x:v>
      </x:c>
      <x:c r="CO262" s="27">
        <x:v>0</x:v>
      </x:c>
      <x:c r="CP262" s="27">
        <x:v>0</x:v>
      </x:c>
      <x:c r="CQ262" s="26">
        <x:f t="shared" si="262"/>
        <x:v>5.9888583840000003</x:v>
      </x:c>
      <x:c r="CR262" s="26">
        <x:f t="shared" si="263"/>
        <x:v>559.80759580000006</x:v>
      </x:c>
      <x:c r="CS262" s="26">
        <x:f t="shared" si="264"/>
        <x:v>306.03442999999999</x:v>
      </x:c>
      <x:c r="CT262" s="26">
        <x:f t="shared" si="219"/>
        <x:v>7.0623329999999997</x:v>
      </x:c>
      <x:c r="CU262" s="26">
        <x:f t="shared" si="220"/>
        <x:v>7.0623329999999997</x:v>
      </x:c>
      <x:c r="CV262" s="26">
        <x:f t="shared" si="221"/>
        <x:v>0</x:v>
      </x:c>
      <x:c r="CW262" s="26">
        <x:f t="shared" si="222"/>
        <x:v>0</x:v>
      </x:c>
      <x:c r="CX262" s="26">
        <x:f t="shared" si="265"/>
        <x:v>4.7082220000000001</x:v>
      </x:c>
      <x:c r="CY262" s="26">
        <x:f t="shared" si="266"/>
        <x:v>0</x:v>
      </x:c>
    </x:row>
    <x:row r="263">
      <x:c r="A263" s="18">
        <x:v>2022</x:v>
      </x:c>
      <x:c r="B263" t="s">
        <x:v>565</x:v>
      </x:c>
      <x:c r="C263" t="s">
        <x:v>566</x:v>
      </x:c>
      <x:c r="D263" t="s">
        <x:v>567</x:v>
      </x:c>
      <x:c r="E263" s="18">
        <x:v>441204</x:v>
      </x:c>
      <x:c r="F263" t="s">
        <x:v>568</x:v>
      </x:c>
      <x:c r="G263" t="s">
        <x:v>569</x:v>
      </x:c>
      <x:c r="H263" s="18">
        <x:v>4412</x:v>
      </x:c>
      <x:c r="I263" t="s">
        <x:v>108</x:v>
      </x:c>
      <x:c r="J263" t="s">
        <x:v>78</x:v>
      </x:c>
      <x:c r="K263" t="s">
        <x:v>80</x:v>
      </x:c>
      <x:c r="L263" s="18">
        <x:v>44.7</x:v>
      </x:c>
      <x:c r="M263" t="s">
        <x:v>78</x:v>
      </x:c>
      <x:c r="N263" s="18">
        <x:v>388.2</x:v>
      </x:c>
      <x:c r="O263" t="s">
        <x:v>88</x:v>
      </x:c>
      <x:c r="P263" s="18">
        <x:v>15</x:v>
      </x:c>
      <x:c r="Q263" s="19" t="s">
        <x:v>96</x:v>
      </x:c>
      <x:c r="R263" s="18">
        <x:v>19215.367999999999</x:v>
      </x:c>
      <x:c r="S263" t="s">
        <x:v>76</x:v>
      </x:c>
      <x:c r="T263" s="19">
        <x:f t="shared" si="267"/>
        <x:v>19215.367999999999</x:v>
      </x:c>
      <x:c r="U263" s="19">
        <x:v>12.72</x:v>
      </x:c>
      <x:c r="V263" t="s">
        <x:v>77</x:v>
      </x:c>
      <x:c r="W263" s="19" t="s">
        <x:v>78</x:v>
      </x:c>
      <x:c r="X263" s="21" t="n">
        <x:f>2*U263*T263*10000/1000000000</x:f>
        <x:v>4.8883896192</x:v>
      </x:c>
      <x:c r="Y263" s="21" t="n">
        <x:f>4.1*T263*10000/1000000</x:f>
        <x:v>787.8300879999997</x:v>
      </x:c>
      <x:c r="Z263" s="21" t="n">
        <x:f>1.3*T263*10000/1000000</x:f>
        <x:v>249.799784</x:v>
      </x:c>
      <x:c r="AA263" s="21" t="n">
        <x:f>0.03*T263*10000/1000000</x:f>
        <x:v>5.7646104</x:v>
      </x:c>
      <x:c r="AB263" s="21" t="n">
        <x:f>0.03*T263*10000/1000000</x:f>
        <x:v>5.7646104</x:v>
      </x:c>
      <x:c r="AC263" s="21"/>
      <x:c r="AD263" s="21"/>
      <x:c r="AE263" s="21" t="n">
        <x:f>0.02*T263*10000/1000000</x:f>
        <x:v>3.8430735999999994</x:v>
      </x:c>
      <x:c r="AF263" s="21"/>
      <x:c r="AG263" s="19" t="s">
        <x:v>78</x:v>
      </x:c>
      <x:c r="AH263" t="s">
        <x:v>78</x:v>
      </x:c>
      <x:c r="AI263" t="s">
        <x:v>78</x:v>
      </x:c>
      <x:c r="AJ263" s="19"/>
      <x:c r="AK263" s="19" t="s">
        <x:v>78</x:v>
      </x:c>
      <x:c r="AL263" t="s">
        <x:v>78</x:v>
      </x:c>
      <x:c r="AM263" s="19" t="s">
        <x:v>78</x:v>
      </x:c>
      <x:c r="AN263" s="21"/>
      <x:c r="AO263" s="21"/>
      <x:c r="AP263" s="21"/>
      <x:c r="AQ263" s="21"/>
      <x:c r="AR263" s="21"/>
      <x:c r="AS263" s="21"/>
      <x:c r="AT263" s="21"/>
      <x:c r="AU263" s="21"/>
      <x:c r="AV263" s="21"/>
      <x:c r="AW263" t="s">
        <x:v>78</x:v>
      </x:c>
      <x:c r="AX263" s="19"/>
      <x:c r="AY263" s="21"/>
      <x:c r="AZ263" s="21"/>
      <x:c r="BA263" s="21"/>
      <x:c r="BB263" s="21"/>
      <x:c r="BC263" s="21"/>
      <x:c r="BD263" s="21"/>
      <x:c r="BE263" s="21"/>
      <x:c r="BF263" s="21"/>
      <x:c r="BG263" s="21"/>
      <x:c r="BH263" t="s">
        <x:v>79</x:v>
      </x:c>
      <x:c r="BI263" s="18">
        <x:v>112</x:v>
      </x:c>
      <x:c r="BJ263" s="18">
        <x:v>46</x:v>
      </x:c>
      <x:c r="BK263" s="18">
        <x:v>41.09</x:v>
      </x:c>
      <x:c r="BL263" s="18">
        <x:v>23</x:v>
      </x:c>
      <x:c r="BM263" s="18">
        <x:v>8</x:v>
      </x:c>
      <x:c r="BN263" s="18">
        <x:v>0.38</x:v>
      </x:c>
      <x:c r="BO263" s="22">
        <x:v>112.778080555556</x:v>
      </x:c>
      <x:c r="BP263" s="22">
        <x:v>23.1334388888889</x:v>
      </x:c>
      <x:c r="BQ263" s="18">
        <x:v>60</x:v>
      </x:c>
      <x:c r="BR263" s="18">
        <x:v>448766.451</x:v>
      </x:c>
      <x:c r="BS263" t="s">
        <x:v>78</x:v>
      </x:c>
      <x:c r="BT263" t="s">
        <x:v>78</x:v>
      </x:c>
      <x:c r="BU263" t="s">
        <x:v>78</x:v>
      </x:c>
      <x:c r="BV263" t="s">
        <x:v>78</x:v>
      </x:c>
      <x:c r="BW263" t="s">
        <x:v>78</x:v>
      </x:c>
      <x:c r="BX263" t="s">
        <x:v>78</x:v>
      </x:c>
      <x:c r="BY263" t="s">
        <x:v>78</x:v>
      </x:c>
      <x:c r="BZ263" t="s">
        <x:v>78</x:v>
      </x:c>
      <x:c r="CA263" s="23">
        <x:f t="shared" si="253"/>
        <x:v>4.8883896191999998</x:v>
      </x:c>
      <x:c r="CB263" s="23">
        <x:f t="shared" si="254"/>
        <x:v>787.83008799999971</x:v>
      </x:c>
      <x:c r="CC263" s="23">
        <x:f t="shared" si="255"/>
        <x:v>249.79978399999999</x:v>
      </x:c>
      <x:c r="CD263" s="23">
        <x:f t="shared" si="256"/>
        <x:v>5.7646103999999996</x:v>
      </x:c>
      <x:c r="CE263" s="23">
        <x:f t="shared" si="257"/>
        <x:v>5.7646103999999996</x:v>
      </x:c>
      <x:c r="CF263" s="23">
        <x:f t="shared" si="258"/>
        <x:v>0</x:v>
      </x:c>
      <x:c r="CG263" s="23">
        <x:f t="shared" si="259"/>
        <x:v>0</x:v>
      </x:c>
      <x:c r="CH263" s="23">
        <x:f t="shared" si="260"/>
        <x:v>3.8430735999999994</x:v>
      </x:c>
      <x:c r="CI263" s="23">
        <x:f t="shared" si="261"/>
        <x:v>0</x:v>
      </x:c>
      <x:c r="CJ263" s="24" t="s">
        <x:v>78</x:v>
      </x:c>
      <x:c r="CK263" s="25">
        <x:v>0</x:v>
      </x:c>
      <x:c r="CL263" s="26" t="s">
        <x:v>78</x:v>
      </x:c>
      <x:c r="CM263" s="26">
        <x:v>42</x:v>
      </x:c>
      <x:c r="CN263" s="27" t="s">
        <x:v>78</x:v>
      </x:c>
      <x:c r="CO263" s="27">
        <x:v>0</x:v>
      </x:c>
      <x:c r="CP263" s="27">
        <x:v>0</x:v>
      </x:c>
      <x:c r="CQ263" s="26">
        <x:f t="shared" si="262"/>
        <x:v>4.8883896191999998</x:v>
      </x:c>
      <x:c r="CR263" s="26">
        <x:f t="shared" si="263"/>
        <x:v>456.94145103999989</x:v>
      </x:c>
      <x:c r="CS263" s="26">
        <x:f t="shared" si="264"/>
        <x:v>249.79978399999999</x:v>
      </x:c>
      <x:c r="CT263" s="26">
        <x:f t="shared" si="219"/>
        <x:v>5.7646103999999996</x:v>
      </x:c>
      <x:c r="CU263" s="26">
        <x:f t="shared" si="220"/>
        <x:v>5.7646103999999996</x:v>
      </x:c>
      <x:c r="CV263" s="26">
        <x:f t="shared" si="221"/>
        <x:v>0</x:v>
      </x:c>
      <x:c r="CW263" s="26">
        <x:f t="shared" si="222"/>
        <x:v>0</x:v>
      </x:c>
      <x:c r="CX263" s="26">
        <x:f t="shared" si="265"/>
        <x:v>3.8430735999999994</x:v>
      </x:c>
      <x:c r="CY263" s="26">
        <x:f t="shared" si="266"/>
        <x:v>0</x:v>
      </x:c>
    </x:row>
    <x:row r="264">
      <x:c r="A264" s="18">
        <x:v>2022</x:v>
      </x:c>
      <x:c r="B264" t="s">
        <x:v>570</x:v>
      </x:c>
      <x:c r="C264" t="s">
        <x:v>571</x:v>
      </x:c>
      <x:c r="D264" t="s">
        <x:v>572</x:v>
      </x:c>
      <x:c r="E264" s="18">
        <x:v>441223</x:v>
      </x:c>
      <x:c r="F264" t="s">
        <x:v>573</x:v>
      </x:c>
      <x:c r="G264" t="s">
        <x:v>569</x:v>
      </x:c>
      <x:c r="H264" s="18">
        <x:v>2211</x:v>
      </x:c>
      <x:c r="I264" t="s">
        <x:v>499</x:v>
      </x:c>
      <x:c r="J264" t="s">
        <x:v>78</x:v>
      </x:c>
      <x:c r="K264" t="s">
        <x:v>109</x:v>
      </x:c>
      <x:c r="L264" s="20">
        <x:v>3</x:v>
      </x:c>
      <x:c r="M264" t="s">
        <x:v>125</x:v>
      </x:c>
      <x:c r="N264" s="18">
        <x:v>90</x:v>
      </x:c>
      <x:c r="O264" t="s">
        <x:v>88</x:v>
      </x:c>
      <x:c r="P264" s="18">
        <x:v>4</x:v>
      </x:c>
      <x:c r="Q264" s="19" t="s">
        <x:v>111</x:v>
      </x:c>
      <x:c r="R264" s="18">
        <x:v>92375.73</x:v>
      </x:c>
      <x:c r="S264" t="s">
        <x:v>112</x:v>
      </x:c>
      <x:c r="T264" s="19" t="n">
        <x:f t="shared" ref="T264:T268" si="269">R264</x:f>
        <x:v>92375.73</x:v>
      </x:c>
      <x:c r="U264" s="20">
        <x:v>0.36</x:v>
      </x:c>
      <x:c r="V264" t="s">
        <x:v>113</x:v>
      </x:c>
      <x:c r="W264" s="20">
        <x:v>16.2</x:v>
      </x:c>
      <x:c r="X264" s="21" t="n">
        <x:f>2*U264/100*(1-0.15)*T264</x:f>
        <x:v>565.3394675999999</x:v>
      </x:c>
      <x:c r="Y264" s="21" t="n">
        <x:f>8.96*T264/1000</x:f>
        <x:v>827.6865408000001</x:v>
      </x:c>
      <x:c r="Z264" s="21" t="n">
        <x:f>2*T264/1000</x:f>
        <x:v>184.75145999999998</x:v>
      </x:c>
      <x:c r="AA264" s="21" t="n">
        <x:f>W264/100*(1-0.44)*0.29*T264</x:f>
        <x:v>2430.294605424</x:v>
      </x:c>
      <x:c r="AB264" s="21" t="n">
        <x:f>W264/100*(1-0.44)*0.07*T264</x:f>
        <x:v>586.622835792</x:v>
      </x:c>
      <x:c r="AC264" s="21" t="n">
        <x:f>0.002*AB264</x:f>
        <x:v>1.173245671584</x:v>
      </x:c>
      <x:c r="AD264" s="21"/>
      <x:c r="AE264" s="21" t="n">
        <x:f>0.04*T264/1000</x:f>
        <x:v>3.6950292</x:v>
      </x:c>
      <x:c r="AF264" s="21"/>
      <x:c r="AG264" s="19" t="s">
        <x:v>574</x:v>
      </x:c>
      <x:c r="AH264" s="18">
        <x:v>10657.2</x:v>
      </x:c>
      <x:c r="AI264" t="s">
        <x:v>575</x:v>
      </x:c>
      <x:c r="AJ264" s="19" t="n">
        <x:f>AH264/0.506</x:f>
        <x:v>21061.660079051384</x:v>
      </x:c>
      <x:c r="AK264" s="20">
        <x:v>0.04</x:v>
      </x:c>
      <x:c r="AL264" t="s">
        <x:v>113</x:v>
      </x:c>
      <x:c r="AM264" s="20">
        <x:v>3.42</x:v>
      </x:c>
      <x:c r="AN264" s="21" t="n">
        <x:f>2*AK264/100*(1-0.15)*AJ264</x:f>
        <x:v>14.321928853754942</x:v>
      </x:c>
      <x:c r="AO264" s="21" t="n">
        <x:f>AJ264*2.79/1000</x:f>
        <x:v>58.76203162055336</x:v>
      </x:c>
      <x:c r="AP264" s="21" t="n">
        <x:f>AJ264*6.22/1000</x:f>
        <x:v>131.0035256916996</x:v>
      </x:c>
      <x:c r="AQ264" s="21" t="n">
        <x:f>AM264/100*(1-0.44)*0.29*AJ264</x:f>
        <x:v>116.97814501185772</x:v>
      </x:c>
      <x:c r="AR264" s="21" t="n">
        <x:f>AM264/100*(1-0.44)*0.07*AJ264</x:f>
        <x:v>28.236103968379457</x:v>
      </x:c>
      <x:c r="AS264" s="21" t="n">
        <x:f>0.002*AR264</x:f>
        <x:v>0.05647220793675892</x:v>
      </x:c>
      <x:c r="AT264" s="21"/>
      <x:c r="AU264" s="21" t="n">
        <x:f>AJ264*1.13/1000</x:f>
        <x:v>23.79967588932806</x:v>
      </x:c>
      <x:c r="AV264" s="21" t="n">
        <x:f>AJ264*0.24/1000</x:f>
        <x:v>5.054798418972332</x:v>
      </x:c>
      <x:c r="AW264" s="18">
        <x:v>0</x:v>
      </x:c>
      <x:c r="AX264" s="19"/>
      <x:c r="AY264" s="21"/>
      <x:c r="AZ264" s="21"/>
      <x:c r="BA264" s="21"/>
      <x:c r="BB264" s="21"/>
      <x:c r="BC264" s="21"/>
      <x:c r="BD264" s="21"/>
      <x:c r="BE264" s="21"/>
      <x:c r="BF264" s="21"/>
      <x:c r="BG264" s="21"/>
      <x:c r="BH264" t="s">
        <x:v>91</x:v>
      </x:c>
      <x:c r="BI264" s="18">
        <x:v>112</x:v>
      </x:c>
      <x:c r="BJ264" s="18">
        <x:v>24</x:v>
      </x:c>
      <x:c r="BK264" s="18">
        <x:v>51</x:v>
      </x:c>
      <x:c r="BL264" s="18">
        <x:v>23</x:v>
      </x:c>
      <x:c r="BM264" s="18">
        <x:v>34</x:v>
      </x:c>
      <x:c r="BN264" s="18">
        <x:v>22</x:v>
      </x:c>
      <x:c r="BO264" s="22">
        <x:v>112.414166666667</x:v>
      </x:c>
      <x:c r="BP264" s="22">
        <x:v>23.572777777777802</x:v>
      </x:c>
      <x:c r="BQ264" s="18">
        <x:v>100</x:v>
      </x:c>
      <x:c r="BR264" s="18">
        <x:v>91606.951000000001</x:v>
      </x:c>
      <x:c r="BS264" s="18">
        <x:v>149.649</x:v>
      </x:c>
      <x:c r="BT264" s="18">
        <x:v>2.1779999999999999</x:v>
      </x:c>
      <x:c r="BU264" s="18">
        <x:v>87.757000000000005</x:v>
      </x:c>
      <x:c r="BV264" s="18">
        <x:v>44.143999999999998</x:v>
      </x:c>
      <x:c r="BW264" s="18">
        <x:v>7766.7669999999998</x:v>
      </x:c>
      <x:c r="BX264" s="18">
        <x:v>5.1219999999999999</x:v>
      </x:c>
      <x:c r="BY264" s="18">
        <x:v>2641.9459999999999</x:v>
      </x:c>
      <x:c r="BZ264" s="18">
        <x:v>2641.9459999999999</x:v>
      </x:c>
      <x:c r="CA264" s="23">
        <x:f t="shared" si="253"/>
        <x:v>579.66139645375483</x:v>
      </x:c>
      <x:c r="CB264" s="23">
        <x:f t="shared" si="254"/>
        <x:v>886.44857242055343</x:v>
      </x:c>
      <x:c r="CC264" s="23">
        <x:f t="shared" si="255"/>
        <x:v>315.75498569169957</x:v>
      </x:c>
      <x:c r="CD264" s="23">
        <x:f t="shared" si="256"/>
        <x:v>2547.2727504358577</x:v>
      </x:c>
      <x:c r="CE264" s="23">
        <x:f t="shared" si="257"/>
        <x:v>614.85893976037949</x:v>
      </x:c>
      <x:c r="CF264" s="23">
        <x:f t="shared" si="258"/>
        <x:v>1.2297178795207591</x:v>
      </x:c>
      <x:c r="CG264" s="23">
        <x:f t="shared" si="259"/>
        <x:v>0</x:v>
      </x:c>
      <x:c r="CH264" s="23">
        <x:f t="shared" si="260"/>
        <x:v>27.494705089328061</x:v>
      </x:c>
      <x:c r="CI264" s="23">
        <x:f t="shared" si="261"/>
        <x:v>5.0547984189723323</x:v>
      </x:c>
      <x:c r="CJ264" s="24" t="s">
        <x:v>114</x:v>
      </x:c>
      <x:c r="CK264" s="29">
        <x:v>95</x:v>
      </x:c>
      <x:c r="CL264" s="26" t="s">
        <x:v>97</x:v>
      </x:c>
      <x:c r="CM264" s="28">
        <x:v>75</x:v>
      </x:c>
      <x:c r="CN264" s="30" t="s">
        <x:v>132</x:v>
      </x:c>
      <x:c r="CO264" s="27">
        <x:v>99.4</x:v>
      </x:c>
      <x:c r="CP264" s="27">
        <x:v>98.3</x:v>
      </x:c>
      <x:c r="CQ264" s="26">
        <x:f t="shared" si="262"/>
        <x:v>28.983069822687767</x:v>
      </x:c>
      <x:c r="CR264" s="26">
        <x:f t="shared" si="263"/>
        <x:v>221.61214310513836</x:v>
      </x:c>
      <x:c r="CS264" s="26">
        <x:f t="shared" si="264"/>
        <x:v>315.75498569169957</x:v>
      </x:c>
      <x:c r="CT264" s="26">
        <x:f t="shared" si="219"/>
        <x:v>15.283636502614877</x:v>
      </x:c>
      <x:c r="CU264" s="26">
        <x:f t="shared" si="220"/>
        <x:v>10.452601975926461</x:v>
      </x:c>
      <x:c r="CV264" s="26">
        <x:f t="shared" si="221"/>
        <x:v>2.0905203951852924E-2</x:v>
      </x:c>
      <x:c r="CW264" s="26">
        <x:f t="shared" si="222"/>
        <x:v>0</x:v>
      </x:c>
      <x:c r="CX264" s="26">
        <x:f t="shared" si="265"/>
        <x:v>27.494705089328061</x:v>
      </x:c>
      <x:c r="CY264" s="26">
        <x:f t="shared" si="266"/>
        <x:v>5.0547984189723323</x:v>
      </x:c>
    </x:row>
    <x:row r="265">
      <x:c r="A265" s="18">
        <x:v>2022</x:v>
      </x:c>
      <x:c r="B265" t="s">
        <x:v>576</x:v>
      </x:c>
      <x:c r="C265" t="s">
        <x:v>577</x:v>
      </x:c>
      <x:c r="D265" t="s">
        <x:v>578</x:v>
      </x:c>
      <x:c r="E265" s="18">
        <x:v>441261</x:v>
      </x:c>
      <x:c r="F265" t="s">
        <x:v>579</x:v>
      </x:c>
      <x:c r="G265" t="s">
        <x:v>569</x:v>
      </x:c>
      <x:c r="H265" s="18">
        <x:v>4411</x:v>
      </x:c>
      <x:c r="I265" t="s">
        <x:v>102</x:v>
      </x:c>
      <x:c r="J265" t="s">
        <x:v>580</x:v>
      </x:c>
      <x:c r="K265" t="s">
        <x:v>109</x:v>
      </x:c>
      <x:c r="L265" s="20">
        <x:v>35</x:v>
      </x:c>
      <x:c r="M265" t="s">
        <x:v>110</x:v>
      </x:c>
      <x:c r="N265" s="18">
        <x:v>1065</x:v>
      </x:c>
      <x:c r="O265" t="s">
        <x:v>88</x:v>
      </x:c>
      <x:c r="P265" s="18">
        <x:v>1</x:v>
      </x:c>
      <x:c r="Q265" s="19" t="s">
        <x:v>121</x:v>
      </x:c>
      <x:c r="R265" s="18">
        <x:v>1278416</x:v>
      </x:c>
      <x:c r="S265" t="s">
        <x:v>112</x:v>
      </x:c>
      <x:c r="T265" s="19">
        <x:f t="shared" si="269"/>
        <x:v>1278416</x:v>
      </x:c>
      <x:c r="U265" s="20">
        <x:v>0.32</x:v>
      </x:c>
      <x:c r="V265" t="s">
        <x:v>113</x:v>
      </x:c>
      <x:c r="W265" s="20">
        <x:v>15.61</x:v>
      </x:c>
      <x:c r="X265" s="21" t="n">
        <x:f>2*U265/100*(1-0.15)*T265</x:f>
        <x:v>6954.58304</x:v>
      </x:c>
      <x:c r="Y265" s="21" t="n">
        <x:f>7.21*T265/1000</x:f>
        <x:v>9217.379359999999</x:v>
      </x:c>
      <x:c r="Z265" s="21" t="n">
        <x:f>2*T265/1000</x:f>
        <x:v>2556.832</x:v>
      </x:c>
      <x:c r="AA265" s="21" t="n">
        <x:f>W265/100*(1-0.25)*0.23*T265</x:f>
        <x:v>34424.227236</x:v>
      </x:c>
      <x:c r="AB265" s="21" t="n">
        <x:f>W265/100*(1-0.25)*0.06*T265</x:f>
        <x:v>8980.233191999998</x:v>
      </x:c>
      <x:c r="AC265" s="21" t="n">
        <x:f t="shared" ref="AC265:AC266" si="270">0.002*AB265</x:f>
        <x:v>17.960466383999997</x:v>
      </x:c>
      <x:c r="AD265" s="21"/>
      <x:c r="AE265" s="21" t="n">
        <x:f>0.04*T265/1000</x:f>
        <x:v>51.13664</x:v>
      </x:c>
      <x:c r="AF265" s="21"/>
      <x:c r="AG265" s="19" t="s">
        <x:v>78</x:v>
      </x:c>
      <x:c r="AH265" t="s">
        <x:v>78</x:v>
      </x:c>
      <x:c r="AI265" t="s">
        <x:v>78</x:v>
      </x:c>
      <x:c r="AJ265" s="19"/>
      <x:c r="AK265" s="19" t="s">
        <x:v>78</x:v>
      </x:c>
      <x:c r="AL265" t="s">
        <x:v>78</x:v>
      </x:c>
      <x:c r="AM265" s="19" t="s">
        <x:v>78</x:v>
      </x:c>
      <x:c r="AN265" s="21"/>
      <x:c r="AO265" s="21"/>
      <x:c r="AP265" s="21"/>
      <x:c r="AQ265" s="21"/>
      <x:c r="AR265" s="21"/>
      <x:c r="AS265" s="21"/>
      <x:c r="AT265" s="21"/>
      <x:c r="AU265" s="21"/>
      <x:c r="AV265" s="21"/>
      <x:c r="AW265" t="s">
        <x:v>78</x:v>
      </x:c>
      <x:c r="AX265" s="19"/>
      <x:c r="AY265" s="21"/>
      <x:c r="AZ265" s="21"/>
      <x:c r="BA265" s="21"/>
      <x:c r="BB265" s="21"/>
      <x:c r="BC265" s="21"/>
      <x:c r="BD265" s="21"/>
      <x:c r="BE265" s="21"/>
      <x:c r="BF265" s="21"/>
      <x:c r="BG265" s="21"/>
      <x:c r="BH265" t="s">
        <x:v>81</x:v>
      </x:c>
      <x:c r="BI265" s="18">
        <x:v>112</x:v>
      </x:c>
      <x:c r="BJ265" s="18">
        <x:v>51</x:v>
      </x:c>
      <x:c r="BK265" s="18">
        <x:v>17.309999999999999</x:v>
      </x:c>
      <x:c r="BL265" s="18">
        <x:v>23</x:v>
      </x:c>
      <x:c r="BM265" s="18">
        <x:v>18</x:v>
      </x:c>
      <x:c r="BN265" s="18">
        <x:v>4.46</x:v>
      </x:c>
      <x:c r="BO265" s="22">
        <x:v>112.854808333333</x:v>
      </x:c>
      <x:c r="BP265" s="22">
        <x:v>23.3012388888889</x:v>
      </x:c>
      <x:c r="BQ265" s="18">
        <x:v>210</x:v>
      </x:c>
      <x:c r="BR265" s="18">
        <x:v>803300.87</x:v>
      </x:c>
      <x:c r="BS265" s="18">
        <x:v>6562.5519999999997</x:v>
      </x:c>
      <x:c r="BT265" s="18">
        <x:v>107.718</x:v>
      </x:c>
      <x:c r="BU265" s="18">
        <x:v>2297.2510000000002</x:v>
      </x:c>
      <x:c r="BV265" s="18">
        <x:v>263.46100000000001</x:v>
      </x:c>
      <x:c r="BW265" s="18">
        <x:v>85394.725999999995</x:v>
      </x:c>
      <x:c r="BX265" s="18">
        <x:v>8.5359999999999996</x:v>
      </x:c>
      <x:c r="BY265" s="18">
        <x:v>8833.8549999999996</x:v>
      </x:c>
      <x:c r="BZ265" s="18">
        <x:v>8833.8549999999996</x:v>
      </x:c>
      <x:c r="CA265" s="23">
        <x:f t="shared" si="253"/>
        <x:v>6954.5830400000004</x:v>
      </x:c>
      <x:c r="CB265" s="23">
        <x:f t="shared" si="254"/>
        <x:v>9217.379359999999</x:v>
      </x:c>
      <x:c r="CC265" s="23">
        <x:f t="shared" si="255"/>
        <x:v>2556.8319999999999</x:v>
      </x:c>
      <x:c r="CD265" s="23">
        <x:f t="shared" si="256"/>
        <x:v>34424.227235999999</x:v>
      </x:c>
      <x:c r="CE265" s="23">
        <x:f t="shared" si="257"/>
        <x:v>8980.2331919999979</x:v>
      </x:c>
      <x:c r="CF265" s="23">
        <x:f t="shared" si="258"/>
        <x:v>17.960466383999997</x:v>
      </x:c>
      <x:c r="CG265" s="23">
        <x:f t="shared" si="259"/>
        <x:v>0</x:v>
      </x:c>
      <x:c r="CH265" s="23">
        <x:f t="shared" si="260"/>
        <x:v>51.13664</x:v>
      </x:c>
      <x:c r="CI265" s="23">
        <x:f t="shared" si="261"/>
        <x:v>0</x:v>
      </x:c>
      <x:c r="CJ265" s="24" t="s">
        <x:v>356</x:v>
      </x:c>
      <x:c r="CK265" s="29">
        <x:v>98.69</x:v>
      </x:c>
      <x:c r="CL265" s="26" t="s">
        <x:v>104</x:v>
      </x:c>
      <x:c r="CM265" s="28">
        <x:v>87.5</x:v>
      </x:c>
      <x:c r="CN265" s="30" t="s">
        <x:v>453</x:v>
      </x:c>
      <x:c r="CO265" s="27">
        <x:v>99.8</x:v>
      </x:c>
      <x:c r="CP265" s="27">
        <x:v>99.6</x:v>
      </x:c>
      <x:c r="CQ265" s="26">
        <x:f t="shared" si="262"/>
        <x:v>91.105037824000007</x:v>
      </x:c>
      <x:c r="CR265" s="26">
        <x:f t="shared" si="263"/>
        <x:v>1152.1724199999999</x:v>
      </x:c>
      <x:c r="CS265" s="26">
        <x:f t="shared" si="264"/>
        <x:v>2556.8319999999999</x:v>
      </x:c>
      <x:c r="CT265" s="26">
        <x:f t="shared" si="219"/>
        <x:v>68.848454472000057</x:v>
      </x:c>
      <x:c r="CU265" s="26">
        <x:f t="shared" si="220"/>
        <x:v>35.920932768000021</x:v>
      </x:c>
      <x:c r="CV265" s="26">
        <x:f t="shared" si="221"/>
        <x:v>7.1841865536000055E-2</x:v>
      </x:c>
      <x:c r="CW265" s="26">
        <x:f t="shared" si="222"/>
        <x:v>0</x:v>
      </x:c>
      <x:c r="CX265" s="26">
        <x:f t="shared" si="265"/>
        <x:v>51.13664</x:v>
      </x:c>
      <x:c r="CY265" s="26">
        <x:f t="shared" si="266"/>
        <x:v>0</x:v>
      </x:c>
    </x:row>
    <x:row r="266">
      <x:c r="A266" s="18">
        <x:v>2022</x:v>
      </x:c>
      <x:c r="B266" t="s">
        <x:v>576</x:v>
      </x:c>
      <x:c r="C266" t="s">
        <x:v>577</x:v>
      </x:c>
      <x:c r="D266" t="s">
        <x:v>578</x:v>
      </x:c>
      <x:c r="E266" s="18">
        <x:v>441261</x:v>
      </x:c>
      <x:c r="F266" t="s">
        <x:v>579</x:v>
      </x:c>
      <x:c r="G266" t="s">
        <x:v>569</x:v>
      </x:c>
      <x:c r="H266" s="18">
        <x:v>4411</x:v>
      </x:c>
      <x:c r="I266" t="s">
        <x:v>102</x:v>
      </x:c>
      <x:c r="J266" t="s">
        <x:v>580</x:v>
      </x:c>
      <x:c r="K266" t="s">
        <x:v>109</x:v>
      </x:c>
      <x:c r="L266" s="20">
        <x:v>35</x:v>
      </x:c>
      <x:c r="M266" t="s">
        <x:v>110</x:v>
      </x:c>
      <x:c r="N266" s="18">
        <x:v>1065</x:v>
      </x:c>
      <x:c r="O266" t="s">
        <x:v>88</x:v>
      </x:c>
      <x:c r="P266" s="18">
        <x:v>1</x:v>
      </x:c>
      <x:c r="Q266" s="19" t="s">
        <x:v>121</x:v>
      </x:c>
      <x:c r="R266" s="18">
        <x:v>1033312</x:v>
      </x:c>
      <x:c r="S266" t="s">
        <x:v>112</x:v>
      </x:c>
      <x:c r="T266" s="19">
        <x:f t="shared" si="269"/>
        <x:v>1033312</x:v>
      </x:c>
      <x:c r="U266" s="20">
        <x:v>0.32</x:v>
      </x:c>
      <x:c r="V266" t="s">
        <x:v>113</x:v>
      </x:c>
      <x:c r="W266" s="20">
        <x:v>16.059999999999999</x:v>
      </x:c>
      <x:c r="X266" s="21" t="n">
        <x:f>2*U266/100*(1-0.15)*T266</x:f>
        <x:v>5621.217280000001</x:v>
      </x:c>
      <x:c r="Y266" s="21" t="n">
        <x:f>7.21*T266/1000</x:f>
        <x:v>7450.17952</x:v>
      </x:c>
      <x:c r="Z266" s="21" t="n">
        <x:f>2*T266/1000</x:f>
        <x:v>2066.624</x:v>
      </x:c>
      <x:c r="AA266" s="21" t="n">
        <x:f>W266/100*(1-0.25)*0.23*T266</x:f>
        <x:v>28626.358992</x:v>
      </x:c>
      <x:c r="AB266" s="21" t="n">
        <x:f>W266/100*(1-0.25)*0.06*T266</x:f>
        <x:v>7467.745824</x:v>
      </x:c>
      <x:c r="AC266" s="21">
        <x:f t="shared" si="270"/>
        <x:v>14.935491647999999</x:v>
      </x:c>
      <x:c r="AD266" s="21"/>
      <x:c r="AE266" s="21" t="n">
        <x:f>0.04*T266/1000</x:f>
        <x:v>41.332480000000004</x:v>
      </x:c>
      <x:c r="AF266" s="21"/>
      <x:c r="AG266" s="19" t="s">
        <x:v>78</x:v>
      </x:c>
      <x:c r="AH266" t="s">
        <x:v>78</x:v>
      </x:c>
      <x:c r="AI266" t="s">
        <x:v>78</x:v>
      </x:c>
      <x:c r="AJ266" s="19"/>
      <x:c r="AK266" s="19" t="s">
        <x:v>78</x:v>
      </x:c>
      <x:c r="AL266" t="s">
        <x:v>78</x:v>
      </x:c>
      <x:c r="AM266" s="19" t="s">
        <x:v>78</x:v>
      </x:c>
      <x:c r="AN266" s="21"/>
      <x:c r="AO266" s="21"/>
      <x:c r="AP266" s="21"/>
      <x:c r="AQ266" s="21"/>
      <x:c r="AR266" s="21"/>
      <x:c r="AS266" s="21"/>
      <x:c r="AT266" s="21"/>
      <x:c r="AU266" s="21"/>
      <x:c r="AV266" s="21"/>
      <x:c r="AW266" t="s">
        <x:v>78</x:v>
      </x:c>
      <x:c r="AX266" s="19"/>
      <x:c r="AY266" s="21"/>
      <x:c r="AZ266" s="21"/>
      <x:c r="BA266" s="21"/>
      <x:c r="BB266" s="21"/>
      <x:c r="BC266" s="21"/>
      <x:c r="BD266" s="21"/>
      <x:c r="BE266" s="21"/>
      <x:c r="BF266" s="21"/>
      <x:c r="BG266" s="21"/>
      <x:c r="BH266" t="s">
        <x:v>81</x:v>
      </x:c>
      <x:c r="BI266" s="18">
        <x:v>112</x:v>
      </x:c>
      <x:c r="BJ266" s="18">
        <x:v>51</x:v>
      </x:c>
      <x:c r="BK266" s="18">
        <x:v>17.309999999999999</x:v>
      </x:c>
      <x:c r="BL266" s="18">
        <x:v>23</x:v>
      </x:c>
      <x:c r="BM266" s="18">
        <x:v>18</x:v>
      </x:c>
      <x:c r="BN266" s="18">
        <x:v>4.46</x:v>
      </x:c>
      <x:c r="BO266" s="22">
        <x:v>112.854808333333</x:v>
      </x:c>
      <x:c r="BP266" s="22">
        <x:v>23.3012388888889</x:v>
      </x:c>
      <x:c r="BQ266" s="18">
        <x:v>210</x:v>
      </x:c>
      <x:c r="BR266" s="18">
        <x:v>639157.27</x:v>
      </x:c>
      <x:c r="BS266" s="18">
        <x:v>5452.9530000000004</x:v>
      </x:c>
      <x:c r="BT266" s="18">
        <x:v>85.78</x:v>
      </x:c>
      <x:c r="BU266" s="18">
        <x:v>2147.9470000000001</x:v>
      </x:c>
      <x:c r="BV266" s="18">
        <x:v>209.803</x:v>
      </x:c>
      <x:c r="BW266" s="18">
        <x:v>68002.62</x:v>
      </x:c>
      <x:c r="BX266" s="18">
        <x:v>6.798</x:v>
      </x:c>
      <x:c r="BY266" s="18">
        <x:v>7140.1859999999997</x:v>
      </x:c>
      <x:c r="BZ266" s="18">
        <x:v>7140.1859999999997</x:v>
      </x:c>
      <x:c r="CA266" s="23">
        <x:f t="shared" si="253"/>
        <x:v>5621.2172800000008</x:v>
      </x:c>
      <x:c r="CB266" s="23">
        <x:f t="shared" si="254"/>
        <x:v>7450.1795199999997</x:v>
      </x:c>
      <x:c r="CC266" s="23">
        <x:f t="shared" si="255"/>
        <x:v>2066.6239999999998</x:v>
      </x:c>
      <x:c r="CD266" s="23">
        <x:f t="shared" si="256"/>
        <x:v>28626.358992000001</x:v>
      </x:c>
      <x:c r="CE266" s="23">
        <x:f t="shared" si="257"/>
        <x:v>7467.7458239999996</x:v>
      </x:c>
      <x:c r="CF266" s="23">
        <x:f t="shared" si="258"/>
        <x:v>14.935491647999999</x:v>
      </x:c>
      <x:c r="CG266" s="23">
        <x:f t="shared" si="259"/>
        <x:v>0</x:v>
      </x:c>
      <x:c r="CH266" s="23">
        <x:f t="shared" si="260"/>
        <x:v>41.332480000000004</x:v>
      </x:c>
      <x:c r="CI266" s="23">
        <x:f t="shared" si="261"/>
        <x:v>0</x:v>
      </x:c>
      <x:c r="CJ266" s="24" t="s">
        <x:v>356</x:v>
      </x:c>
      <x:c r="CK266" s="29">
        <x:v>98.69</x:v>
      </x:c>
      <x:c r="CL266" s="26" t="s">
        <x:v>104</x:v>
      </x:c>
      <x:c r="CM266" s="28">
        <x:v>87.5</x:v>
      </x:c>
      <x:c r="CN266" s="30" t="s">
        <x:v>453</x:v>
      </x:c>
      <x:c r="CO266" s="27">
        <x:v>99.8</x:v>
      </x:c>
      <x:c r="CP266" s="27">
        <x:v>99.6</x:v>
      </x:c>
      <x:c r="CQ266" s="26">
        <x:f t="shared" si="262"/>
        <x:v>73.637946368000016</x:v>
      </x:c>
      <x:c r="CR266" s="26">
        <x:f t="shared" si="263"/>
        <x:v>931.27243999999996</x:v>
      </x:c>
      <x:c r="CS266" s="26">
        <x:f t="shared" si="264"/>
        <x:v>2066.6239999999998</x:v>
      </x:c>
      <x:c r="CT266" s="26">
        <x:f t="shared" si="219"/>
        <x:v>57.25271798400005</x:v>
      </x:c>
      <x:c r="CU266" s="26">
        <x:f t="shared" si="220"/>
        <x:v>29.870983296000023</x:v>
      </x:c>
      <x:c r="CV266" s="26">
        <x:f t="shared" si="221"/>
        <x:v>5.9741966592000054E-2</x:v>
      </x:c>
      <x:c r="CW266" s="26">
        <x:f t="shared" si="222"/>
        <x:v>0</x:v>
      </x:c>
      <x:c r="CX266" s="26">
        <x:f t="shared" si="265"/>
        <x:v>41.332480000000004</x:v>
      </x:c>
      <x:c r="CY266" s="26">
        <x:f t="shared" si="266"/>
        <x:v>0</x:v>
      </x:c>
    </x:row>
    <x:row r="267">
      <x:c r="A267" s="18">
        <x:v>2022</x:v>
      </x:c>
      <x:c r="B267" t="s">
        <x:v>581</x:v>
      </x:c>
      <x:c r="C267" t="s">
        <x:v>582</x:v>
      </x:c>
      <x:c r="D267" t="s">
        <x:v>583</x:v>
      </x:c>
      <x:c r="E267" s="18">
        <x:v>441284</x:v>
      </x:c>
      <x:c r="F267" t="s">
        <x:v>584</x:v>
      </x:c>
      <x:c r="G267" t="s">
        <x:v>569</x:v>
      </x:c>
      <x:c r="H267" s="18">
        <x:v>4412</x:v>
      </x:c>
      <x:c r="I267" t="s">
        <x:v>108</x:v>
      </x:c>
      <x:c r="J267" t="s">
        <x:v>78</x:v>
      </x:c>
      <x:c r="K267" t="s">
        <x:v>80</x:v>
      </x:c>
      <x:c r="L267" s="18">
        <x:v>40.9</x:v>
      </x:c>
      <x:c r="M267" t="s">
        <x:v>78</x:v>
      </x:c>
      <x:c r="N267" s="18">
        <x:v>209.4</x:v>
      </x:c>
      <x:c r="O267" t="s">
        <x:v>88</x:v>
      </x:c>
      <x:c r="P267" s="18">
        <x:v>15</x:v>
      </x:c>
      <x:c r="Q267" s="19" t="s">
        <x:v>96</x:v>
      </x:c>
      <x:c r="R267" s="18">
        <x:v>19952.264999999999</x:v>
      </x:c>
      <x:c r="S267" t="s">
        <x:v>76</x:v>
      </x:c>
      <x:c r="T267" s="19">
        <x:f t="shared" si="269"/>
        <x:v>19952.264999999999</x:v>
      </x:c>
      <x:c r="U267" s="19">
        <x:v>12.72</x:v>
      </x:c>
      <x:c r="V267" t="s">
        <x:v>77</x:v>
      </x:c>
      <x:c r="W267" s="20">
        <x:v>0</x:v>
      </x:c>
      <x:c r="X267" s="21" t="n">
        <x:f>2*U267*T267*10000/1000000000</x:f>
        <x:v>5.075856216</x:v>
      </x:c>
      <x:c r="Y267" s="21" t="n">
        <x:f>4.1*T267*10000/1000000</x:f>
        <x:v>818.0428649999999</x:v>
      </x:c>
      <x:c r="Z267" s="21" t="n">
        <x:f>1.3*T267*10000/1000000</x:f>
        <x:v>259.379445</x:v>
      </x:c>
      <x:c r="AA267" s="21" t="n">
        <x:f>0.03*T267*10000/1000000</x:f>
        <x:v>5.9856795</x:v>
      </x:c>
      <x:c r="AB267" s="21" t="n">
        <x:f>0.03*T267*10000/1000000</x:f>
        <x:v>5.9856795</x:v>
      </x:c>
      <x:c r="AC267" s="21"/>
      <x:c r="AD267" s="21"/>
      <x:c r="AE267" s="21" t="n">
        <x:f>0.02*T267*10000/1000000</x:f>
        <x:v>3.990453</x:v>
      </x:c>
      <x:c r="AF267" s="21"/>
      <x:c r="AG267" s="19" t="s">
        <x:v>78</x:v>
      </x:c>
      <x:c r="AH267" t="s">
        <x:v>78</x:v>
      </x:c>
      <x:c r="AI267" t="s">
        <x:v>78</x:v>
      </x:c>
      <x:c r="AJ267" s="19"/>
      <x:c r="AK267" s="19" t="s">
        <x:v>78</x:v>
      </x:c>
      <x:c r="AL267" t="s">
        <x:v>78</x:v>
      </x:c>
      <x:c r="AM267" s="19" t="s">
        <x:v>78</x:v>
      </x:c>
      <x:c r="AN267" s="21"/>
      <x:c r="AO267" s="21"/>
      <x:c r="AP267" s="21"/>
      <x:c r="AQ267" s="21"/>
      <x:c r="AR267" s="21"/>
      <x:c r="AS267" s="21"/>
      <x:c r="AT267" s="21"/>
      <x:c r="AU267" s="21"/>
      <x:c r="AV267" s="21"/>
      <x:c r="AW267" t="s">
        <x:v>78</x:v>
      </x:c>
      <x:c r="AX267" s="19"/>
      <x:c r="AY267" s="21"/>
      <x:c r="AZ267" s="21"/>
      <x:c r="BA267" s="21"/>
      <x:c r="BB267" s="21"/>
      <x:c r="BC267" s="21"/>
      <x:c r="BD267" s="21"/>
      <x:c r="BE267" s="21"/>
      <x:c r="BF267" s="21"/>
      <x:c r="BG267" s="21"/>
      <x:c r="BH267" t="s">
        <x:v>81</x:v>
      </x:c>
      <x:c r="BI267" s="18">
        <x:v>112</x:v>
      </x:c>
      <x:c r="BJ267" s="18">
        <x:v>47</x:v>
      </x:c>
      <x:c r="BK267" s="18">
        <x:v>8.1999999999999993</x:v>
      </x:c>
      <x:c r="BL267" s="18">
        <x:v>23</x:v>
      </x:c>
      <x:c r="BM267" s="18">
        <x:v>18</x:v>
      </x:c>
      <x:c r="BN267" s="18">
        <x:v>54.54</x:v>
      </x:c>
      <x:c r="BO267" s="22">
        <x:v>112.785611111111</x:v>
      </x:c>
      <x:c r="BP267" s="22">
        <x:v>23.315149999999999</x:v>
      </x:c>
      <x:c r="BQ267" s="18">
        <x:v>60</x:v>
      </x:c>
      <x:c r="BR267" s="18">
        <x:v>504242.62199999997</x:v>
      </x:c>
      <x:c r="BS267" s="18">
        <x:v>0.70599999999999996</x:v>
      </x:c>
      <x:c r="BT267" s="18">
        <x:v>0.70599999999999996</x:v>
      </x:c>
      <x:c r="BU267" s="18">
        <x:v>150.99299999999999</x:v>
      </x:c>
      <x:c r="BV267" s="18">
        <x:v>150.99299999999999</x:v>
      </x:c>
      <x:c r="BW267" s="18">
        <x:v>1.7649999999999999</x:v>
      </x:c>
      <x:c r="BX267" s="18">
        <x:v>1.7649999999999999</x:v>
      </x:c>
      <x:c r="BY267" t="s">
        <x:v>78</x:v>
      </x:c>
      <x:c r="BZ267" t="s">
        <x:v>78</x:v>
      </x:c>
      <x:c r="CA267" s="23">
        <x:f t="shared" si="253"/>
        <x:v>5.075856216</x:v>
      </x:c>
      <x:c r="CB267" s="23">
        <x:f t="shared" si="254"/>
        <x:v>818.04286499999989</x:v>
      </x:c>
      <x:c r="CC267" s="23">
        <x:f t="shared" si="255"/>
        <x:v>259.37944499999998</x:v>
      </x:c>
      <x:c r="CD267" s="23">
        <x:f t="shared" si="256"/>
        <x:v>5.9856794999999998</x:v>
      </x:c>
      <x:c r="CE267" s="23">
        <x:f t="shared" si="257"/>
        <x:v>5.9856794999999998</x:v>
      </x:c>
      <x:c r="CF267" s="23">
        <x:f t="shared" si="258"/>
        <x:v>0</x:v>
      </x:c>
      <x:c r="CG267" s="23">
        <x:f t="shared" si="259"/>
        <x:v>0</x:v>
      </x:c>
      <x:c r="CH267" s="23">
        <x:f t="shared" si="260"/>
        <x:v>3.990453</x:v>
      </x:c>
      <x:c r="CI267" s="23">
        <x:f t="shared" si="261"/>
        <x:v>0</x:v>
      </x:c>
      <x:c r="CJ267" s="24" t="s">
        <x:v>78</x:v>
      </x:c>
      <x:c r="CK267" s="25">
        <x:v>0</x:v>
      </x:c>
      <x:c r="CL267" s="26" t="s">
        <x:v>78</x:v>
      </x:c>
      <x:c r="CM267" s="26">
        <x:v>42</x:v>
      </x:c>
      <x:c r="CN267" s="27" t="s">
        <x:v>78</x:v>
      </x:c>
      <x:c r="CO267" s="27">
        <x:v>0</x:v>
      </x:c>
      <x:c r="CP267" s="27">
        <x:v>0</x:v>
      </x:c>
      <x:c r="CQ267" s="26">
        <x:f t="shared" si="262"/>
        <x:v>5.075856216</x:v>
      </x:c>
      <x:c r="CR267" s="26">
        <x:f t="shared" si="263"/>
        <x:v>474.46486169999997</x:v>
      </x:c>
      <x:c r="CS267" s="26">
        <x:f t="shared" si="264"/>
        <x:v>259.37944499999998</x:v>
      </x:c>
      <x:c r="CT267" s="26">
        <x:f t="shared" si="219"/>
        <x:v>5.9856794999999998</x:v>
      </x:c>
      <x:c r="CU267" s="26">
        <x:f t="shared" si="220"/>
        <x:v>5.9856794999999998</x:v>
      </x:c>
      <x:c r="CV267" s="26">
        <x:f t="shared" si="221"/>
        <x:v>0</x:v>
      </x:c>
      <x:c r="CW267" s="26">
        <x:f t="shared" si="222"/>
        <x:v>0</x:v>
      </x:c>
      <x:c r="CX267" s="26">
        <x:f t="shared" si="265"/>
        <x:v>3.990453</x:v>
      </x:c>
      <x:c r="CY267" s="26">
        <x:f t="shared" si="266"/>
        <x:v>0</x:v>
      </x:c>
    </x:row>
    <x:row r="268">
      <x:c r="A268" s="18">
        <x:v>2022</x:v>
      </x:c>
      <x:c r="B268" t="s">
        <x:v>581</x:v>
      </x:c>
      <x:c r="C268" t="s">
        <x:v>582</x:v>
      </x:c>
      <x:c r="D268" t="s">
        <x:v>583</x:v>
      </x:c>
      <x:c r="E268" s="18">
        <x:v>441284</x:v>
      </x:c>
      <x:c r="F268" t="s">
        <x:v>584</x:v>
      </x:c>
      <x:c r="G268" t="s">
        <x:v>569</x:v>
      </x:c>
      <x:c r="H268" s="18">
        <x:v>4412</x:v>
      </x:c>
      <x:c r="I268" t="s">
        <x:v>108</x:v>
      </x:c>
      <x:c r="J268" t="s">
        <x:v>78</x:v>
      </x:c>
      <x:c r="K268" t="s">
        <x:v>80</x:v>
      </x:c>
      <x:c r="L268" s="18">
        <x:v>40.9</x:v>
      </x:c>
      <x:c r="M268" t="s">
        <x:v>78</x:v>
      </x:c>
      <x:c r="N268" s="18">
        <x:v>209.4</x:v>
      </x:c>
      <x:c r="O268" t="s">
        <x:v>88</x:v>
      </x:c>
      <x:c r="P268" s="18">
        <x:v>15</x:v>
      </x:c>
      <x:c r="Q268" s="19" t="s">
        <x:v>96</x:v>
      </x:c>
      <x:c r="R268" s="18">
        <x:v>33401.413</x:v>
      </x:c>
      <x:c r="S268" t="s">
        <x:v>76</x:v>
      </x:c>
      <x:c r="T268" s="19">
        <x:f t="shared" si="269"/>
        <x:v>33401.413</x:v>
      </x:c>
      <x:c r="U268" s="19">
        <x:v>12.72</x:v>
      </x:c>
      <x:c r="V268" t="s">
        <x:v>77</x:v>
      </x:c>
      <x:c r="W268" s="20">
        <x:v>0</x:v>
      </x:c>
      <x:c r="X268" s="21" t="n">
        <x:f>2*U268*T268*10000/1000000000</x:f>
        <x:v>8.4973194672</x:v>
      </x:c>
      <x:c r="Y268" s="21" t="n">
        <x:f>4.1*T268*10000/1000000</x:f>
        <x:v>1369.457933</x:v>
      </x:c>
      <x:c r="Z268" s="21" t="n">
        <x:f>1.3*T268*10000/1000000</x:f>
        <x:v>434.218369</x:v>
      </x:c>
      <x:c r="AA268" s="21" t="n">
        <x:f>0.03*T268*10000/1000000</x:f>
        <x:v>10.0204239</x:v>
      </x:c>
      <x:c r="AB268" s="21" t="n">
        <x:f>0.03*T268*10000/1000000</x:f>
        <x:v>10.0204239</x:v>
      </x:c>
      <x:c r="AC268" s="21"/>
      <x:c r="AD268" s="21"/>
      <x:c r="AE268" s="21" t="n">
        <x:f>0.02*T268*10000/1000000</x:f>
        <x:v>6.680282600000001</x:v>
      </x:c>
      <x:c r="AF268" s="21"/>
      <x:c r="AG268" s="19" t="s">
        <x:v>78</x:v>
      </x:c>
      <x:c r="AH268" t="s">
        <x:v>78</x:v>
      </x:c>
      <x:c r="AI268" t="s">
        <x:v>78</x:v>
      </x:c>
      <x:c r="AJ268" s="19"/>
      <x:c r="AK268" s="19" t="s">
        <x:v>78</x:v>
      </x:c>
      <x:c r="AL268" t="s">
        <x:v>78</x:v>
      </x:c>
      <x:c r="AM268" s="19" t="s">
        <x:v>78</x:v>
      </x:c>
      <x:c r="AN268" s="21"/>
      <x:c r="AO268" s="21"/>
      <x:c r="AP268" s="21"/>
      <x:c r="AQ268" s="21"/>
      <x:c r="AR268" s="21"/>
      <x:c r="AS268" s="21"/>
      <x:c r="AT268" s="21"/>
      <x:c r="AU268" s="21"/>
      <x:c r="AV268" s="21"/>
      <x:c r="AW268" t="s">
        <x:v>78</x:v>
      </x:c>
      <x:c r="AX268" s="19"/>
      <x:c r="AY268" s="21"/>
      <x:c r="AZ268" s="21"/>
      <x:c r="BA268" s="21"/>
      <x:c r="BB268" s="21"/>
      <x:c r="BC268" s="21"/>
      <x:c r="BD268" s="21"/>
      <x:c r="BE268" s="21"/>
      <x:c r="BF268" s="21"/>
      <x:c r="BG268" s="21"/>
      <x:c r="BH268" t="s">
        <x:v>79</x:v>
      </x:c>
      <x:c r="BI268" s="18">
        <x:v>112</x:v>
      </x:c>
      <x:c r="BJ268" s="18">
        <x:v>47</x:v>
      </x:c>
      <x:c r="BK268" s="18">
        <x:v>8.4499999999999993</x:v>
      </x:c>
      <x:c r="BL268" s="18">
        <x:v>23</x:v>
      </x:c>
      <x:c r="BM268" s="18">
        <x:v>18</x:v>
      </x:c>
      <x:c r="BN268" s="18">
        <x:v>56.77</x:v>
      </x:c>
      <x:c r="BO268" s="22">
        <x:v>112.785680555556</x:v>
      </x:c>
      <x:c r="BP268" s="22">
        <x:v>23.315769444444399</x:v>
      </x:c>
      <x:c r="BQ268" s="18">
        <x:v>60</x:v>
      </x:c>
      <x:c r="BR268" s="18">
        <x:v>889061.89300000004</x:v>
      </x:c>
      <x:c r="BS268" s="18">
        <x:v>0.71099999999999997</x:v>
      </x:c>
      <x:c r="BT268" s="18">
        <x:v>0.71099999999999997</x:v>
      </x:c>
      <x:c r="BU268" s="18">
        <x:v>295.60199999999998</x:v>
      </x:c>
      <x:c r="BV268" s="18">
        <x:v>295.60199999999998</x:v>
      </x:c>
      <x:c r="BW268" s="18">
        <x:v>4.1779999999999999</x:v>
      </x:c>
      <x:c r="BX268" s="18">
        <x:v>4.1779999999999999</x:v>
      </x:c>
      <x:c r="BY268" t="s">
        <x:v>78</x:v>
      </x:c>
      <x:c r="BZ268" t="s">
        <x:v>78</x:v>
      </x:c>
      <x:c r="CA268" s="23">
        <x:f t="shared" si="253"/>
        <x:v>8.4973194672000005</x:v>
      </x:c>
      <x:c r="CB268" s="23">
        <x:f t="shared" si="254"/>
        <x:v>1369.4579329999999</x:v>
      </x:c>
      <x:c r="CC268" s="23">
        <x:f t="shared" si="255"/>
        <x:v>434.218369</x:v>
      </x:c>
      <x:c r="CD268" s="23">
        <x:f t="shared" si="256"/>
        <x:v>10.020423900000001</x:v>
      </x:c>
      <x:c r="CE268" s="23">
        <x:f t="shared" si="257"/>
        <x:v>10.020423900000001</x:v>
      </x:c>
      <x:c r="CF268" s="23">
        <x:f t="shared" si="258"/>
        <x:v>0</x:v>
      </x:c>
      <x:c r="CG268" s="23">
        <x:f t="shared" si="259"/>
        <x:v>0</x:v>
      </x:c>
      <x:c r="CH268" s="23">
        <x:f t="shared" si="260"/>
        <x:v>6.6802826000000008</x:v>
      </x:c>
      <x:c r="CI268" s="23">
        <x:f t="shared" si="261"/>
        <x:v>0</x:v>
      </x:c>
      <x:c r="CJ268" s="24" t="s">
        <x:v>78</x:v>
      </x:c>
      <x:c r="CK268" s="25">
        <x:v>0</x:v>
      </x:c>
      <x:c r="CL268" s="26" t="s">
        <x:v>78</x:v>
      </x:c>
      <x:c r="CM268" s="26">
        <x:v>42</x:v>
      </x:c>
      <x:c r="CN268" s="27" t="s">
        <x:v>78</x:v>
      </x:c>
      <x:c r="CO268" s="27">
        <x:v>0</x:v>
      </x:c>
      <x:c r="CP268" s="27">
        <x:v>0</x:v>
      </x:c>
      <x:c r="CQ268" s="26">
        <x:f t="shared" si="262"/>
        <x:v>8.4973194672000005</x:v>
      </x:c>
      <x:c r="CR268" s="26">
        <x:f t="shared" si="263"/>
        <x:v>794.28560114000004</x:v>
      </x:c>
      <x:c r="CS268" s="26">
        <x:f t="shared" si="264"/>
        <x:v>434.218369</x:v>
      </x:c>
      <x:c r="CT268" s="26">
        <x:f t="shared" si="219"/>
        <x:v>10.020423900000001</x:v>
      </x:c>
      <x:c r="CU268" s="26">
        <x:f t="shared" si="220"/>
        <x:v>10.020423900000001</x:v>
      </x:c>
      <x:c r="CV268" s="26">
        <x:f t="shared" si="221"/>
        <x:v>0</x:v>
      </x:c>
      <x:c r="CW268" s="26">
        <x:f t="shared" si="222"/>
        <x:v>0</x:v>
      </x:c>
      <x:c r="CX268" s="26">
        <x:f t="shared" si="265"/>
        <x:v>6.6802826000000008</x:v>
      </x:c>
      <x:c r="CY268" s="26">
        <x:f t="shared" si="266"/>
        <x:v>0</x:v>
      </x:c>
    </x:row>
    <x:row r="269">
      <x:c r="A269" s="18">
        <x:v>2022</x:v>
      </x:c>
      <x:c r="B269" t="s">
        <x:v>585</x:v>
      </x:c>
      <x:c r="C269" t="s">
        <x:v>586</x:v>
      </x:c>
      <x:c r="D269" t="s">
        <x:v>587</x:v>
      </x:c>
      <x:c r="E269" s="18">
        <x:v>441323</x:v>
      </x:c>
      <x:c r="F269" t="s">
        <x:v>588</x:v>
      </x:c>
      <x:c r="G269" t="s">
        <x:v>589</x:v>
      </x:c>
      <x:c r="H269" s="18">
        <x:v>4411</x:v>
      </x:c>
      <x:c r="I269" t="s">
        <x:v>102</x:v>
      </x:c>
      <x:c r="J269" t="s">
        <x:v>78</x:v>
      </x:c>
      <x:c r="K269" t="s">
        <x:v>109</x:v>
      </x:c>
      <x:c r="L269" s="20">
        <x:v>100</x:v>
      </x:c>
      <x:c r="M269" t="s">
        <x:v>110</x:v>
      </x:c>
      <x:c r="N269" s="18">
        <x:v>3093</x:v>
      </x:c>
      <x:c r="O269" t="s">
        <x:v>88</x:v>
      </x:c>
      <x:c r="P269" s="18">
        <x:v>1</x:v>
      </x:c>
      <x:c r="Q269" s="19" t="s">
        <x:v>121</x:v>
      </x:c>
      <x:c r="R269" s="18">
        <x:v>2537047</x:v>
      </x:c>
      <x:c r="S269" t="s">
        <x:v>112</x:v>
      </x:c>
      <x:c r="T269" s="19" t="n">
        <x:f t="shared" ref="T269:T271" si="271">R269</x:f>
        <x:v>2537047</x:v>
      </x:c>
      <x:c r="U269" s="20">
        <x:v>0.53</x:v>
      </x:c>
      <x:c r="V269" t="s">
        <x:v>113</x:v>
      </x:c>
      <x:c r="W269" s="20">
        <x:v>11.01</x:v>
      </x:c>
      <x:c r="X269" s="21" t="n">
        <x:f>2*U269/100*(1-0.15)*T269</x:f>
        <x:v>22858.79347</x:v>
      </x:c>
      <x:c r="Y269" s="21" t="n">
        <x:f>7.21*T269/1000</x:f>
        <x:v>18292.10887</x:v>
      </x:c>
      <x:c r="Z269" s="21" t="n">
        <x:f>2*T269/1000</x:f>
        <x:v>5074.094</x:v>
      </x:c>
      <x:c r="AA269" s="21" t="n">
        <x:f>W269/100*(1-0.25)*0.23*T269</x:f>
        <x:v>48184.23088575</x:v>
      </x:c>
      <x:c r="AB269" s="21" t="n">
        <x:f>W269/100*(1-0.25)*0.06*T269</x:f>
        <x:v>12569.799361500001</x:v>
      </x:c>
      <x:c r="AC269" s="21" t="n">
        <x:f t="shared" ref="AC269:AC270" si="272">0.002*AB269</x:f>
        <x:v>25.139598723000002</x:v>
      </x:c>
      <x:c r="AD269" s="21"/>
      <x:c r="AE269" s="21" t="n">
        <x:f>0.04*T269/1000</x:f>
        <x:v>101.48188</x:v>
      </x:c>
      <x:c r="AF269" s="21"/>
      <x:c r="AG269" s="19" t="s">
        <x:v>78</x:v>
      </x:c>
      <x:c r="AH269" t="s">
        <x:v>78</x:v>
      </x:c>
      <x:c r="AI269" t="s">
        <x:v>78</x:v>
      </x:c>
      <x:c r="AJ269" s="19"/>
      <x:c r="AK269" s="19" t="s">
        <x:v>78</x:v>
      </x:c>
      <x:c r="AL269" t="s">
        <x:v>78</x:v>
      </x:c>
      <x:c r="AM269" s="19" t="s">
        <x:v>78</x:v>
      </x:c>
      <x:c r="AN269" s="21"/>
      <x:c r="AO269" s="21"/>
      <x:c r="AP269" s="21"/>
      <x:c r="AQ269" s="21"/>
      <x:c r="AR269" s="21"/>
      <x:c r="AS269" s="21"/>
      <x:c r="AT269" s="21"/>
      <x:c r="AU269" s="21"/>
      <x:c r="AV269" s="21"/>
      <x:c r="AW269" t="s">
        <x:v>78</x:v>
      </x:c>
      <x:c r="AX269" s="19"/>
      <x:c r="AY269" s="21"/>
      <x:c r="AZ269" s="21"/>
      <x:c r="BA269" s="21"/>
      <x:c r="BB269" s="21"/>
      <x:c r="BC269" s="21"/>
      <x:c r="BD269" s="21"/>
      <x:c r="BE269" s="21"/>
      <x:c r="BF269" s="21"/>
      <x:c r="BG269" s="21"/>
      <x:c r="BH269" t="s">
        <x:v>81</x:v>
      </x:c>
      <x:c r="BI269" s="18">
        <x:v>114</x:v>
      </x:c>
      <x:c r="BJ269" s="18">
        <x:v>44</x:v>
      </x:c>
      <x:c r="BK269" s="18">
        <x:v>34.01</x:v>
      </x:c>
      <x:c r="BL269" s="18">
        <x:v>22</x:v>
      </x:c>
      <x:c r="BM269" s="18">
        <x:v>36</x:v>
      </x:c>
      <x:c r="BN269" s="18">
        <x:v>27</x:v>
      </x:c>
      <x:c r="BO269" s="22">
        <x:v>114.742780555556</x:v>
      </x:c>
      <x:c r="BP269" s="22">
        <x:v>22.607500000000002</x:v>
      </x:c>
      <x:c r="BQ269" s="18">
        <x:v>240</x:v>
      </x:c>
      <x:c r="BR269" s="18">
        <x:v>1711738.29</x:v>
      </x:c>
      <x:c r="BS269" s="18">
        <x:v>23229.202000000001</x:v>
      </x:c>
      <x:c r="BT269" s="18">
        <x:v>594.00699999999995</x:v>
      </x:c>
      <x:c r="BU269" s="18">
        <x:v>4515.9440000000004</x:v>
      </x:c>
      <x:c r="BV269" s="18">
        <x:v>771.45899999999995</x:v>
      </x:c>
      <x:c r="BW269" s="18">
        <x:v>280045.08299999998</x:v>
      </x:c>
      <x:c r="BX269" s="18">
        <x:v>61.146000000000001</x:v>
      </x:c>
      <x:c r="BY269" s="18">
        <x:v>17530.994999999999</x:v>
      </x:c>
      <x:c r="BZ269" s="18">
        <x:v>17530.994999999999</x:v>
      </x:c>
      <x:c r="CA269" s="23">
        <x:f t="shared" si="253"/>
        <x:v>22858.793470000001</x:v>
      </x:c>
      <x:c r="CB269" s="23">
        <x:f t="shared" si="254"/>
        <x:v>18292.10887</x:v>
      </x:c>
      <x:c r="CC269" s="23">
        <x:f t="shared" si="255"/>
        <x:v>5074.0940000000001</x:v>
      </x:c>
      <x:c r="CD269" s="23">
        <x:f t="shared" si="256"/>
        <x:v>48184.230885750003</x:v>
      </x:c>
      <x:c r="CE269" s="23">
        <x:f t="shared" si="257"/>
        <x:v>12569.799361500001</x:v>
      </x:c>
      <x:c r="CF269" s="23">
        <x:f t="shared" si="258"/>
        <x:v>25.139598723000002</x:v>
      </x:c>
      <x:c r="CG269" s="23">
        <x:f t="shared" si="259"/>
        <x:v>0</x:v>
      </x:c>
      <x:c r="CH269" s="23">
        <x:f t="shared" si="260"/>
        <x:v>101.48188</x:v>
      </x:c>
      <x:c r="CI269" s="23">
        <x:f t="shared" si="261"/>
        <x:v>0</x:v>
      </x:c>
      <x:c r="CJ269" s="24" t="s">
        <x:v>153</x:v>
      </x:c>
      <x:c r="CK269" s="29">
        <x:v>96.2</x:v>
      </x:c>
      <x:c r="CL269" s="26" t="s">
        <x:v>104</x:v>
      </x:c>
      <x:c r="CM269" s="28">
        <x:v>80</x:v>
      </x:c>
      <x:c r="CN269" s="30" t="s">
        <x:v>351</x:v>
      </x:c>
      <x:c r="CO269" s="27">
        <x:v>98.9</x:v>
      </x:c>
      <x:c r="CP269" s="27">
        <x:v>97</x:v>
      </x:c>
      <x:c r="CQ269" s="26">
        <x:f t="shared" si="262"/>
        <x:v>868.63415185999827</x:v>
      </x:c>
      <x:c r="CR269" s="26">
        <x:f t="shared" si="263"/>
        <x:v>3658.421773999999</x:v>
      </x:c>
      <x:c r="CS269" s="26">
        <x:f t="shared" si="264"/>
        <x:v>5074.0940000000001</x:v>
      </x:c>
      <x:c r="CT269" s="26">
        <x:f t="shared" si="219"/>
        <x:v>530.02653974324517</x:v>
      </x:c>
      <x:c r="CU269" s="26">
        <x:f t="shared" si="220"/>
        <x:v>377.09398084500037</x:v>
      </x:c>
      <x:c r="CV269" s="26">
        <x:f t="shared" si="221"/>
        <x:v>0.7541879616900008</x:v>
      </x:c>
      <x:c r="CW269" s="26">
        <x:f t="shared" si="222"/>
        <x:v>0</x:v>
      </x:c>
      <x:c r="CX269" s="26">
        <x:f t="shared" si="265"/>
        <x:v>101.48188</x:v>
      </x:c>
      <x:c r="CY269" s="26">
        <x:f t="shared" si="266"/>
        <x:v>0</x:v>
      </x:c>
    </x:row>
    <x:row r="270">
      <x:c r="A270" s="18">
        <x:v>2022</x:v>
      </x:c>
      <x:c r="B270" t="s">
        <x:v>585</x:v>
      </x:c>
      <x:c r="C270" t="s">
        <x:v>586</x:v>
      </x:c>
      <x:c r="D270" t="s">
        <x:v>587</x:v>
      </x:c>
      <x:c r="E270" s="18">
        <x:v>441323</x:v>
      </x:c>
      <x:c r="F270" t="s">
        <x:v>588</x:v>
      </x:c>
      <x:c r="G270" t="s">
        <x:v>589</x:v>
      </x:c>
      <x:c r="H270" s="18">
        <x:v>4411</x:v>
      </x:c>
      <x:c r="I270" t="s">
        <x:v>102</x:v>
      </x:c>
      <x:c r="J270" t="s">
        <x:v>78</x:v>
      </x:c>
      <x:c r="K270" t="s">
        <x:v>109</x:v>
      </x:c>
      <x:c r="L270" s="20">
        <x:v>100</x:v>
      </x:c>
      <x:c r="M270" t="s">
        <x:v>110</x:v>
      </x:c>
      <x:c r="N270" s="18">
        <x:v>3093</x:v>
      </x:c>
      <x:c r="O270" t="s">
        <x:v>88</x:v>
      </x:c>
      <x:c r="P270" s="18">
        <x:v>1</x:v>
      </x:c>
      <x:c r="Q270" s="19" t="s">
        <x:v>121</x:v>
      </x:c>
      <x:c r="R270" s="18">
        <x:v>2559166</x:v>
      </x:c>
      <x:c r="S270" t="s">
        <x:v>112</x:v>
      </x:c>
      <x:c r="T270" s="19">
        <x:f t="shared" si="271"/>
        <x:v>2559166</x:v>
      </x:c>
      <x:c r="U270" s="20">
        <x:v>0.53</x:v>
      </x:c>
      <x:c r="V270" t="s">
        <x:v>113</x:v>
      </x:c>
      <x:c r="W270" s="20">
        <x:v>11.78</x:v>
      </x:c>
      <x:c r="X270" s="21" t="n">
        <x:f>2*U270/100*(1-0.15)*T270</x:f>
        <x:v>23058.08566</x:v>
      </x:c>
      <x:c r="Y270" s="21" t="n">
        <x:f>7.21*T270/1000</x:f>
        <x:v>18451.58686</x:v>
      </x:c>
      <x:c r="Z270" s="21" t="n">
        <x:f>2*T270/1000</x:f>
        <x:v>5118.332</x:v>
      </x:c>
      <x:c r="AA270" s="21" t="n">
        <x:f>W270/100*(1-0.25)*0.23*T270</x:f>
        <x:v>52003.532703</x:v>
      </x:c>
      <x:c r="AB270" s="21" t="n">
        <x:f>W270/100*(1-0.25)*0.06*T270</x:f>
        <x:v>13566.138965999997</x:v>
      </x:c>
      <x:c r="AC270" s="21">
        <x:f t="shared" si="272"/>
        <x:v>27.132277931999994</x:v>
      </x:c>
      <x:c r="AD270" s="21"/>
      <x:c r="AE270" s="21" t="n">
        <x:f>0.04*T270/1000</x:f>
        <x:v>102.36664</x:v>
      </x:c>
      <x:c r="AF270" s="21"/>
      <x:c r="AG270" s="19" t="s">
        <x:v>78</x:v>
      </x:c>
      <x:c r="AH270" t="s">
        <x:v>78</x:v>
      </x:c>
      <x:c r="AI270" t="s">
        <x:v>78</x:v>
      </x:c>
      <x:c r="AJ270" s="19"/>
      <x:c r="AK270" s="19" t="s">
        <x:v>78</x:v>
      </x:c>
      <x:c r="AL270" t="s">
        <x:v>78</x:v>
      </x:c>
      <x:c r="AM270" s="19" t="s">
        <x:v>78</x:v>
      </x:c>
      <x:c r="AN270" s="21"/>
      <x:c r="AO270" s="21"/>
      <x:c r="AP270" s="21"/>
      <x:c r="AQ270" s="21"/>
      <x:c r="AR270" s="21"/>
      <x:c r="AS270" s="21"/>
      <x:c r="AT270" s="21"/>
      <x:c r="AU270" s="21"/>
      <x:c r="AV270" s="21"/>
      <x:c r="AW270" t="s">
        <x:v>78</x:v>
      </x:c>
      <x:c r="AX270" s="19"/>
      <x:c r="AY270" s="21"/>
      <x:c r="AZ270" s="21"/>
      <x:c r="BA270" s="21"/>
      <x:c r="BB270" s="21"/>
      <x:c r="BC270" s="21"/>
      <x:c r="BD270" s="21"/>
      <x:c r="BE270" s="21"/>
      <x:c r="BF270" s="21"/>
      <x:c r="BG270" s="21"/>
      <x:c r="BH270" t="s">
        <x:v>79</x:v>
      </x:c>
      <x:c r="BI270" s="18">
        <x:v>114</x:v>
      </x:c>
      <x:c r="BJ270" s="18">
        <x:v>44</x:v>
      </x:c>
      <x:c r="BK270" s="18">
        <x:v>34.01</x:v>
      </x:c>
      <x:c r="BL270" s="18">
        <x:v>22</x:v>
      </x:c>
      <x:c r="BM270" s="18">
        <x:v>36</x:v>
      </x:c>
      <x:c r="BN270" s="18">
        <x:v>27</x:v>
      </x:c>
      <x:c r="BO270" s="22">
        <x:v>114.742780555556</x:v>
      </x:c>
      <x:c r="BP270" s="22">
        <x:v>22.607500000000002</x:v>
      </x:c>
      <x:c r="BQ270" s="18">
        <x:v>240</x:v>
      </x:c>
      <x:c r="BR270" s="18">
        <x:v>1708552.51</x:v>
      </x:c>
      <x:c r="BS270" s="18">
        <x:v>23431.723999999998</x:v>
      </x:c>
      <x:c r="BT270" s="18">
        <x:v>599.18600000000004</x:v>
      </x:c>
      <x:c r="BU270" s="18">
        <x:v>4555.3149999999996</x:v>
      </x:c>
      <x:c r="BV270" s="18">
        <x:v>774.404</x:v>
      </x:c>
      <x:c r="BW270" s="18">
        <x:v>300674.87800000003</x:v>
      </x:c>
      <x:c r="BX270" s="18">
        <x:v>64.353999999999999</x:v>
      </x:c>
      <x:c r="BY270" s="18">
        <x:v>17683.837</x:v>
      </x:c>
      <x:c r="BZ270" s="18">
        <x:v>17683.837</x:v>
      </x:c>
      <x:c r="CA270" s="23">
        <x:f t="shared" si="253"/>
        <x:v>23058.085660000001</x:v>
      </x:c>
      <x:c r="CB270" s="23">
        <x:f t="shared" si="254"/>
        <x:v>18451.586859999999</x:v>
      </x:c>
      <x:c r="CC270" s="23">
        <x:f t="shared" si="255"/>
        <x:v>5118.3320000000003</x:v>
      </x:c>
      <x:c r="CD270" s="23">
        <x:f t="shared" si="256"/>
        <x:v>52003.532702999997</x:v>
      </x:c>
      <x:c r="CE270" s="23">
        <x:f t="shared" si="257"/>
        <x:v>13566.138965999997</x:v>
      </x:c>
      <x:c r="CF270" s="23">
        <x:f t="shared" si="258"/>
        <x:v>27.132277931999994</x:v>
      </x:c>
      <x:c r="CG270" s="23">
        <x:f t="shared" si="259"/>
        <x:v>0</x:v>
      </x:c>
      <x:c r="CH270" s="23">
        <x:f t="shared" si="260"/>
        <x:v>102.36664</x:v>
      </x:c>
      <x:c r="CI270" s="23">
        <x:f t="shared" si="261"/>
        <x:v>0</x:v>
      </x:c>
      <x:c r="CJ270" s="24" t="s">
        <x:v>153</x:v>
      </x:c>
      <x:c r="CK270" s="29">
        <x:v>96.2</x:v>
      </x:c>
      <x:c r="CL270" s="26" t="s">
        <x:v>104</x:v>
      </x:c>
      <x:c r="CM270" s="28">
        <x:v>80</x:v>
      </x:c>
      <x:c r="CN270" s="30" t="s">
        <x:v>351</x:v>
      </x:c>
      <x:c r="CO270" s="27">
        <x:v>98.9</x:v>
      </x:c>
      <x:c r="CP270" s="27">
        <x:v>97</x:v>
      </x:c>
      <x:c r="CQ270" s="26">
        <x:f t="shared" si="262"/>
        <x:v>876.20725507999828</x:v>
      </x:c>
      <x:c r="CR270" s="26">
        <x:f t="shared" si="263"/>
        <x:v>3690.3173719999991</x:v>
      </x:c>
      <x:c r="CS270" s="26">
        <x:f t="shared" si="264"/>
        <x:v>5118.3320000000003</x:v>
      </x:c>
      <x:c r="CT270" s="26">
        <x:f t="shared" si="219"/>
        <x:v>572.03885973299475</x:v>
      </x:c>
      <x:c r="CU270" s="26">
        <x:f t="shared" si="220"/>
        <x:v>406.98416898000028</x:v>
      </x:c>
      <x:c r="CV270" s="26">
        <x:f t="shared" si="221"/>
        <x:v>0.81396833796000057</x:v>
      </x:c>
      <x:c r="CW270" s="26">
        <x:f t="shared" si="222"/>
        <x:v>0</x:v>
      </x:c>
      <x:c r="CX270" s="26">
        <x:f t="shared" si="265"/>
        <x:v>102.36664</x:v>
      </x:c>
      <x:c r="CY270" s="26">
        <x:f t="shared" si="266"/>
        <x:v>0</x:v>
      </x:c>
    </x:row>
    <x:row r="271">
      <x:c r="A271" s="18">
        <x:v>2022</x:v>
      </x:c>
      <x:c r="B271" t="s">
        <x:v>590</x:v>
      </x:c>
      <x:c r="C271" t="s">
        <x:v>591</x:v>
      </x:c>
      <x:c r="D271" t="s">
        <x:v>592</x:v>
      </x:c>
      <x:c r="E271" s="18">
        <x:v>441361</x:v>
      </x:c>
      <x:c r="F271" t="s">
        <x:v>593</x:v>
      </x:c>
      <x:c r="G271" t="s">
        <x:v>589</x:v>
      </x:c>
      <x:c r="H271" s="18">
        <x:v>2614</x:v>
      </x:c>
      <x:c r="I271" t="s">
        <x:v>550</x:v>
      </x:c>
      <x:c r="J271" t="s">
        <x:v>78</x:v>
      </x:c>
      <x:c r="K271" t="s">
        <x:v>306</x:v>
      </x:c>
      <x:c r="L271" s="18">
        <x:v>6</x:v>
      </x:c>
      <x:c r="M271" t="s">
        <x:v>73</x:v>
      </x:c>
      <x:c r="N271" s="18">
        <x:v>305</x:v>
      </x:c>
      <x:c r="O271" t="s">
        <x:v>88</x:v>
      </x:c>
      <x:c r="P271" s="18">
        <x:v>22</x:v>
      </x:c>
      <x:c r="Q271" s="19" t="s">
        <x:v>368</x:v>
      </x:c>
      <x:c r="R271" s="18">
        <x:v>39450.74</x:v>
      </x:c>
      <x:c r="S271" t="s">
        <x:v>112</x:v>
      </x:c>
      <x:c r="T271" s="19">
        <x:f t="shared" si="271"/>
        <x:v>39450.74</x:v>
      </x:c>
      <x:c r="U271" s="20">
        <x:v>0.8</x:v>
      </x:c>
      <x:c r="V271" t="s">
        <x:v>113</x:v>
      </x:c>
      <x:c r="W271" s="19" t="s">
        <x:v>78</x:v>
      </x:c>
      <x:c r="X271" s="21" t="n">
        <x:f>2*U271/100*T271</x:f>
        <x:v>631.2118399999999</x:v>
      </x:c>
      <x:c r="Y271" s="21" t="n">
        <x:f>10.06*T271/1000</x:f>
        <x:v>396.87444439999996</x:v>
      </x:c>
      <x:c r="Z271" s="21" t="n">
        <x:f>0.6*T271/1000</x:f>
        <x:v>23.670444</x:v>
      </x:c>
      <x:c r="AA271" s="21" t="n">
        <x:f>0.85*T271/1000</x:f>
        <x:v>33.533129</x:v>
      </x:c>
      <x:c r="AB271" s="21" t="n">
        <x:f>0.62*T271/1000</x:f>
        <x:v>24.4594588</x:v>
      </x:c>
      <x:c r="AC271" s="21" t="n">
        <x:f>0.04*T271/1000</x:f>
        <x:v>1.5780295999999998</x:v>
      </x:c>
      <x:c r="AD271" s="21" t="n">
        <x:f>0.05*T271/1000</x:f>
        <x:v>1.972537</x:v>
      </x:c>
      <x:c r="AE271" s="21" t="n">
        <x:f>0.19*T271/1000</x:f>
        <x:v>7.4956406</x:v>
      </x:c>
      <x:c r="AF271" s="21"/>
      <x:c r="AG271" s="19" t="s">
        <x:v>96</x:v>
      </x:c>
      <x:c r="AH271" s="18">
        <x:v>5326.4</x:v>
      </x:c>
      <x:c r="AI271" t="s">
        <x:v>76</x:v>
      </x:c>
      <x:c r="AJ271" s="19" t="n">
        <x:f t="shared" ref="AJ271:AJ274" si="273">AH271</x:f>
        <x:v>5326.4</x:v>
      </x:c>
      <x:c r="AK271" s="19">
        <x:v>20</x:v>
      </x:c>
      <x:c r="AL271" t="s">
        <x:v>77</x:v>
      </x:c>
      <x:c r="AM271" s="19" t="s">
        <x:v>78</x:v>
      </x:c>
      <x:c r="AN271" s="21" t="n">
        <x:f>2*AK271*AJ271*10000/1000000000</x:f>
        <x:v>2.13056</x:v>
      </x:c>
      <x:c r="AO271" s="21" t="n">
        <x:f>4.1*AJ271*10000/1000000</x:f>
        <x:v>218.38239999999996</x:v>
      </x:c>
      <x:c r="AP271" s="21" t="n">
        <x:f>1.3*AJ271*10000/1000000</x:f>
        <x:v>69.2432</x:v>
      </x:c>
      <x:c r="AQ271" s="21" t="n">
        <x:f>0.03*AJ271*10000/1000000</x:f>
        <x:v>1.5979199999999998</x:v>
      </x:c>
      <x:c r="AR271" s="21" t="n">
        <x:f>0.03*AJ271*10000/1000000</x:f>
        <x:v>1.5979199999999998</x:v>
      </x:c>
      <x:c r="AS271" s="21"/>
      <x:c r="AT271" s="21"/>
      <x:c r="AU271" s="21" t="n">
        <x:f>0.02*AJ271*10000/1000000</x:f>
        <x:v>1.06528</x:v>
      </x:c>
      <x:c r="AV271" s="21"/>
      <x:c r="AW271" t="s">
        <x:v>78</x:v>
      </x:c>
      <x:c r="AX271" s="19"/>
      <x:c r="AY271" s="21"/>
      <x:c r="AZ271" s="21"/>
      <x:c r="BA271" s="21"/>
      <x:c r="BB271" s="21"/>
      <x:c r="BC271" s="21"/>
      <x:c r="BD271" s="21"/>
      <x:c r="BE271" s="21"/>
      <x:c r="BF271" s="21"/>
      <x:c r="BG271" s="21"/>
      <x:c r="BH271" t="s">
        <x:v>81</x:v>
      </x:c>
      <x:c r="BI271" s="18">
        <x:v>114</x:v>
      </x:c>
      <x:c r="BJ271" s="18">
        <x:v>36</x:v>
      </x:c>
      <x:c r="BK271" s="18">
        <x:v>16.010000000000002</x:v>
      </x:c>
      <x:c r="BL271" s="18">
        <x:v>22</x:v>
      </x:c>
      <x:c r="BM271" s="18">
        <x:v>45</x:v>
      </x:c>
      <x:c r="BN271" s="18">
        <x:v>25.49</x:v>
      </x:c>
      <x:c r="BO271" s="22">
        <x:v>114.60444722222201</x:v>
      </x:c>
      <x:c r="BP271" s="22">
        <x:v>22.7570805555556</x:v>
      </x:c>
      <x:c r="BQ271" s="18">
        <x:v>120</x:v>
      </x:c>
      <x:c r="BR271" s="18">
        <x:v>87580.22</x:v>
      </x:c>
      <x:c r="BS271" s="18">
        <x:v>29.983000000000001</x:v>
      </x:c>
      <x:c r="BT271" s="18">
        <x:v>29.983000000000001</x:v>
      </x:c>
      <x:c r="BU271" s="18">
        <x:v>180.334</x:v>
      </x:c>
      <x:c r="BV271" s="18">
        <x:v>54.1</x:v>
      </x:c>
      <x:c r="BW271" s="18">
        <x:v>15.397</x:v>
      </x:c>
      <x:c r="BX271" s="18">
        <x:v>15.397</x:v>
      </x:c>
      <x:c r="BY271" s="18">
        <x:v>53653.006000000001</x:v>
      </x:c>
      <x:c r="BZ271" s="18">
        <x:v>53653.006000000001</x:v>
      </x:c>
      <x:c r="CA271" s="23">
        <x:f t="shared" si="253"/>
        <x:v>633.34239999999988</x:v>
      </x:c>
      <x:c r="CB271" s="23">
        <x:f t="shared" si="254"/>
        <x:v>615.25684439999986</x:v>
      </x:c>
      <x:c r="CC271" s="23">
        <x:f t="shared" si="255"/>
        <x:v>92.913644000000005</x:v>
      </x:c>
      <x:c r="CD271" s="23">
        <x:f t="shared" si="256"/>
        <x:v>35.131049000000004</x:v>
      </x:c>
      <x:c r="CE271" s="23">
        <x:f t="shared" si="257"/>
        <x:v>26.057378799999999</x:v>
      </x:c>
      <x:c r="CF271" s="23">
        <x:f t="shared" si="258"/>
        <x:v>1.5780295999999998</x:v>
      </x:c>
      <x:c r="CG271" s="23">
        <x:f t="shared" si="259"/>
        <x:v>1.972537</x:v>
      </x:c>
      <x:c r="CH271" s="23">
        <x:f t="shared" si="260"/>
        <x:v>8.5609205999999993</x:v>
      </x:c>
      <x:c r="CI271" s="23">
        <x:f t="shared" si="261"/>
        <x:v>0</x:v>
      </x:c>
      <x:c r="CJ271" s="24" t="s">
        <x:v>594</x:v>
      </x:c>
      <x:c r="CK271" s="25">
        <x:v>90</x:v>
      </x:c>
      <x:c r="CL271" s="26" t="s">
        <x:v>97</x:v>
      </x:c>
      <x:c r="CM271" s="28">
        <x:v>65</x:v>
      </x:c>
      <x:c r="CN271" s="27" t="s">
        <x:v>78</x:v>
      </x:c>
      <x:c r="CO271" s="27">
        <x:v>0</x:v>
      </x:c>
      <x:c r="CP271" s="27">
        <x:v>0</x:v>
      </x:c>
      <x:c r="CQ271" s="26">
        <x:f t="shared" si="262"/>
        <x:v>63.334239999999973</x:v>
      </x:c>
      <x:c r="CR271" s="26">
        <x:f t="shared" si="263"/>
        <x:v>215.33989553999993</x:v>
      </x:c>
      <x:c r="CS271" s="26">
        <x:f t="shared" si="264"/>
        <x:v>92.913644000000005</x:v>
      </x:c>
      <x:c r="CT271" s="26">
        <x:f t="shared" si="219"/>
        <x:v>35.131049000000004</x:v>
      </x:c>
      <x:c r="CU271" s="26">
        <x:f t="shared" si="220"/>
        <x:v>26.057378799999999</x:v>
      </x:c>
      <x:c r="CV271" s="26">
        <x:f t="shared" si="221"/>
        <x:v>1.5780295999999998</x:v>
      </x:c>
      <x:c r="CW271" s="26">
        <x:f t="shared" si="222"/>
        <x:v>1.972537</x:v>
      </x:c>
      <x:c r="CX271" s="26">
        <x:f t="shared" si="265"/>
        <x:v>8.5609205999999993</x:v>
      </x:c>
      <x:c r="CY271" s="26">
        <x:f t="shared" si="266"/>
        <x:v>0</x:v>
      </x:c>
    </x:row>
    <x:row r="272">
      <x:c r="A272" s="18">
        <x:v>2022</x:v>
      </x:c>
      <x:c r="B272" t="s">
        <x:v>590</x:v>
      </x:c>
      <x:c r="C272" t="s">
        <x:v>591</x:v>
      </x:c>
      <x:c r="D272" t="s">
        <x:v>592</x:v>
      </x:c>
      <x:c r="E272" s="18">
        <x:v>441361</x:v>
      </x:c>
      <x:c r="F272" t="s">
        <x:v>593</x:v>
      </x:c>
      <x:c r="G272" t="s">
        <x:v>589</x:v>
      </x:c>
      <x:c r="H272" s="18">
        <x:v>2614</x:v>
      </x:c>
      <x:c r="I272" t="s">
        <x:v>550</x:v>
      </x:c>
      <x:c r="J272" t="s">
        <x:v>78</x:v>
      </x:c>
      <x:c r="K272" t="s">
        <x:v>306</x:v>
      </x:c>
      <x:c r="L272" s="18">
        <x:v>6</x:v>
      </x:c>
      <x:c r="M272" t="s">
        <x:v>73</x:v>
      </x:c>
      <x:c r="N272" s="18">
        <x:v>305</x:v>
      </x:c>
      <x:c r="O272" t="s">
        <x:v>88</x:v>
      </x:c>
      <x:c r="P272" s="18">
        <x:v>22</x:v>
      </x:c>
      <x:c r="Q272" s="19" t="s">
        <x:v>368</x:v>
      </x:c>
      <x:c r="R272" s="18">
        <x:v>28394.21</x:v>
      </x:c>
      <x:c r="S272" t="s">
        <x:v>112</x:v>
      </x:c>
      <x:c r="T272" s="19" t="n">
        <x:f t="shared" ref="T272:T274" si="274">R272</x:f>
        <x:v>28394.21</x:v>
      </x:c>
      <x:c r="U272" s="20">
        <x:v>0.8</x:v>
      </x:c>
      <x:c r="V272" t="s">
        <x:v>113</x:v>
      </x:c>
      <x:c r="W272" s="19" t="s">
        <x:v>78</x:v>
      </x:c>
      <x:c r="X272" s="21" t="n">
        <x:f>2*U272/100*T272</x:f>
        <x:v>454.30736</x:v>
      </x:c>
      <x:c r="Y272" s="21" t="n">
        <x:f>10.06*T272/1000</x:f>
        <x:v>285.6457526</x:v>
      </x:c>
      <x:c r="Z272" s="21" t="n">
        <x:f>0.6*T272/1000</x:f>
        <x:v>17.036526</x:v>
      </x:c>
      <x:c r="AA272" s="21" t="n">
        <x:f>0.85*T272/1000</x:f>
        <x:v>24.1350785</x:v>
      </x:c>
      <x:c r="AB272" s="21" t="n">
        <x:f>0.62*T272/1000</x:f>
        <x:v>17.604410199999997</x:v>
      </x:c>
      <x:c r="AC272" s="21" t="n">
        <x:f>0.04*T272/1000</x:f>
        <x:v>1.1357684</x:v>
      </x:c>
      <x:c r="AD272" s="21" t="n">
        <x:f>0.05*T272/1000</x:f>
        <x:v>1.4197105</x:v>
      </x:c>
      <x:c r="AE272" s="21" t="n">
        <x:f>0.19*T272/1000</x:f>
        <x:v>5.3948999</x:v>
      </x:c>
      <x:c r="AF272" s="21"/>
      <x:c r="AG272" s="19" t="s">
        <x:v>96</x:v>
      </x:c>
      <x:c r="AH272" s="18">
        <x:v>2353.92</x:v>
      </x:c>
      <x:c r="AI272" t="s">
        <x:v>76</x:v>
      </x:c>
      <x:c r="AJ272" s="19">
        <x:f t="shared" si="273"/>
        <x:v>2353.92</x:v>
      </x:c>
      <x:c r="AK272" s="19">
        <x:v>20</x:v>
      </x:c>
      <x:c r="AL272" t="s">
        <x:v>77</x:v>
      </x:c>
      <x:c r="AM272" s="19" t="s">
        <x:v>78</x:v>
      </x:c>
      <x:c r="AN272" s="21" t="n">
        <x:f>2*AK272*AJ272*10000/1000000000</x:f>
        <x:v>0.941568</x:v>
      </x:c>
      <x:c r="AO272" s="21" t="n">
        <x:f>4.1*AJ272*10000/1000000</x:f>
        <x:v>96.51072</x:v>
      </x:c>
      <x:c r="AP272" s="21" t="n">
        <x:f>1.3*AJ272*10000/1000000</x:f>
        <x:v>30.60096</x:v>
      </x:c>
      <x:c r="AQ272" s="21" t="n">
        <x:f>0.03*AJ272*10000/1000000</x:f>
        <x:v>0.706176</x:v>
      </x:c>
      <x:c r="AR272" s="21" t="n">
        <x:f>0.03*AJ272*10000/1000000</x:f>
        <x:v>0.706176</x:v>
      </x:c>
      <x:c r="AS272" s="21"/>
      <x:c r="AT272" s="21"/>
      <x:c r="AU272" s="21" t="n">
        <x:f>0.02*AJ272*10000/1000000</x:f>
        <x:v>0.470784</x:v>
      </x:c>
      <x:c r="AV272" s="21"/>
      <x:c r="AW272" t="s">
        <x:v>78</x:v>
      </x:c>
      <x:c r="AX272" s="19"/>
      <x:c r="AY272" s="21"/>
      <x:c r="AZ272" s="21"/>
      <x:c r="BA272" s="21"/>
      <x:c r="BB272" s="21"/>
      <x:c r="BC272" s="21"/>
      <x:c r="BD272" s="21"/>
      <x:c r="BE272" s="21"/>
      <x:c r="BF272" s="21"/>
      <x:c r="BG272" s="21"/>
      <x:c r="BH272" t="s">
        <x:v>81</x:v>
      </x:c>
      <x:c r="BI272" s="18">
        <x:v>114</x:v>
      </x:c>
      <x:c r="BJ272" s="18">
        <x:v>36</x:v>
      </x:c>
      <x:c r="BK272" s="18">
        <x:v>16.010000000000002</x:v>
      </x:c>
      <x:c r="BL272" s="18">
        <x:v>22</x:v>
      </x:c>
      <x:c r="BM272" s="18">
        <x:v>45</x:v>
      </x:c>
      <x:c r="BN272" s="18">
        <x:v>25.49</x:v>
      </x:c>
      <x:c r="BO272" s="22">
        <x:v>114.60444722222201</x:v>
      </x:c>
      <x:c r="BP272" s="22">
        <x:v>22.7570805555556</x:v>
      </x:c>
      <x:c r="BQ272" s="18">
        <x:v>120</x:v>
      </x:c>
      <x:c r="BR272" s="18">
        <x:v>48115.59</x:v>
      </x:c>
      <x:c r="BS272" s="18">
        <x:v>21.58</x:v>
      </x:c>
      <x:c r="BT272" s="18">
        <x:v>21.58</x:v>
      </x:c>
      <x:c r="BU272" s="18">
        <x:v>117.068</x:v>
      </x:c>
      <x:c r="BV272" s="18">
        <x:v>35.119999999999997</x:v>
      </x:c>
      <x:c r="BW272" s="18">
        <x:v>9.5440000000000005</x:v>
      </x:c>
      <x:c r="BX272" s="18">
        <x:v>9.5440000000000005</x:v>
      </x:c>
      <x:c r="BY272" s="18">
        <x:v>38616.125999999997</x:v>
      </x:c>
      <x:c r="BZ272" s="18">
        <x:v>38616.125999999997</x:v>
      </x:c>
      <x:c r="CA272" s="23">
        <x:f t="shared" si="253"/>
        <x:v>455.24892800000003</x:v>
      </x:c>
      <x:c r="CB272" s="23">
        <x:f t="shared" si="254"/>
        <x:v>382.15647259999997</x:v>
      </x:c>
      <x:c r="CC272" s="23">
        <x:f t="shared" si="255"/>
        <x:v>47.637485999999996</x:v>
      </x:c>
      <x:c r="CD272" s="23">
        <x:f t="shared" si="256"/>
        <x:v>24.841254499999998</x:v>
      </x:c>
      <x:c r="CE272" s="23">
        <x:f t="shared" si="257"/>
        <x:v>18.310586199999996</x:v>
      </x:c>
      <x:c r="CF272" s="23">
        <x:f t="shared" si="258"/>
        <x:v>1.1357683999999999</x:v>
      </x:c>
      <x:c r="CG272" s="23">
        <x:f t="shared" si="259"/>
        <x:v>1.4197105000000001</x:v>
      </x:c>
      <x:c r="CH272" s="23">
        <x:f t="shared" si="260"/>
        <x:v>5.8656839000000005</x:v>
      </x:c>
      <x:c r="CI272" s="23">
        <x:f t="shared" si="261"/>
        <x:v>0</x:v>
      </x:c>
      <x:c r="CJ272" s="24" t="s">
        <x:v>594</x:v>
      </x:c>
      <x:c r="CK272" s="25">
        <x:v>90</x:v>
      </x:c>
      <x:c r="CL272" s="26" t="s">
        <x:v>97</x:v>
      </x:c>
      <x:c r="CM272" s="28">
        <x:v>65</x:v>
      </x:c>
      <x:c r="CN272" s="27" t="s">
        <x:v>78</x:v>
      </x:c>
      <x:c r="CO272" s="27">
        <x:v>0</x:v>
      </x:c>
      <x:c r="CP272" s="27">
        <x:v>0</x:v>
      </x:c>
      <x:c r="CQ272" s="26">
        <x:f t="shared" si="262"/>
        <x:v>45.524892799999996</x:v>
      </x:c>
      <x:c r="CR272" s="26">
        <x:f t="shared" si="263"/>
        <x:v>133.75476540999998</x:v>
      </x:c>
      <x:c r="CS272" s="26">
        <x:f t="shared" si="264"/>
        <x:v>47.637485999999996</x:v>
      </x:c>
      <x:c r="CT272" s="26">
        <x:f t="shared" si="219"/>
        <x:v>24.841254499999998</x:v>
      </x:c>
      <x:c r="CU272" s="26">
        <x:f t="shared" si="220"/>
        <x:v>18.310586199999996</x:v>
      </x:c>
      <x:c r="CV272" s="26">
        <x:f t="shared" si="221"/>
        <x:v>1.1357683999999999</x:v>
      </x:c>
      <x:c r="CW272" s="26">
        <x:f t="shared" si="222"/>
        <x:v>1.4197105000000001</x:v>
      </x:c>
      <x:c r="CX272" s="26">
        <x:f t="shared" si="265"/>
        <x:v>5.8656839000000005</x:v>
      </x:c>
      <x:c r="CY272" s="26">
        <x:f t="shared" si="266"/>
        <x:v>0</x:v>
      </x:c>
    </x:row>
    <x:row r="273">
      <x:c r="A273" s="18">
        <x:v>2022</x:v>
      </x:c>
      <x:c r="B273" t="s">
        <x:v>590</x:v>
      </x:c>
      <x:c r="C273" t="s">
        <x:v>591</x:v>
      </x:c>
      <x:c r="D273" t="s">
        <x:v>592</x:v>
      </x:c>
      <x:c r="E273" s="18">
        <x:v>441361</x:v>
      </x:c>
      <x:c r="F273" t="s">
        <x:v>593</x:v>
      </x:c>
      <x:c r="G273" t="s">
        <x:v>589</x:v>
      </x:c>
      <x:c r="H273" s="18">
        <x:v>2614</x:v>
      </x:c>
      <x:c r="I273" t="s">
        <x:v>550</x:v>
      </x:c>
      <x:c r="J273" t="s">
        <x:v>78</x:v>
      </x:c>
      <x:c r="K273" t="s">
        <x:v>306</x:v>
      </x:c>
      <x:c r="L273" s="18">
        <x:v>6</x:v>
      </x:c>
      <x:c r="M273" t="s">
        <x:v>73</x:v>
      </x:c>
      <x:c r="N273" s="18">
        <x:v>305</x:v>
      </x:c>
      <x:c r="O273" t="s">
        <x:v>88</x:v>
      </x:c>
      <x:c r="P273" s="18">
        <x:v>22</x:v>
      </x:c>
      <x:c r="Q273" s="19" t="s">
        <x:v>368</x:v>
      </x:c>
      <x:c r="R273" s="18">
        <x:v>10869.88</x:v>
      </x:c>
      <x:c r="S273" t="s">
        <x:v>112</x:v>
      </x:c>
      <x:c r="T273" s="19">
        <x:f t="shared" si="274"/>
        <x:v>10869.88</x:v>
      </x:c>
      <x:c r="U273" s="20">
        <x:v>0.8</x:v>
      </x:c>
      <x:c r="V273" t="s">
        <x:v>113</x:v>
      </x:c>
      <x:c r="W273" s="19" t="s">
        <x:v>78</x:v>
      </x:c>
      <x:c r="X273" s="21" t="n">
        <x:f>2*U273/100*T273</x:f>
        <x:v>173.91808</x:v>
      </x:c>
      <x:c r="Y273" s="21" t="n">
        <x:f>10.06*T273/1000</x:f>
        <x:v>109.35099279999999</x:v>
      </x:c>
      <x:c r="Z273" s="21" t="n">
        <x:f>0.6*T273/1000</x:f>
        <x:v>6.521927999999999</x:v>
      </x:c>
      <x:c r="AA273" s="21" t="n">
        <x:f>0.85*T273/1000</x:f>
        <x:v>9.239398</x:v>
      </x:c>
      <x:c r="AB273" s="21" t="n">
        <x:f>0.62*T273/1000</x:f>
        <x:v>6.739325599999999</x:v>
      </x:c>
      <x:c r="AC273" s="21" t="n">
        <x:f>0.04*T273/1000</x:f>
        <x:v>0.4347952</x:v>
      </x:c>
      <x:c r="AD273" s="21" t="n">
        <x:f>0.05*T273/1000</x:f>
        <x:v>0.543494</x:v>
      </x:c>
      <x:c r="AE273" s="21" t="n">
        <x:f>0.19*T273/1000</x:f>
        <x:v>2.0652772</x:v>
      </x:c>
      <x:c r="AF273" s="21"/>
      <x:c r="AG273" s="19" t="s">
        <x:v>96</x:v>
      </x:c>
      <x:c r="AH273" s="18">
        <x:v>1201.8900000000001</x:v>
      </x:c>
      <x:c r="AI273" t="s">
        <x:v>76</x:v>
      </x:c>
      <x:c r="AJ273" s="19">
        <x:f t="shared" si="273"/>
        <x:v>1201.8900000000001</x:v>
      </x:c>
      <x:c r="AK273" s="19">
        <x:v>20</x:v>
      </x:c>
      <x:c r="AL273" t="s">
        <x:v>77</x:v>
      </x:c>
      <x:c r="AM273" s="19" t="s">
        <x:v>78</x:v>
      </x:c>
      <x:c r="AN273" s="21" t="n">
        <x:f>2*AK273*AJ273*10000/1000000000</x:f>
        <x:v>0.48075600000000007</x:v>
      </x:c>
      <x:c r="AO273" s="21" t="n">
        <x:f>4.1*AJ273*10000/1000000</x:f>
        <x:v>49.27749</x:v>
      </x:c>
      <x:c r="AP273" s="21" t="n">
        <x:f>1.3*AJ273*10000/1000000</x:f>
        <x:v>15.624570000000002</x:v>
      </x:c>
      <x:c r="AQ273" s="21" t="n">
        <x:f>0.03*AJ273*10000/1000000</x:f>
        <x:v>0.360567</x:v>
      </x:c>
      <x:c r="AR273" s="21" t="n">
        <x:f>0.03*AJ273*10000/1000000</x:f>
        <x:v>0.360567</x:v>
      </x:c>
      <x:c r="AS273" s="21"/>
      <x:c r="AT273" s="21"/>
      <x:c r="AU273" s="21" t="n">
        <x:f>0.02*AJ273*10000/1000000</x:f>
        <x:v>0.24037800000000004</x:v>
      </x:c>
      <x:c r="AV273" s="21"/>
      <x:c r="AW273" t="s">
        <x:v>78</x:v>
      </x:c>
      <x:c r="AX273" s="19"/>
      <x:c r="AY273" s="21"/>
      <x:c r="AZ273" s="21"/>
      <x:c r="BA273" s="21"/>
      <x:c r="BB273" s="21"/>
      <x:c r="BC273" s="21"/>
      <x:c r="BD273" s="21"/>
      <x:c r="BE273" s="21"/>
      <x:c r="BF273" s="21"/>
      <x:c r="BG273" s="21"/>
      <x:c r="BH273" t="s">
        <x:v>81</x:v>
      </x:c>
      <x:c r="BI273" s="18">
        <x:v>114</x:v>
      </x:c>
      <x:c r="BJ273" s="18">
        <x:v>36</x:v>
      </x:c>
      <x:c r="BK273" s="18">
        <x:v>16.010000000000002</x:v>
      </x:c>
      <x:c r="BL273" s="18">
        <x:v>22</x:v>
      </x:c>
      <x:c r="BM273" s="18">
        <x:v>45</x:v>
      </x:c>
      <x:c r="BN273" s="18">
        <x:v>25.49</x:v>
      </x:c>
      <x:c r="BO273" s="22">
        <x:v>114.60444722222201</x:v>
      </x:c>
      <x:c r="BP273" s="22">
        <x:v>22.7570805555556</x:v>
      </x:c>
      <x:c r="BQ273" s="18">
        <x:v>120</x:v>
      </x:c>
      <x:c r="BR273" s="18">
        <x:v>32452.82</x:v>
      </x:c>
      <x:c r="BS273" s="18">
        <x:v>8.2609999999999992</x:v>
      </x:c>
      <x:c r="BT273" s="18">
        <x:v>8.2609999999999992</x:v>
      </x:c>
      <x:c r="BU273" s="18">
        <x:v>47.402999999999999</x:v>
      </x:c>
      <x:c r="BV273" s="18">
        <x:v>14.221</x:v>
      </x:c>
      <x:c r="BW273" s="18">
        <x:v>3.9660000000000002</x:v>
      </x:c>
      <x:c r="BX273" s="18">
        <x:v>3.9660000000000002</x:v>
      </x:c>
      <x:c r="BY273" s="18">
        <x:v>14783.037</x:v>
      </x:c>
      <x:c r="BZ273" s="18">
        <x:v>14783.037</x:v>
      </x:c>
      <x:c r="CA273" s="23">
        <x:f t="shared" si="253"/>
        <x:v>174.39883600000002</x:v>
      </x:c>
      <x:c r="CB273" s="23">
        <x:f t="shared" si="254"/>
        <x:v>158.62848279999997</x:v>
      </x:c>
      <x:c r="CC273" s="23">
        <x:f t="shared" si="255"/>
        <x:v>22.146498000000001</x:v>
      </x:c>
      <x:c r="CD273" s="23">
        <x:f t="shared" si="256"/>
        <x:v>9.5999649999999992</x:v>
      </x:c>
      <x:c r="CE273" s="23">
        <x:f t="shared" si="257"/>
        <x:v>7.0998925999999987</x:v>
      </x:c>
      <x:c r="CF273" s="23">
        <x:f t="shared" si="258"/>
        <x:v>0.43479519999999999</x:v>
      </x:c>
      <x:c r="CG273" s="23">
        <x:f t="shared" si="259"/>
        <x:v>0.54349400000000003</x:v>
      </x:c>
      <x:c r="CH273" s="23">
        <x:f t="shared" si="260"/>
        <x:v>2.3056552000000003</x:v>
      </x:c>
      <x:c r="CI273" s="23">
        <x:f t="shared" si="261"/>
        <x:v>0</x:v>
      </x:c>
      <x:c r="CJ273" s="24" t="s">
        <x:v>594</x:v>
      </x:c>
      <x:c r="CK273" s="25">
        <x:v>90</x:v>
      </x:c>
      <x:c r="CL273" s="26" t="s">
        <x:v>97</x:v>
      </x:c>
      <x:c r="CM273" s="28">
        <x:v>65</x:v>
      </x:c>
      <x:c r="CN273" s="27" t="s">
        <x:v>78</x:v>
      </x:c>
      <x:c r="CO273" s="27">
        <x:v>0</x:v>
      </x:c>
      <x:c r="CP273" s="27">
        <x:v>0</x:v>
      </x:c>
      <x:c r="CQ273" s="26">
        <x:f t="shared" si="262"/>
        <x:v>17.439883599999998</x:v>
      </x:c>
      <x:c r="CR273" s="26">
        <x:f t="shared" si="263"/>
        <x:v>55.519968979999987</x:v>
      </x:c>
      <x:c r="CS273" s="26">
        <x:f t="shared" si="264"/>
        <x:v>22.146498000000001</x:v>
      </x:c>
      <x:c r="CT273" s="26">
        <x:f t="shared" si="219"/>
        <x:v>9.5999649999999992</x:v>
      </x:c>
      <x:c r="CU273" s="26">
        <x:f t="shared" si="220"/>
        <x:v>7.0998925999999987</x:v>
      </x:c>
      <x:c r="CV273" s="26">
        <x:f t="shared" si="221"/>
        <x:v>0.43479519999999999</x:v>
      </x:c>
      <x:c r="CW273" s="26">
        <x:f t="shared" si="222"/>
        <x:v>0.54349400000000003</x:v>
      </x:c>
      <x:c r="CX273" s="26">
        <x:f t="shared" si="265"/>
        <x:v>2.3056552000000003</x:v>
      </x:c>
      <x:c r="CY273" s="26">
        <x:f t="shared" si="266"/>
        <x:v>0</x:v>
      </x:c>
    </x:row>
    <x:row r="274">
      <x:c r="A274" s="18">
        <x:v>2022</x:v>
      </x:c>
      <x:c r="B274" t="s">
        <x:v>590</x:v>
      </x:c>
      <x:c r="C274" t="s">
        <x:v>591</x:v>
      </x:c>
      <x:c r="D274" t="s">
        <x:v>592</x:v>
      </x:c>
      <x:c r="E274" s="18">
        <x:v>441361</x:v>
      </x:c>
      <x:c r="F274" t="s">
        <x:v>593</x:v>
      </x:c>
      <x:c r="G274" t="s">
        <x:v>589</x:v>
      </x:c>
      <x:c r="H274" s="18">
        <x:v>2614</x:v>
      </x:c>
      <x:c r="I274" t="s">
        <x:v>550</x:v>
      </x:c>
      <x:c r="J274" t="s">
        <x:v>78</x:v>
      </x:c>
      <x:c r="K274" t="s">
        <x:v>306</x:v>
      </x:c>
      <x:c r="L274" s="18">
        <x:v>6</x:v>
      </x:c>
      <x:c r="M274" t="s">
        <x:v>73</x:v>
      </x:c>
      <x:c r="N274" s="18">
        <x:v>305</x:v>
      </x:c>
      <x:c r="O274" t="s">
        <x:v>88</x:v>
      </x:c>
      <x:c r="P274" s="18">
        <x:v>22</x:v>
      </x:c>
      <x:c r="Q274" s="19" t="s">
        <x:v>368</x:v>
      </x:c>
      <x:c r="R274" s="18">
        <x:v>62429.98</x:v>
      </x:c>
      <x:c r="S274" t="s">
        <x:v>112</x:v>
      </x:c>
      <x:c r="T274" s="19">
        <x:f t="shared" si="274"/>
        <x:v>62429.98</x:v>
      </x:c>
      <x:c r="U274" s="20">
        <x:v>0.8</x:v>
      </x:c>
      <x:c r="V274" t="s">
        <x:v>113</x:v>
      </x:c>
      <x:c r="W274" s="19" t="s">
        <x:v>78</x:v>
      </x:c>
      <x:c r="X274" s="21" t="n">
        <x:f>2*U274/100*T274</x:f>
        <x:v>998.8796800000001</x:v>
      </x:c>
      <x:c r="Y274" s="21" t="n">
        <x:f>10.06*T274/1000</x:f>
        <x:v>628.0455988</x:v>
      </x:c>
      <x:c r="Z274" s="21" t="n">
        <x:f>0.6*T274/1000</x:f>
        <x:v>37.457988</x:v>
      </x:c>
      <x:c r="AA274" s="21" t="n">
        <x:f>0.85*T274/1000</x:f>
        <x:v>53.065483</x:v>
      </x:c>
      <x:c r="AB274" s="21" t="n">
        <x:f>0.62*T274/1000</x:f>
        <x:v>38.7065876</x:v>
      </x:c>
      <x:c r="AC274" s="21" t="n">
        <x:f>0.04*T274/1000</x:f>
        <x:v>2.4971992</x:v>
      </x:c>
      <x:c r="AD274" s="21" t="n">
        <x:f>0.05*T274/1000</x:f>
        <x:v>3.1214990000000005</x:v>
      </x:c>
      <x:c r="AE274" s="21" t="n">
        <x:f>0.19*T274/1000</x:f>
        <x:v>11.8616962</x:v>
      </x:c>
      <x:c r="AF274" s="21"/>
      <x:c r="AG274" s="19" t="s">
        <x:v>96</x:v>
      </x:c>
      <x:c r="AH274" s="18">
        <x:v>7070.95</x:v>
      </x:c>
      <x:c r="AI274" t="s">
        <x:v>76</x:v>
      </x:c>
      <x:c r="AJ274" s="19">
        <x:f t="shared" si="273"/>
        <x:v>7070.95</x:v>
      </x:c>
      <x:c r="AK274" s="19">
        <x:v>20</x:v>
      </x:c>
      <x:c r="AL274" t="s">
        <x:v>77</x:v>
      </x:c>
      <x:c r="AM274" s="19" t="s">
        <x:v>78</x:v>
      </x:c>
      <x:c r="AN274" s="21" t="n">
        <x:f>2*AK274*AJ274*10000/1000000000</x:f>
        <x:v>2.82838</x:v>
      </x:c>
      <x:c r="AO274" s="21" t="n">
        <x:f>4.1*AJ274*10000/1000000</x:f>
        <x:v>289.90894999999995</x:v>
      </x:c>
      <x:c r="AP274" s="21" t="n">
        <x:f>1.3*AJ274*10000/1000000</x:f>
        <x:v>91.92235</x:v>
      </x:c>
      <x:c r="AQ274" s="21" t="n">
        <x:f>0.03*AJ274*10000/1000000</x:f>
        <x:v>2.1212849999999994</x:v>
      </x:c>
      <x:c r="AR274" s="21" t="n">
        <x:f>0.03*AJ274*10000/1000000</x:f>
        <x:v>2.1212849999999994</x:v>
      </x:c>
      <x:c r="AS274" s="21"/>
      <x:c r="AT274" s="21"/>
      <x:c r="AU274" s="21" t="n">
        <x:f>0.02*AJ274*10000/1000000</x:f>
        <x:v>1.41419</x:v>
      </x:c>
      <x:c r="AV274" s="21"/>
      <x:c r="AW274" t="s">
        <x:v>78</x:v>
      </x:c>
      <x:c r="AX274" s="19"/>
      <x:c r="AY274" s="21"/>
      <x:c r="AZ274" s="21"/>
      <x:c r="BA274" s="21"/>
      <x:c r="BB274" s="21"/>
      <x:c r="BC274" s="21"/>
      <x:c r="BD274" s="21"/>
      <x:c r="BE274" s="21"/>
      <x:c r="BF274" s="21"/>
      <x:c r="BG274" s="21"/>
      <x:c r="BH274" t="s">
        <x:v>81</x:v>
      </x:c>
      <x:c r="BI274" s="18">
        <x:v>114</x:v>
      </x:c>
      <x:c r="BJ274" s="18">
        <x:v>36</x:v>
      </x:c>
      <x:c r="BK274" s="18">
        <x:v>16.010000000000002</x:v>
      </x:c>
      <x:c r="BL274" s="18">
        <x:v>22</x:v>
      </x:c>
      <x:c r="BM274" s="18">
        <x:v>45</x:v>
      </x:c>
      <x:c r="BN274" s="18">
        <x:v>25.49</x:v>
      </x:c>
      <x:c r="BO274" s="22">
        <x:v>114.60444722222201</x:v>
      </x:c>
      <x:c r="BP274" s="22">
        <x:v>22.7570805555556</x:v>
      </x:c>
      <x:c r="BQ274" s="18">
        <x:v>120</x:v>
      </x:c>
      <x:c r="BR274" s="18">
        <x:v>110173.03</x:v>
      </x:c>
      <x:c r="BS274" s="18">
        <x:v>47.447000000000003</x:v>
      </x:c>
      <x:c r="BT274" s="18">
        <x:v>47.447000000000003</x:v>
      </x:c>
      <x:c r="BU274" s="18">
        <x:v>273.69600000000003</x:v>
      </x:c>
      <x:c r="BV274" s="18">
        <x:v>273.69600000000003</x:v>
      </x:c>
      <x:c r="BW274" s="18">
        <x:v>22.954000000000001</x:v>
      </x:c>
      <x:c r="BX274" s="18">
        <x:v>22.954000000000001</x:v>
      </x:c>
      <x:c r="BY274" s="18">
        <x:v>84904.773000000001</x:v>
      </x:c>
      <x:c r="BZ274" s="18">
        <x:v>84904.773000000001</x:v>
      </x:c>
      <x:c r="CA274" s="23">
        <x:f t="shared" si="253"/>
        <x:v>1001.7080600000002</x:v>
      </x:c>
      <x:c r="CB274" s="23">
        <x:f t="shared" si="254"/>
        <x:v>917.95454879999988</x:v>
      </x:c>
      <x:c r="CC274" s="23">
        <x:f t="shared" si="255"/>
        <x:v>129.38033799999999</x:v>
      </x:c>
      <x:c r="CD274" s="23">
        <x:f t="shared" si="256"/>
        <x:v>55.186768000000001</x:v>
      </x:c>
      <x:c r="CE274" s="23">
        <x:f t="shared" si="257"/>
        <x:v>40.827872599999999</x:v>
      </x:c>
      <x:c r="CF274" s="23">
        <x:f t="shared" si="258"/>
        <x:v>2.4971991999999998</x:v>
      </x:c>
      <x:c r="CG274" s="23">
        <x:f t="shared" si="259"/>
        <x:v>3.1214990000000005</x:v>
      </x:c>
      <x:c r="CH274" s="23">
        <x:f t="shared" si="260"/>
        <x:v>13.2758862</x:v>
      </x:c>
      <x:c r="CI274" s="23">
        <x:f t="shared" si="261"/>
        <x:v>0</x:v>
      </x:c>
      <x:c r="CJ274" s="24" t="s">
        <x:v>594</x:v>
      </x:c>
      <x:c r="CK274" s="25">
        <x:v>90</x:v>
      </x:c>
      <x:c r="CL274" s="26" t="s">
        <x:v>97</x:v>
      </x:c>
      <x:c r="CM274" s="28">
        <x:v>65</x:v>
      </x:c>
      <x:c r="CN274" s="27" t="s">
        <x:v>78</x:v>
      </x:c>
      <x:c r="CO274" s="27">
        <x:v>0</x:v>
      </x:c>
      <x:c r="CP274" s="27">
        <x:v>0</x:v>
      </x:c>
      <x:c r="CQ274" s="26">
        <x:f t="shared" si="262"/>
        <x:v>100.170806</x:v>
      </x:c>
      <x:c r="CR274" s="26">
        <x:f t="shared" si="263"/>
        <x:v>321.28409207999994</x:v>
      </x:c>
      <x:c r="CS274" s="26">
        <x:f t="shared" si="264"/>
        <x:v>129.38033799999999</x:v>
      </x:c>
      <x:c r="CT274" s="26">
        <x:f t="shared" si="219"/>
        <x:v>55.186768000000001</x:v>
      </x:c>
      <x:c r="CU274" s="26">
        <x:f t="shared" si="220"/>
        <x:v>40.827872599999999</x:v>
      </x:c>
      <x:c r="CV274" s="26">
        <x:f t="shared" si="221"/>
        <x:v>2.4971991999999998</x:v>
      </x:c>
      <x:c r="CW274" s="26">
        <x:f t="shared" si="222"/>
        <x:v>3.1214990000000005</x:v>
      </x:c>
      <x:c r="CX274" s="26">
        <x:f t="shared" si="265"/>
        <x:v>13.2758862</x:v>
      </x:c>
      <x:c r="CY274" s="26">
        <x:f t="shared" si="266"/>
        <x:v>0</x:v>
      </x:c>
    </x:row>
    <x:row r="275">
      <x:c r="A275" s="18">
        <x:v>2022</x:v>
      </x:c>
      <x:c r="B275" t="s">
        <x:v>590</x:v>
      </x:c>
      <x:c r="C275" t="s">
        <x:v>591</x:v>
      </x:c>
      <x:c r="D275" t="s">
        <x:v>592</x:v>
      </x:c>
      <x:c r="E275" s="18">
        <x:v>441361</x:v>
      </x:c>
      <x:c r="F275" t="s">
        <x:v>593</x:v>
      </x:c>
      <x:c r="G275" t="s">
        <x:v>589</x:v>
      </x:c>
      <x:c r="H275" s="18">
        <x:v>2614</x:v>
      </x:c>
      <x:c r="I275" t="s">
        <x:v>550</x:v>
      </x:c>
      <x:c r="J275" t="s">
        <x:v>78</x:v>
      </x:c>
      <x:c r="K275" t="s">
        <x:v>72</x:v>
      </x:c>
      <x:c r="L275" s="18">
        <x:v>4</x:v>
      </x:c>
      <x:c r="M275" t="s">
        <x:v>73</x:v>
      </x:c>
      <x:c r="N275" s="18">
        <x:v>140</x:v>
      </x:c>
      <x:c r="O275" t="s">
        <x:v>88</x:v>
      </x:c>
      <x:c r="P275" s="18">
        <x:v>15</x:v>
      </x:c>
      <x:c r="Q275" s="19" t="s">
        <x:v>96</x:v>
      </x:c>
      <x:c r="R275" s="18">
        <x:v>10733.63</x:v>
      </x:c>
      <x:c r="S275" t="s">
        <x:v>76</x:v>
      </x:c>
      <x:c r="T275" s="19" t="n">
        <x:f t="shared" ref="T275:T277" si="275">R275</x:f>
        <x:v>10733.63</x:v>
      </x:c>
      <x:c r="U275" s="19">
        <x:v>0.5</x:v>
      </x:c>
      <x:c r="V275" t="s">
        <x:v>77</x:v>
      </x:c>
      <x:c r="W275" s="19" t="s">
        <x:v>78</x:v>
      </x:c>
      <x:c r="X275" s="21" t="n">
        <x:f>2*U275*T275*10000/1000000000</x:f>
        <x:v>0.10733629999999998</x:v>
      </x:c>
      <x:c r="Y275" s="21" t="n">
        <x:f>4.1*T275*10000/1000000</x:f>
        <x:v>440.0788299999999</x:v>
      </x:c>
      <x:c r="Z275" s="21" t="n">
        <x:f>1.3*T275*10000/1000000</x:f>
        <x:v>139.53719</x:v>
      </x:c>
      <x:c r="AA275" s="21" t="n">
        <x:f>0.03*T275*10000/1000000</x:f>
        <x:v>3.220089</x:v>
      </x:c>
      <x:c r="AB275" s="21" t="n">
        <x:f>0.03*T275*10000/1000000</x:f>
        <x:v>3.220089</x:v>
      </x:c>
      <x:c r="AC275" s="21"/>
      <x:c r="AD275" s="21"/>
      <x:c r="AE275" s="21" t="n">
        <x:f>0.02*T275*10000/1000000</x:f>
        <x:v>2.146726</x:v>
      </x:c>
      <x:c r="AF275" s="21"/>
      <x:c r="AG275" s="19" t="s">
        <x:v>78</x:v>
      </x:c>
      <x:c r="AH275" t="s">
        <x:v>78</x:v>
      </x:c>
      <x:c r="AI275" t="s">
        <x:v>78</x:v>
      </x:c>
      <x:c r="AJ275" s="19"/>
      <x:c r="AK275" s="19" t="s">
        <x:v>78</x:v>
      </x:c>
      <x:c r="AL275" t="s">
        <x:v>78</x:v>
      </x:c>
      <x:c r="AM275" s="19" t="s">
        <x:v>78</x:v>
      </x:c>
      <x:c r="AN275" s="21"/>
      <x:c r="AO275" s="21"/>
      <x:c r="AP275" s="21"/>
      <x:c r="AQ275" s="21"/>
      <x:c r="AR275" s="21"/>
      <x:c r="AS275" s="21"/>
      <x:c r="AT275" s="21"/>
      <x:c r="AU275" s="21"/>
      <x:c r="AV275" s="21"/>
      <x:c r="AW275" t="s">
        <x:v>78</x:v>
      </x:c>
      <x:c r="AX275" s="19"/>
      <x:c r="AY275" s="21"/>
      <x:c r="AZ275" s="21"/>
      <x:c r="BA275" s="21"/>
      <x:c r="BB275" s="21"/>
      <x:c r="BC275" s="21"/>
      <x:c r="BD275" s="21"/>
      <x:c r="BE275" s="21"/>
      <x:c r="BF275" s="21"/>
      <x:c r="BG275" s="21"/>
      <x:c r="BH275" t="s">
        <x:v>79</x:v>
      </x:c>
      <x:c r="BI275" s="18">
        <x:v>114</x:v>
      </x:c>
      <x:c r="BJ275" s="18">
        <x:v>36</x:v>
      </x:c>
      <x:c r="BK275" s="18">
        <x:v>16.61</x:v>
      </x:c>
      <x:c r="BL275" s="18">
        <x:v>22</x:v>
      </x:c>
      <x:c r="BM275" s="18">
        <x:v>45</x:v>
      </x:c>
      <x:c r="BN275" s="18">
        <x:v>25.89</x:v>
      </x:c>
      <x:c r="BO275" s="22">
        <x:v>114.60461388888901</x:v>
      </x:c>
      <x:c r="BP275" s="22">
        <x:v>22.757191666666699</x:v>
      </x:c>
      <x:c r="BQ275" s="18">
        <x:v>80</x:v>
      </x:c>
      <x:c r="BR275" s="18">
        <x:v>217418.23</x:v>
      </x:c>
      <x:c r="BS275" t="s">
        <x:v>78</x:v>
      </x:c>
      <x:c r="BT275" t="s">
        <x:v>78</x:v>
      </x:c>
      <x:c r="BU275" s="18">
        <x:v>136.31700000000001</x:v>
      </x:c>
      <x:c r="BV275" s="18">
        <x:v>134.36799999999999</x:v>
      </x:c>
      <x:c r="BW275" t="s">
        <x:v>78</x:v>
      </x:c>
      <x:c r="BX275" t="s">
        <x:v>78</x:v>
      </x:c>
      <x:c r="BY275" s="18">
        <x:v>18032.498</x:v>
      </x:c>
      <x:c r="BZ275" s="18">
        <x:v>18032.498</x:v>
      </x:c>
      <x:c r="CA275" s="23">
        <x:f t="shared" si="253"/>
        <x:v>0.10733629999999998</x:v>
      </x:c>
      <x:c r="CB275" s="23">
        <x:f t="shared" si="254"/>
        <x:v>440.07882999999993</x:v>
      </x:c>
      <x:c r="CC275" s="23">
        <x:f t="shared" si="255"/>
        <x:v>139.53719000000001</x:v>
      </x:c>
      <x:c r="CD275" s="23">
        <x:f t="shared" si="256"/>
        <x:v>3.2200890000000002</x:v>
      </x:c>
      <x:c r="CE275" s="23">
        <x:f t="shared" si="257"/>
        <x:v>3.2200890000000002</x:v>
      </x:c>
      <x:c r="CF275" s="23">
        <x:f t="shared" si="258"/>
        <x:v>0</x:v>
      </x:c>
      <x:c r="CG275" s="23">
        <x:f t="shared" si="259"/>
        <x:v>0</x:v>
      </x:c>
      <x:c r="CH275" s="23">
        <x:f t="shared" si="260"/>
        <x:v>2.1467260000000001</x:v>
      </x:c>
      <x:c r="CI275" s="23">
        <x:f t="shared" si="261"/>
        <x:v>0</x:v>
      </x:c>
      <x:c r="CJ275" s="24" t="s">
        <x:v>78</x:v>
      </x:c>
      <x:c r="CK275" s="25">
        <x:v>0</x:v>
      </x:c>
      <x:c r="CL275" s="26" t="s">
        <x:v>97</x:v>
      </x:c>
      <x:c r="CM275" s="28">
        <x:v>65</x:v>
      </x:c>
      <x:c r="CN275" s="27" t="s">
        <x:v>78</x:v>
      </x:c>
      <x:c r="CO275" s="27">
        <x:v>0</x:v>
      </x:c>
      <x:c r="CP275" s="27">
        <x:v>0</x:v>
      </x:c>
      <x:c r="CQ275" s="26">
        <x:f t="shared" si="262"/>
        <x:v>0.10733629999999998</x:v>
      </x:c>
      <x:c r="CR275" s="26">
        <x:f t="shared" si="263"/>
        <x:v>154.02759049999997</x:v>
      </x:c>
      <x:c r="CS275" s="26">
        <x:f t="shared" si="264"/>
        <x:v>139.53719000000001</x:v>
      </x:c>
      <x:c r="CT275" s="26">
        <x:f t="shared" si="219"/>
        <x:v>3.2200890000000002</x:v>
      </x:c>
      <x:c r="CU275" s="26">
        <x:f t="shared" si="220"/>
        <x:v>3.2200890000000002</x:v>
      </x:c>
      <x:c r="CV275" s="26">
        <x:f t="shared" si="221"/>
        <x:v>0</x:v>
      </x:c>
      <x:c r="CW275" s="26">
        <x:f t="shared" si="222"/>
        <x:v>0</x:v>
      </x:c>
      <x:c r="CX275" s="26">
        <x:f t="shared" si="265"/>
        <x:v>2.1467260000000001</x:v>
      </x:c>
      <x:c r="CY275" s="26">
        <x:f t="shared" si="266"/>
        <x:v>0</x:v>
      </x:c>
    </x:row>
    <x:row r="276">
      <x:c r="A276" s="18">
        <x:v>2022</x:v>
      </x:c>
      <x:c r="B276" t="s">
        <x:v>590</x:v>
      </x:c>
      <x:c r="C276" t="s">
        <x:v>591</x:v>
      </x:c>
      <x:c r="D276" t="s">
        <x:v>592</x:v>
      </x:c>
      <x:c r="E276" s="18">
        <x:v>441361</x:v>
      </x:c>
      <x:c r="F276" t="s">
        <x:v>593</x:v>
      </x:c>
      <x:c r="G276" t="s">
        <x:v>589</x:v>
      </x:c>
      <x:c r="H276" s="18">
        <x:v>2614</x:v>
      </x:c>
      <x:c r="I276" t="s">
        <x:v>550</x:v>
      </x:c>
      <x:c r="J276" t="s">
        <x:v>78</x:v>
      </x:c>
      <x:c r="K276" t="s">
        <x:v>72</x:v>
      </x:c>
      <x:c r="L276" s="18">
        <x:v>13.5</x:v>
      </x:c>
      <x:c r="M276" t="s">
        <x:v>73</x:v>
      </x:c>
      <x:c r="N276" s="18">
        <x:v>220</x:v>
      </x:c>
      <x:c r="O276" t="s">
        <x:v>88</x:v>
      </x:c>
      <x:c r="P276" s="18">
        <x:v>15</x:v>
      </x:c>
      <x:c r="Q276" s="19" t="s">
        <x:v>96</x:v>
      </x:c>
      <x:c r="R276" s="18">
        <x:v>24587.11</x:v>
      </x:c>
      <x:c r="S276" t="s">
        <x:v>76</x:v>
      </x:c>
      <x:c r="T276" s="19">
        <x:f t="shared" si="275"/>
        <x:v>24587.11</x:v>
      </x:c>
      <x:c r="U276" s="19">
        <x:v>0.5</x:v>
      </x:c>
      <x:c r="V276" t="s">
        <x:v>77</x:v>
      </x:c>
      <x:c r="W276" s="19" t="s">
        <x:v>78</x:v>
      </x:c>
      <x:c r="X276" s="21" t="n">
        <x:f>2*U276*T276*10000/1000000000</x:f>
        <x:v>0.2458711</x:v>
      </x:c>
      <x:c r="Y276" s="21" t="n">
        <x:f>4.1*T276*10000/1000000</x:f>
        <x:v>1008.07151</x:v>
      </x:c>
      <x:c r="Z276" s="21" t="n">
        <x:f>1.3*T276*10000/1000000</x:f>
        <x:v>319.63243</x:v>
      </x:c>
      <x:c r="AA276" s="21" t="n">
        <x:f>0.03*T276*10000/1000000</x:f>
        <x:v>7.376133</x:v>
      </x:c>
      <x:c r="AB276" s="21" t="n">
        <x:f>0.03*T276*10000/1000000</x:f>
        <x:v>7.376133</x:v>
      </x:c>
      <x:c r="AC276" s="21"/>
      <x:c r="AD276" s="21"/>
      <x:c r="AE276" s="21" t="n">
        <x:f>0.02*T276*10000/1000000</x:f>
        <x:v>4.917422</x:v>
      </x:c>
      <x:c r="AF276" s="21"/>
      <x:c r="AG276" s="19" t="s">
        <x:v>78</x:v>
      </x:c>
      <x:c r="AH276" t="s">
        <x:v>78</x:v>
      </x:c>
      <x:c r="AI276" t="s">
        <x:v>78</x:v>
      </x:c>
      <x:c r="AJ276" s="19"/>
      <x:c r="AK276" s="19" t="s">
        <x:v>78</x:v>
      </x:c>
      <x:c r="AL276" t="s">
        <x:v>78</x:v>
      </x:c>
      <x:c r="AM276" s="19" t="s">
        <x:v>78</x:v>
      </x:c>
      <x:c r="AN276" s="21"/>
      <x:c r="AO276" s="21"/>
      <x:c r="AP276" s="21"/>
      <x:c r="AQ276" s="21"/>
      <x:c r="AR276" s="21"/>
      <x:c r="AS276" s="21"/>
      <x:c r="AT276" s="21"/>
      <x:c r="AU276" s="21"/>
      <x:c r="AV276" s="21"/>
      <x:c r="AW276" t="s">
        <x:v>78</x:v>
      </x:c>
      <x:c r="AX276" s="19"/>
      <x:c r="AY276" s="21"/>
      <x:c r="AZ276" s="21"/>
      <x:c r="BA276" s="21"/>
      <x:c r="BB276" s="21"/>
      <x:c r="BC276" s="21"/>
      <x:c r="BD276" s="21"/>
      <x:c r="BE276" s="21"/>
      <x:c r="BF276" s="21"/>
      <x:c r="BG276" s="21"/>
      <x:c r="BH276" t="s">
        <x:v>595</x:v>
      </x:c>
      <x:c r="BI276" s="18">
        <x:v>114</x:v>
      </x:c>
      <x:c r="BJ276" s="18">
        <x:v>34</x:v>
      </x:c>
      <x:c r="BK276" s="18">
        <x:v>42.99</x:v>
      </x:c>
      <x:c r="BL276" s="18">
        <x:v>22</x:v>
      </x:c>
      <x:c r="BM276" s="18">
        <x:v>44</x:v>
      </x:c>
      <x:c r="BN276" s="18">
        <x:v>12.8</x:v>
      </x:c>
      <x:c r="BO276" s="22">
        <x:v>114.57860833333299</x:v>
      </x:c>
      <x:c r="BP276" s="22">
        <x:v>22.736888888888899</x:v>
      </x:c>
      <x:c r="BQ276" s="18">
        <x:v>80</x:v>
      </x:c>
      <x:c r="BR276" s="18">
        <x:v>696577.18</x:v>
      </x:c>
      <x:c r="BS276" t="s">
        <x:v>78</x:v>
      </x:c>
      <x:c r="BT276" t="s">
        <x:v>78</x:v>
      </x:c>
      <x:c r="BU276" s="18">
        <x:v>312.25599999999997</x:v>
      </x:c>
      <x:c r="BV276" s="18">
        <x:v>109.29</x:v>
      </x:c>
      <x:c r="BW276" t="s">
        <x:v>78</x:v>
      </x:c>
      <x:c r="BX276" t="s">
        <x:v>78</x:v>
      </x:c>
      <x:c r="BY276" s="18">
        <x:v>41306.345000000001</x:v>
      </x:c>
      <x:c r="BZ276" s="18">
        <x:v>41306.345000000001</x:v>
      </x:c>
      <x:c r="CA276" s="23">
        <x:f t="shared" si="253"/>
        <x:v>0.24587110000000001</x:v>
      </x:c>
      <x:c r="CB276" s="23">
        <x:f t="shared" si="254"/>
        <x:v>1008.07151</x:v>
      </x:c>
      <x:c r="CC276" s="23">
        <x:f t="shared" si="255"/>
        <x:v>319.63243</x:v>
      </x:c>
      <x:c r="CD276" s="23">
        <x:f t="shared" si="256"/>
        <x:v>7.3761330000000003</x:v>
      </x:c>
      <x:c r="CE276" s="23">
        <x:f t="shared" si="257"/>
        <x:v>7.3761330000000003</x:v>
      </x:c>
      <x:c r="CF276" s="23">
        <x:f t="shared" si="258"/>
        <x:v>0</x:v>
      </x:c>
      <x:c r="CG276" s="23">
        <x:f t="shared" si="259"/>
        <x:v>0</x:v>
      </x:c>
      <x:c r="CH276" s="23">
        <x:f t="shared" si="260"/>
        <x:v>4.9174220000000002</x:v>
      </x:c>
      <x:c r="CI276" s="23">
        <x:f t="shared" si="261"/>
        <x:v>0</x:v>
      </x:c>
      <x:c r="CJ276" s="24" t="s">
        <x:v>78</x:v>
      </x:c>
      <x:c r="CK276" s="25">
        <x:v>0</x:v>
      </x:c>
      <x:c r="CL276" s="26" t="s">
        <x:v>97</x:v>
      </x:c>
      <x:c r="CM276" s="28">
        <x:v>65</x:v>
      </x:c>
      <x:c r="CN276" s="27" t="s">
        <x:v>78</x:v>
      </x:c>
      <x:c r="CO276" s="27">
        <x:v>0</x:v>
      </x:c>
      <x:c r="CP276" s="27">
        <x:v>0</x:v>
      </x:c>
      <x:c r="CQ276" s="26">
        <x:f t="shared" si="262"/>
        <x:v>0.24587110000000001</x:v>
      </x:c>
      <x:c r="CR276" s="26">
        <x:f t="shared" si="263"/>
        <x:v>352.82502849999997</x:v>
      </x:c>
      <x:c r="CS276" s="26">
        <x:f t="shared" si="264"/>
        <x:v>319.63243</x:v>
      </x:c>
      <x:c r="CT276" s="26">
        <x:f t="shared" si="219"/>
        <x:v>7.3761330000000003</x:v>
      </x:c>
      <x:c r="CU276" s="26">
        <x:f t="shared" si="220"/>
        <x:v>7.3761330000000003</x:v>
      </x:c>
      <x:c r="CV276" s="26">
        <x:f t="shared" si="221"/>
        <x:v>0</x:v>
      </x:c>
      <x:c r="CW276" s="26">
        <x:f t="shared" si="222"/>
        <x:v>0</x:v>
      </x:c>
      <x:c r="CX276" s="26">
        <x:f t="shared" si="265"/>
        <x:v>4.9174220000000002</x:v>
      </x:c>
      <x:c r="CY276" s="26">
        <x:f t="shared" si="266"/>
        <x:v>0</x:v>
      </x:c>
    </x:row>
    <x:row r="277">
      <x:c r="A277" s="18">
        <x:v>2022</x:v>
      </x:c>
      <x:c r="B277" t="s">
        <x:v>590</x:v>
      </x:c>
      <x:c r="C277" t="s">
        <x:v>591</x:v>
      </x:c>
      <x:c r="D277" t="s">
        <x:v>592</x:v>
      </x:c>
      <x:c r="E277" s="18">
        <x:v>441361</x:v>
      </x:c>
      <x:c r="F277" t="s">
        <x:v>593</x:v>
      </x:c>
      <x:c r="G277" t="s">
        <x:v>589</x:v>
      </x:c>
      <x:c r="H277" s="18">
        <x:v>2614</x:v>
      </x:c>
      <x:c r="I277" t="s">
        <x:v>550</x:v>
      </x:c>
      <x:c r="J277" t="s">
        <x:v>78</x:v>
      </x:c>
      <x:c r="K277" t="s">
        <x:v>306</x:v>
      </x:c>
      <x:c r="L277" s="18">
        <x:v>4.2</x:v>
      </x:c>
      <x:c r="M277" t="s">
        <x:v>73</x:v>
      </x:c>
      <x:c r="N277" s="18">
        <x:v>660</x:v>
      </x:c>
      <x:c r="O277" t="s">
        <x:v>88</x:v>
      </x:c>
      <x:c r="P277" s="18">
        <x:v>22</x:v>
      </x:c>
      <x:c r="Q277" s="19" t="s">
        <x:v>368</x:v>
      </x:c>
      <x:c r="R277" s="18">
        <x:v>108071.35</x:v>
      </x:c>
      <x:c r="S277" t="s">
        <x:v>112</x:v>
      </x:c>
      <x:c r="T277" s="19">
        <x:f t="shared" si="275"/>
        <x:v>108071.35</x:v>
      </x:c>
      <x:c r="U277" s="20">
        <x:v>0.8</x:v>
      </x:c>
      <x:c r="V277" t="s">
        <x:v>113</x:v>
      </x:c>
      <x:c r="W277" s="19" t="s">
        <x:v>78</x:v>
      </x:c>
      <x:c r="X277" s="21" t="n">
        <x:f>2*U277/100*T277</x:f>
        <x:v>1729.1416000000002</x:v>
      </x:c>
      <x:c r="Y277" s="21" t="n">
        <x:f>10.06*T277/1000</x:f>
        <x:v>1087.1977810000003</x:v>
      </x:c>
      <x:c r="Z277" s="21" t="n">
        <x:f>0.6*T277/1000</x:f>
        <x:v>64.84281</x:v>
      </x:c>
      <x:c r="AA277" s="21" t="n">
        <x:f>0.85*T277/1000</x:f>
        <x:v>91.86064750000001</x:v>
      </x:c>
      <x:c r="AB277" s="21" t="n">
        <x:f>0.62*T277/1000</x:f>
        <x:v>67.004237</x:v>
      </x:c>
      <x:c r="AC277" s="21" t="n">
        <x:f>0.04*T277/1000</x:f>
        <x:v>4.322854</x:v>
      </x:c>
      <x:c r="AD277" s="21" t="n">
        <x:f>0.05*T277/1000</x:f>
        <x:v>5.403567500000001</x:v>
      </x:c>
      <x:c r="AE277" s="21" t="n">
        <x:f>0.19*T277/1000</x:f>
        <x:v>20.533556500000003</x:v>
      </x:c>
      <x:c r="AF277" s="21"/>
      <x:c r="AG277" s="19" t="s">
        <x:v>96</x:v>
      </x:c>
      <x:c r="AH277" s="18">
        <x:v>24248.87</x:v>
      </x:c>
      <x:c r="AI277" t="s">
        <x:v>76</x:v>
      </x:c>
      <x:c r="AJ277" s="19" t="n">
        <x:f>AH277</x:f>
        <x:v>24248.87</x:v>
      </x:c>
      <x:c r="AK277" s="19">
        <x:v>20</x:v>
      </x:c>
      <x:c r="AL277" t="s">
        <x:v>77</x:v>
      </x:c>
      <x:c r="AM277" s="19" t="s">
        <x:v>78</x:v>
      </x:c>
      <x:c r="AN277" s="21" t="n">
        <x:f>2*AK277*AJ277*10000/1000000000</x:f>
        <x:v>9.699548</x:v>
      </x:c>
      <x:c r="AO277" s="21" t="n">
        <x:f>4.1*AJ277*10000/1000000</x:f>
        <x:v>994.2036699999999</x:v>
      </x:c>
      <x:c r="AP277" s="21" t="n">
        <x:f>1.3*AJ277*10000/1000000</x:f>
        <x:v>315.23531</x:v>
      </x:c>
      <x:c r="AQ277" s="21" t="n">
        <x:f>0.03*AJ277*10000/1000000</x:f>
        <x:v>7.274661</x:v>
      </x:c>
      <x:c r="AR277" s="21" t="n">
        <x:f>0.03*AJ277*10000/1000000</x:f>
        <x:v>7.274661</x:v>
      </x:c>
      <x:c r="AS277" s="21"/>
      <x:c r="AT277" s="21"/>
      <x:c r="AU277" s="21" t="n">
        <x:f>0.02*AJ277*10000/1000000</x:f>
        <x:v>4.849774</x:v>
      </x:c>
      <x:c r="AV277" s="21"/>
      <x:c r="AW277" t="s">
        <x:v>78</x:v>
      </x:c>
      <x:c r="AX277" s="19"/>
      <x:c r="AY277" s="21"/>
      <x:c r="AZ277" s="21"/>
      <x:c r="BA277" s="21"/>
      <x:c r="BB277" s="21"/>
      <x:c r="BC277" s="21"/>
      <x:c r="BD277" s="21"/>
      <x:c r="BE277" s="21"/>
      <x:c r="BF277" s="21"/>
      <x:c r="BG277" s="21"/>
      <x:c r="BH277" t="s">
        <x:v>596</x:v>
      </x:c>
      <x:c r="BI277" s="18">
        <x:v>114</x:v>
      </x:c>
      <x:c r="BJ277" s="18">
        <x:v>34</x:v>
      </x:c>
      <x:c r="BK277" s="18">
        <x:v>44.76</x:v>
      </x:c>
      <x:c r="BL277" s="18">
        <x:v>22</x:v>
      </x:c>
      <x:c r="BM277" s="18">
        <x:v>44</x:v>
      </x:c>
      <x:c r="BN277" s="18">
        <x:v>12.41</x:v>
      </x:c>
      <x:c r="BO277" s="22">
        <x:v>114.5791</x:v>
      </x:c>
      <x:c r="BP277" s="22">
        <x:v>22.736780555555601</x:v>
      </x:c>
      <x:c r="BQ277" s="18">
        <x:v>120</x:v>
      </x:c>
      <x:c r="BR277" s="18">
        <x:v>453127.2</x:v>
      </x:c>
      <x:c r="BS277" s="18">
        <x:v>82.135000000000005</x:v>
      </x:c>
      <x:c r="BT277" s="18">
        <x:v>82.135000000000005</x:v>
      </x:c>
      <x:c r="BU277" s="18">
        <x:v>577.06399999999996</x:v>
      </x:c>
      <x:c r="BV277" s="18">
        <x:v>173.119</x:v>
      </x:c>
      <x:c r="BW277" s="18">
        <x:v>52.212000000000003</x:v>
      </x:c>
      <x:c r="BX277" s="18">
        <x:v>52.212000000000003</x:v>
      </x:c>
      <x:c r="BY277" s="18">
        <x:v>146977.03599999999</x:v>
      </x:c>
      <x:c r="BZ277" s="18">
        <x:v>146977.03599999999</x:v>
      </x:c>
      <x:c r="CA277" s="23">
        <x:f t="shared" si="253"/>
        <x:v>1738.8411480000002</x:v>
      </x:c>
      <x:c r="CB277" s="23">
        <x:f t="shared" si="254"/>
        <x:v>2081.4014510000002</x:v>
      </x:c>
      <x:c r="CC277" s="23">
        <x:f t="shared" si="255"/>
        <x:v>380.07812000000001</x:v>
      </x:c>
      <x:c r="CD277" s="23">
        <x:f t="shared" si="256"/>
        <x:v>99.135308500000008</x:v>
      </x:c>
      <x:c r="CE277" s="23">
        <x:f t="shared" si="257"/>
        <x:v>74.278897999999998</x:v>
      </x:c>
      <x:c r="CF277" s="23">
        <x:f t="shared" si="258"/>
        <x:v>4.3228540000000004</x:v>
      </x:c>
      <x:c r="CG277" s="23">
        <x:f t="shared" si="259"/>
        <x:v>5.4035675000000012</x:v>
      </x:c>
      <x:c r="CH277" s="23">
        <x:f t="shared" si="260"/>
        <x:v>25.383330500000003</x:v>
      </x:c>
      <x:c r="CI277" s="23">
        <x:f t="shared" si="261"/>
        <x:v>0</x:v>
      </x:c>
      <x:c r="CJ277" s="24" t="s">
        <x:v>594</x:v>
      </x:c>
      <x:c r="CK277" s="25">
        <x:v>90</x:v>
      </x:c>
      <x:c r="CL277" s="26" t="s">
        <x:v>97</x:v>
      </x:c>
      <x:c r="CM277" s="28">
        <x:v>65</x:v>
      </x:c>
      <x:c r="CN277" s="27" t="s">
        <x:v>78</x:v>
      </x:c>
      <x:c r="CO277" s="27">
        <x:v>98.8</x:v>
      </x:c>
      <x:c r="CP277" s="27">
        <x:v>97</x:v>
      </x:c>
      <x:c r="CQ277" s="26">
        <x:f t="shared" si="262"/>
        <x:v>173.88411479999999</x:v>
      </x:c>
      <x:c r="CR277" s="26">
        <x:f t="shared" si="263"/>
        <x:v>728.49050784999997</x:v>
      </x:c>
      <x:c r="CS277" s="26">
        <x:f t="shared" si="264"/>
        <x:v>380.07812000000001</x:v>
      </x:c>
      <x:c r="CT277" s="26">
        <x:f t="shared" si="219"/>
        <x:v>1.1896237020000011</x:v>
      </x:c>
      <x:c r="CU277" s="26">
        <x:f t="shared" si="220"/>
        <x:v>2.2283669400000021</x:v>
      </x:c>
      <x:c r="CV277" s="26">
        <x:f t="shared" si="221"/>
        <x:v>0.12968562000000014</x:v>
      </x:c>
      <x:c r="CW277" s="26">
        <x:f t="shared" si="222"/>
        <x:v>0.16210702500000018</x:v>
      </x:c>
      <x:c r="CX277" s="26">
        <x:f t="shared" si="265"/>
        <x:v>25.383330500000003</x:v>
      </x:c>
      <x:c r="CY277" s="26">
        <x:f t="shared" si="266"/>
        <x:v>0</x:v>
      </x:c>
    </x:row>
    <x:row r="278">
      <x:c r="A278" s="18">
        <x:v>2022</x:v>
      </x:c>
      <x:c r="B278" t="s">
        <x:v>597</x:v>
      </x:c>
      <x:c r="C278" t="s">
        <x:v>598</x:v>
      </x:c>
      <x:c r="D278" t="s">
        <x:v>599</x:v>
      </x:c>
      <x:c r="E278" s="18">
        <x:v>441361</x:v>
      </x:c>
      <x:c r="F278" t="s">
        <x:v>593</x:v>
      </x:c>
      <x:c r="G278" t="s">
        <x:v>589</x:v>
      </x:c>
      <x:c r="H278" s="18">
        <x:v>4412</x:v>
      </x:c>
      <x:c r="I278" t="s">
        <x:v>108</x:v>
      </x:c>
      <x:c r="J278" t="s">
        <x:v>78</x:v>
      </x:c>
      <x:c r="K278" t="s">
        <x:v>80</x:v>
      </x:c>
      <x:c r="L278" s="18">
        <x:v>39</x:v>
      </x:c>
      <x:c r="M278" t="s">
        <x:v>78</x:v>
      </x:c>
      <x:c r="N278" s="18">
        <x:v>350</x:v>
      </x:c>
      <x:c r="O278" t="s">
        <x:v>88</x:v>
      </x:c>
      <x:c r="P278" s="18">
        <x:v>15</x:v>
      </x:c>
      <x:c r="Q278" s="19" t="s">
        <x:v>96</x:v>
      </x:c>
      <x:c r="R278" s="18">
        <x:v>20155.618999999999</x:v>
      </x:c>
      <x:c r="S278" t="s">
        <x:v>76</x:v>
      </x:c>
      <x:c r="T278" s="19" t="n">
        <x:f t="shared" ref="T278:T284" si="276">R278</x:f>
        <x:v>20155.619</x:v>
      </x:c>
      <x:c r="U278" s="19">
        <x:v>0.5</x:v>
      </x:c>
      <x:c r="V278" t="s">
        <x:v>77</x:v>
      </x:c>
      <x:c r="W278" s="19" t="s">
        <x:v>78</x:v>
      </x:c>
      <x:c r="X278" s="21" t="n">
        <x:f t="shared" ref="X278:X284" si="277">2*U278*T278*10000/1000000000</x:f>
        <x:v>0.20155619</x:v>
      </x:c>
      <x:c r="Y278" s="21" t="n">
        <x:f t="shared" ref="Y278:Y284" si="278">4.1*T278*10000/1000000</x:f>
        <x:v>826.3803789999997</x:v>
      </x:c>
      <x:c r="Z278" s="21" t="n">
        <x:f t="shared" ref="Z278:Z284" si="279">1.3*T278*10000/1000000</x:f>
        <x:v>262.023047</x:v>
      </x:c>
      <x:c r="AA278" s="21" t="n">
        <x:f t="shared" ref="AA278:AA284" si="280">0.03*T278*10000/1000000</x:f>
        <x:v>6.046685699999999</x:v>
      </x:c>
      <x:c r="AB278" s="21" t="n">
        <x:f t="shared" ref="AB278:AB284" si="281">0.03*T278*10000/1000000</x:f>
        <x:v>6.046685699999999</x:v>
      </x:c>
      <x:c r="AC278" s="21"/>
      <x:c r="AD278" s="21"/>
      <x:c r="AE278" s="21" t="n">
        <x:f t="shared" ref="AE278:AE284" si="282">0.02*T278*10000/1000000</x:f>
        <x:v>4.0311238</x:v>
      </x:c>
      <x:c r="AF278" s="21"/>
      <x:c r="AG278" s="19" t="s">
        <x:v>78</x:v>
      </x:c>
      <x:c r="AH278" t="s">
        <x:v>78</x:v>
      </x:c>
      <x:c r="AI278" t="s">
        <x:v>78</x:v>
      </x:c>
      <x:c r="AJ278" s="19"/>
      <x:c r="AK278" s="19" t="s">
        <x:v>78</x:v>
      </x:c>
      <x:c r="AL278" t="s">
        <x:v>78</x:v>
      </x:c>
      <x:c r="AM278" s="19" t="s">
        <x:v>78</x:v>
      </x:c>
      <x:c r="AN278" s="21"/>
      <x:c r="AO278" s="21"/>
      <x:c r="AP278" s="21"/>
      <x:c r="AQ278" s="21"/>
      <x:c r="AR278" s="21"/>
      <x:c r="AS278" s="21"/>
      <x:c r="AT278" s="21"/>
      <x:c r="AU278" s="21"/>
      <x:c r="AV278" s="21"/>
      <x:c r="AW278" t="s">
        <x:v>78</x:v>
      </x:c>
      <x:c r="AX278" s="19"/>
      <x:c r="AY278" s="21"/>
      <x:c r="AZ278" s="21"/>
      <x:c r="BA278" s="21"/>
      <x:c r="BB278" s="21"/>
      <x:c r="BC278" s="21"/>
      <x:c r="BD278" s="21"/>
      <x:c r="BE278" s="21"/>
      <x:c r="BF278" s="21"/>
      <x:c r="BG278" s="21"/>
      <x:c r="BH278" t="s">
        <x:v>91</x:v>
      </x:c>
      <x:c r="BI278" s="18">
        <x:v>114</x:v>
      </x:c>
      <x:c r="BJ278" s="18">
        <x:v>36</x:v>
      </x:c>
      <x:c r="BK278" s="18">
        <x:v>54</x:v>
      </x:c>
      <x:c r="BL278" s="18">
        <x:v>22</x:v>
      </x:c>
      <x:c r="BM278" s="18">
        <x:v>45</x:v>
      </x:c>
      <x:c r="BN278" s="18">
        <x:v>33</x:v>
      </x:c>
      <x:c r="BO278" s="22">
        <x:v>114.61499999999999</x:v>
      </x:c>
      <x:c r="BP278" s="22">
        <x:v>22.759166666666701</x:v>
      </x:c>
      <x:c r="BQ278" s="18">
        <x:v>80</x:v>
      </x:c>
      <x:c r="BR278" s="18">
        <x:v>539309.20700000005</x:v>
      </x:c>
      <x:c r="BS278" t="s">
        <x:v>78</x:v>
      </x:c>
      <x:c r="BT278" t="s">
        <x:v>78</x:v>
      </x:c>
      <x:c r="BU278" s="18">
        <x:v>255.976</x:v>
      </x:c>
      <x:c r="BV278" s="18">
        <x:v>167.29300000000001</x:v>
      </x:c>
      <x:c r="BW278" t="s">
        <x:v>78</x:v>
      </x:c>
      <x:c r="BX278" t="s">
        <x:v>78</x:v>
      </x:c>
      <x:c r="BY278" t="s">
        <x:v>78</x:v>
      </x:c>
      <x:c r="BZ278" t="s">
        <x:v>78</x:v>
      </x:c>
      <x:c r="CA278" s="23">
        <x:f t="shared" si="253"/>
        <x:v>0.20155619</x:v>
      </x:c>
      <x:c r="CB278" s="23">
        <x:f t="shared" si="254"/>
        <x:v>826.38037899999972</x:v>
      </x:c>
      <x:c r="CC278" s="23">
        <x:f t="shared" si="255"/>
        <x:v>262.02304700000002</x:v>
      </x:c>
      <x:c r="CD278" s="23">
        <x:f t="shared" si="256"/>
        <x:v>6.0466856999999994</x:v>
      </x:c>
      <x:c r="CE278" s="23">
        <x:f t="shared" si="257"/>
        <x:v>6.0466856999999994</x:v>
      </x:c>
      <x:c r="CF278" s="23">
        <x:f t="shared" si="258"/>
        <x:v>0</x:v>
      </x:c>
      <x:c r="CG278" s="23">
        <x:f t="shared" si="259"/>
        <x:v>0</x:v>
      </x:c>
      <x:c r="CH278" s="23">
        <x:f t="shared" si="260"/>
        <x:v>4.0311237999999996</x:v>
      </x:c>
      <x:c r="CI278" s="23">
        <x:f t="shared" si="261"/>
        <x:v>0</x:v>
      </x:c>
      <x:c r="CJ278" s="24" t="s">
        <x:v>78</x:v>
      </x:c>
      <x:c r="CK278" s="25">
        <x:v>0</x:v>
      </x:c>
      <x:c r="CL278" s="26" t="s">
        <x:v>104</x:v>
      </x:c>
      <x:c r="CM278" s="28">
        <x:v>65</x:v>
      </x:c>
      <x:c r="CN278" s="27" t="s">
        <x:v>78</x:v>
      </x:c>
      <x:c r="CO278" s="27">
        <x:v>0</x:v>
      </x:c>
      <x:c r="CP278" s="27">
        <x:v>0</x:v>
      </x:c>
      <x:c r="CQ278" s="26">
        <x:f t="shared" si="262"/>
        <x:v>0.20155619</x:v>
      </x:c>
      <x:c r="CR278" s="26">
        <x:f t="shared" si="263"/>
        <x:v>289.2331326499999</x:v>
      </x:c>
      <x:c r="CS278" s="26">
        <x:f t="shared" si="264"/>
        <x:v>262.02304700000002</x:v>
      </x:c>
      <x:c r="CT278" s="26">
        <x:f t="shared" si="219"/>
        <x:v>6.0466856999999994</x:v>
      </x:c>
      <x:c r="CU278" s="26">
        <x:f t="shared" si="220"/>
        <x:v>6.0466856999999994</x:v>
      </x:c>
      <x:c r="CV278" s="26">
        <x:f t="shared" si="221"/>
        <x:v>0</x:v>
      </x:c>
      <x:c r="CW278" s="26">
        <x:f t="shared" si="222"/>
        <x:v>0</x:v>
      </x:c>
      <x:c r="CX278" s="26">
        <x:f t="shared" si="265"/>
        <x:v>4.0311237999999996</x:v>
      </x:c>
      <x:c r="CY278" s="26">
        <x:f t="shared" si="266"/>
        <x:v>0</x:v>
      </x:c>
    </x:row>
    <x:row r="279">
      <x:c r="A279" s="18">
        <x:v>2022</x:v>
      </x:c>
      <x:c r="B279" t="s">
        <x:v>597</x:v>
      </x:c>
      <x:c r="C279" t="s">
        <x:v>598</x:v>
      </x:c>
      <x:c r="D279" t="s">
        <x:v>599</x:v>
      </x:c>
      <x:c r="E279" s="18">
        <x:v>441361</x:v>
      </x:c>
      <x:c r="F279" t="s">
        <x:v>593</x:v>
      </x:c>
      <x:c r="G279" t="s">
        <x:v>589</x:v>
      </x:c>
      <x:c r="H279" s="18">
        <x:v>4412</x:v>
      </x:c>
      <x:c r="I279" t="s">
        <x:v>108</x:v>
      </x:c>
      <x:c r="J279" t="s">
        <x:v>78</x:v>
      </x:c>
      <x:c r="K279" t="s">
        <x:v>80</x:v>
      </x:c>
      <x:c r="L279" s="18">
        <x:v>39</x:v>
      </x:c>
      <x:c r="M279" t="s">
        <x:v>78</x:v>
      </x:c>
      <x:c r="N279" s="18">
        <x:v>350</x:v>
      </x:c>
      <x:c r="O279" t="s">
        <x:v>88</x:v>
      </x:c>
      <x:c r="P279" s="18">
        <x:v>15</x:v>
      </x:c>
      <x:c r="Q279" s="19" t="s">
        <x:v>96</x:v>
      </x:c>
      <x:c r="R279" s="18">
        <x:v>25090.151999999998</x:v>
      </x:c>
      <x:c r="S279" t="s">
        <x:v>76</x:v>
      </x:c>
      <x:c r="T279" s="19">
        <x:f t="shared" si="276"/>
        <x:v>25090.151999999998</x:v>
      </x:c>
      <x:c r="U279" s="19">
        <x:v>0.5</x:v>
      </x:c>
      <x:c r="V279" t="s">
        <x:v>77</x:v>
      </x:c>
      <x:c r="W279" s="19" t="s">
        <x:v>78</x:v>
      </x:c>
      <x:c r="X279" s="21">
        <x:f t="shared" si="277"/>
        <x:v>0.25090151999999999</x:v>
      </x:c>
      <x:c r="Y279" s="21">
        <x:f t="shared" si="278"/>
        <x:v>1028.6962319999998</x:v>
      </x:c>
      <x:c r="Z279" s="21">
        <x:f t="shared" si="279"/>
        <x:v>326.17197599999997</x:v>
      </x:c>
      <x:c r="AA279" s="21">
        <x:f t="shared" si="280"/>
        <x:v>7.5270455999999983</x:v>
      </x:c>
      <x:c r="AB279" s="21">
        <x:f t="shared" si="281"/>
        <x:v>7.5270455999999983</x:v>
      </x:c>
      <x:c r="AC279" s="21"/>
      <x:c r="AD279" s="21"/>
      <x:c r="AE279" s="21">
        <x:f t="shared" si="282"/>
        <x:v>5.0180303999999998</x:v>
      </x:c>
      <x:c r="AF279" s="21"/>
      <x:c r="AG279" s="19" t="s">
        <x:v>78</x:v>
      </x:c>
      <x:c r="AH279" t="s">
        <x:v>78</x:v>
      </x:c>
      <x:c r="AI279" t="s">
        <x:v>78</x:v>
      </x:c>
      <x:c r="AJ279" s="19"/>
      <x:c r="AK279" s="19" t="s">
        <x:v>78</x:v>
      </x:c>
      <x:c r="AL279" t="s">
        <x:v>78</x:v>
      </x:c>
      <x:c r="AM279" s="19" t="s">
        <x:v>78</x:v>
      </x:c>
      <x:c r="AN279" s="21"/>
      <x:c r="AO279" s="21"/>
      <x:c r="AP279" s="21"/>
      <x:c r="AQ279" s="21"/>
      <x:c r="AR279" s="21"/>
      <x:c r="AS279" s="21"/>
      <x:c r="AT279" s="21"/>
      <x:c r="AU279" s="21"/>
      <x:c r="AV279" s="21"/>
      <x:c r="AW279" t="s">
        <x:v>78</x:v>
      </x:c>
      <x:c r="AX279" s="19"/>
      <x:c r="AY279" s="21"/>
      <x:c r="AZ279" s="21"/>
      <x:c r="BA279" s="21"/>
      <x:c r="BB279" s="21"/>
      <x:c r="BC279" s="21"/>
      <x:c r="BD279" s="21"/>
      <x:c r="BE279" s="21"/>
      <x:c r="BF279" s="21"/>
      <x:c r="BG279" s="21"/>
      <x:c r="BH279" t="s">
        <x:v>92</x:v>
      </x:c>
      <x:c r="BI279" s="18">
        <x:v>114</x:v>
      </x:c>
      <x:c r="BJ279" s="18">
        <x:v>36</x:v>
      </x:c>
      <x:c r="BK279" s="18">
        <x:v>52</x:v>
      </x:c>
      <x:c r="BL279" s="18">
        <x:v>22</x:v>
      </x:c>
      <x:c r="BM279" s="18">
        <x:v>45</x:v>
      </x:c>
      <x:c r="BN279" s="18">
        <x:v>32</x:v>
      </x:c>
      <x:c r="BO279" s="22">
        <x:v>114.614444444444</x:v>
      </x:c>
      <x:c r="BP279" s="22">
        <x:v>22.758888888888901</x:v>
      </x:c>
      <x:c r="BQ279" s="18">
        <x:v>80</x:v>
      </x:c>
      <x:c r="BR279" s="18">
        <x:v>701485.91599999997</x:v>
      </x:c>
      <x:c r="BS279" t="s">
        <x:v>78</x:v>
      </x:c>
      <x:c r="BT279" t="s">
        <x:v>78</x:v>
      </x:c>
      <x:c r="BU279" s="18">
        <x:v>318.64499999999998</x:v>
      </x:c>
      <x:c r="BV279" s="18">
        <x:v>202.45099999999999</x:v>
      </x:c>
      <x:c r="BW279" t="s">
        <x:v>78</x:v>
      </x:c>
      <x:c r="BX279" t="s">
        <x:v>78</x:v>
      </x:c>
      <x:c r="BY279" t="s">
        <x:v>78</x:v>
      </x:c>
      <x:c r="BZ279" t="s">
        <x:v>78</x:v>
      </x:c>
      <x:c r="CA279" s="23">
        <x:f t="shared" si="253"/>
        <x:v>0.25090151999999999</x:v>
      </x:c>
      <x:c r="CB279" s="23">
        <x:f t="shared" si="254"/>
        <x:v>1028.6962319999998</x:v>
      </x:c>
      <x:c r="CC279" s="23">
        <x:f t="shared" si="255"/>
        <x:v>326.17197599999997</x:v>
      </x:c>
      <x:c r="CD279" s="23">
        <x:f t="shared" si="256"/>
        <x:v>7.5270455999999983</x:v>
      </x:c>
      <x:c r="CE279" s="23">
        <x:f t="shared" si="257"/>
        <x:v>7.5270455999999983</x:v>
      </x:c>
      <x:c r="CF279" s="23">
        <x:f t="shared" si="258"/>
        <x:v>0</x:v>
      </x:c>
      <x:c r="CG279" s="23">
        <x:f t="shared" si="259"/>
        <x:v>0</x:v>
      </x:c>
      <x:c r="CH279" s="23">
        <x:f t="shared" si="260"/>
        <x:v>5.0180303999999998</x:v>
      </x:c>
      <x:c r="CI279" s="23">
        <x:f t="shared" si="261"/>
        <x:v>0</x:v>
      </x:c>
      <x:c r="CJ279" s="24" t="s">
        <x:v>78</x:v>
      </x:c>
      <x:c r="CK279" s="25">
        <x:v>0</x:v>
      </x:c>
      <x:c r="CL279" s="26" t="s">
        <x:v>104</x:v>
      </x:c>
      <x:c r="CM279" s="28">
        <x:v>65</x:v>
      </x:c>
      <x:c r="CN279" s="27" t="s">
        <x:v>78</x:v>
      </x:c>
      <x:c r="CO279" s="27">
        <x:v>0</x:v>
      </x:c>
      <x:c r="CP279" s="27">
        <x:v>0</x:v>
      </x:c>
      <x:c r="CQ279" s="26">
        <x:f t="shared" si="262"/>
        <x:v>0.25090151999999999</x:v>
      </x:c>
      <x:c r="CR279" s="26">
        <x:f t="shared" si="263"/>
        <x:v>360.04368119999992</x:v>
      </x:c>
      <x:c r="CS279" s="26">
        <x:f t="shared" si="264"/>
        <x:v>326.17197599999997</x:v>
      </x:c>
      <x:c r="CT279" s="26">
        <x:f t="shared" si="219"/>
        <x:v>7.5270455999999983</x:v>
      </x:c>
      <x:c r="CU279" s="26">
        <x:f t="shared" si="220"/>
        <x:v>7.5270455999999983</x:v>
      </x:c>
      <x:c r="CV279" s="26">
        <x:f t="shared" si="221"/>
        <x:v>0</x:v>
      </x:c>
      <x:c r="CW279" s="26">
        <x:f t="shared" si="222"/>
        <x:v>0</x:v>
      </x:c>
      <x:c r="CX279" s="26">
        <x:f t="shared" si="265"/>
        <x:v>5.0180303999999998</x:v>
      </x:c>
      <x:c r="CY279" s="26">
        <x:f t="shared" si="266"/>
        <x:v>0</x:v>
      </x:c>
    </x:row>
    <x:row r="280">
      <x:c r="A280" s="18">
        <x:v>2022</x:v>
      </x:c>
      <x:c r="B280" t="s">
        <x:v>597</x:v>
      </x:c>
      <x:c r="C280" t="s">
        <x:v>598</x:v>
      </x:c>
      <x:c r="D280" t="s">
        <x:v>599</x:v>
      </x:c>
      <x:c r="E280" s="18">
        <x:v>441361</x:v>
      </x:c>
      <x:c r="F280" t="s">
        <x:v>593</x:v>
      </x:c>
      <x:c r="G280" t="s">
        <x:v>589</x:v>
      </x:c>
      <x:c r="H280" s="18">
        <x:v>4412</x:v>
      </x:c>
      <x:c r="I280" t="s">
        <x:v>108</x:v>
      </x:c>
      <x:c r="J280" t="s">
        <x:v>78</x:v>
      </x:c>
      <x:c r="K280" t="s">
        <x:v>80</x:v>
      </x:c>
      <x:c r="L280" s="18">
        <x:v>39</x:v>
      </x:c>
      <x:c r="M280" t="s">
        <x:v>78</x:v>
      </x:c>
      <x:c r="N280" s="18">
        <x:v>350</x:v>
      </x:c>
      <x:c r="O280" t="s">
        <x:v>88</x:v>
      </x:c>
      <x:c r="P280" s="18">
        <x:v>15</x:v>
      </x:c>
      <x:c r="Q280" s="19" t="s">
        <x:v>96</x:v>
      </x:c>
      <x:c r="R280" s="18">
        <x:v>24561.661</x:v>
      </x:c>
      <x:c r="S280" t="s">
        <x:v>76</x:v>
      </x:c>
      <x:c r="T280" s="19">
        <x:f t="shared" si="276"/>
        <x:v>24561.661</x:v>
      </x:c>
      <x:c r="U280" s="19">
        <x:v>0.5</x:v>
      </x:c>
      <x:c r="V280" t="s">
        <x:v>77</x:v>
      </x:c>
      <x:c r="W280" s="19" t="s">
        <x:v>78</x:v>
      </x:c>
      <x:c r="X280" s="21">
        <x:f t="shared" si="277"/>
        <x:v>0.24561661000000001</x:v>
      </x:c>
      <x:c r="Y280" s="21">
        <x:f t="shared" si="278"/>
        <x:v>1007.0281009999999</x:v>
      </x:c>
      <x:c r="Z280" s="21">
        <x:f t="shared" si="279"/>
        <x:v>319.30159300000003</x:v>
      </x:c>
      <x:c r="AA280" s="21">
        <x:f t="shared" si="280"/>
        <x:v>7.3684982999999997</x:v>
      </x:c>
      <x:c r="AB280" s="21">
        <x:f t="shared" si="281"/>
        <x:v>7.3684982999999997</x:v>
      </x:c>
      <x:c r="AC280" s="21"/>
      <x:c r="AD280" s="21"/>
      <x:c r="AE280" s="21">
        <x:f t="shared" si="282"/>
        <x:v>4.9123321999999998</x:v>
      </x:c>
      <x:c r="AF280" s="21"/>
      <x:c r="AG280" s="19" t="s">
        <x:v>78</x:v>
      </x:c>
      <x:c r="AH280" t="s">
        <x:v>78</x:v>
      </x:c>
      <x:c r="AI280" t="s">
        <x:v>78</x:v>
      </x:c>
      <x:c r="AJ280" s="19"/>
      <x:c r="AK280" s="19" t="s">
        <x:v>78</x:v>
      </x:c>
      <x:c r="AL280" t="s">
        <x:v>78</x:v>
      </x:c>
      <x:c r="AM280" s="19" t="s">
        <x:v>78</x:v>
      </x:c>
      <x:c r="AN280" s="21"/>
      <x:c r="AO280" s="21"/>
      <x:c r="AP280" s="21"/>
      <x:c r="AQ280" s="21"/>
      <x:c r="AR280" s="21"/>
      <x:c r="AS280" s="21"/>
      <x:c r="AT280" s="21"/>
      <x:c r="AU280" s="21"/>
      <x:c r="AV280" s="21"/>
      <x:c r="AW280" t="s">
        <x:v>78</x:v>
      </x:c>
      <x:c r="AX280" s="19"/>
      <x:c r="AY280" s="21"/>
      <x:c r="AZ280" s="21"/>
      <x:c r="BA280" s="21"/>
      <x:c r="BB280" s="21"/>
      <x:c r="BC280" s="21"/>
      <x:c r="BD280" s="21"/>
      <x:c r="BE280" s="21"/>
      <x:c r="BF280" s="21"/>
      <x:c r="BG280" s="21"/>
      <x:c r="BH280" t="s">
        <x:v>600</x:v>
      </x:c>
      <x:c r="BI280" s="18">
        <x:v>114</x:v>
      </x:c>
      <x:c r="BJ280" s="18">
        <x:v>36</x:v>
      </x:c>
      <x:c r="BK280" s="18">
        <x:v>51</x:v>
      </x:c>
      <x:c r="BL280" s="18">
        <x:v>22</x:v>
      </x:c>
      <x:c r="BM280" s="18">
        <x:v>45</x:v>
      </x:c>
      <x:c r="BN280" s="18">
        <x:v>32</x:v>
      </x:c>
      <x:c r="BO280" s="22">
        <x:v>114.614166666667</x:v>
      </x:c>
      <x:c r="BP280" s="22">
        <x:v>22.758888888888901</x:v>
      </x:c>
      <x:c r="BQ280" s="18">
        <x:v>80</x:v>
      </x:c>
      <x:c r="BR280" s="18">
        <x:v>674842.08299999998</x:v>
      </x:c>
      <x:c r="BS280" t="s">
        <x:v>78</x:v>
      </x:c>
      <x:c r="BT280" t="s">
        <x:v>78</x:v>
      </x:c>
      <x:c r="BU280" s="18">
        <x:v>311.93299999999999</x:v>
      </x:c>
      <x:c r="BV280" s="18">
        <x:v>200.62</x:v>
      </x:c>
      <x:c r="BW280" t="s">
        <x:v>78</x:v>
      </x:c>
      <x:c r="BX280" t="s">
        <x:v>78</x:v>
      </x:c>
      <x:c r="BY280" t="s">
        <x:v>78</x:v>
      </x:c>
      <x:c r="BZ280" t="s">
        <x:v>78</x:v>
      </x:c>
      <x:c r="CA280" s="23">
        <x:f t="shared" si="253"/>
        <x:v>0.24561661000000001</x:v>
      </x:c>
      <x:c r="CB280" s="23">
        <x:f t="shared" si="254"/>
        <x:v>1007.0281009999999</x:v>
      </x:c>
      <x:c r="CC280" s="23">
        <x:f t="shared" si="255"/>
        <x:v>319.30159300000003</x:v>
      </x:c>
      <x:c r="CD280" s="23">
        <x:f t="shared" si="256"/>
        <x:v>7.3684982999999997</x:v>
      </x:c>
      <x:c r="CE280" s="23">
        <x:f t="shared" si="257"/>
        <x:v>7.3684982999999997</x:v>
      </x:c>
      <x:c r="CF280" s="23">
        <x:f t="shared" si="258"/>
        <x:v>0</x:v>
      </x:c>
      <x:c r="CG280" s="23">
        <x:f t="shared" si="259"/>
        <x:v>0</x:v>
      </x:c>
      <x:c r="CH280" s="23">
        <x:f t="shared" si="260"/>
        <x:v>4.9123321999999998</x:v>
      </x:c>
      <x:c r="CI280" s="23">
        <x:f t="shared" si="261"/>
        <x:v>0</x:v>
      </x:c>
      <x:c r="CJ280" s="24" t="s">
        <x:v>78</x:v>
      </x:c>
      <x:c r="CK280" s="25">
        <x:v>0</x:v>
      </x:c>
      <x:c r="CL280" s="26" t="s">
        <x:v>104</x:v>
      </x:c>
      <x:c r="CM280" s="28">
        <x:v>65</x:v>
      </x:c>
      <x:c r="CN280" s="27" t="s">
        <x:v>78</x:v>
      </x:c>
      <x:c r="CO280" s="27">
        <x:v>0</x:v>
      </x:c>
      <x:c r="CP280" s="27">
        <x:v>0</x:v>
      </x:c>
      <x:c r="CQ280" s="26">
        <x:f t="shared" si="262"/>
        <x:v>0.24561661000000001</x:v>
      </x:c>
      <x:c r="CR280" s="26">
        <x:f t="shared" si="263"/>
        <x:v>352.45983534999993</x:v>
      </x:c>
      <x:c r="CS280" s="26">
        <x:f t="shared" si="264"/>
        <x:v>319.30159300000003</x:v>
      </x:c>
      <x:c r="CT280" s="26">
        <x:f t="shared" si="219"/>
        <x:v>7.3684982999999997</x:v>
      </x:c>
      <x:c r="CU280" s="26">
        <x:f t="shared" si="220"/>
        <x:v>7.3684982999999997</x:v>
      </x:c>
      <x:c r="CV280" s="26">
        <x:f t="shared" si="221"/>
        <x:v>0</x:v>
      </x:c>
      <x:c r="CW280" s="26">
        <x:f t="shared" si="222"/>
        <x:v>0</x:v>
      </x:c>
      <x:c r="CX280" s="26">
        <x:f t="shared" si="265"/>
        <x:v>4.9123321999999998</x:v>
      </x:c>
      <x:c r="CY280" s="26">
        <x:f t="shared" si="266"/>
        <x:v>0</x:v>
      </x:c>
    </x:row>
    <x:row r="281">
      <x:c r="A281" s="18">
        <x:v>2022</x:v>
      </x:c>
      <x:c r="B281" t="s">
        <x:v>597</x:v>
      </x:c>
      <x:c r="C281" t="s">
        <x:v>598</x:v>
      </x:c>
      <x:c r="D281" t="s">
        <x:v>599</x:v>
      </x:c>
      <x:c r="E281" s="18">
        <x:v>441361</x:v>
      </x:c>
      <x:c r="F281" t="s">
        <x:v>593</x:v>
      </x:c>
      <x:c r="G281" t="s">
        <x:v>589</x:v>
      </x:c>
      <x:c r="H281" s="18">
        <x:v>4412</x:v>
      </x:c>
      <x:c r="I281" t="s">
        <x:v>108</x:v>
      </x:c>
      <x:c r="J281" t="s">
        <x:v>78</x:v>
      </x:c>
      <x:c r="K281" t="s">
        <x:v>80</x:v>
      </x:c>
      <x:c r="L281" s="18">
        <x:v>46</x:v>
      </x:c>
      <x:c r="M281" t="s">
        <x:v>78</x:v>
      </x:c>
      <x:c r="N281" s="18">
        <x:v>415</x:v>
      </x:c>
      <x:c r="O281" t="s">
        <x:v>88</x:v>
      </x:c>
      <x:c r="P281" s="18">
        <x:v>15</x:v>
      </x:c>
      <x:c r="Q281" s="19" t="s">
        <x:v>96</x:v>
      </x:c>
      <x:c r="R281" s="18">
        <x:v>9292.0280000000002</x:v>
      </x:c>
      <x:c r="S281" t="s">
        <x:v>76</x:v>
      </x:c>
      <x:c r="T281" s="19">
        <x:f t="shared" si="276"/>
        <x:v>9292.0280000000002</x:v>
      </x:c>
      <x:c r="U281" s="19">
        <x:v>0.5</x:v>
      </x:c>
      <x:c r="V281" t="s">
        <x:v>77</x:v>
      </x:c>
      <x:c r="W281" s="19" t="s">
        <x:v>78</x:v>
      </x:c>
      <x:c r="X281" s="21">
        <x:f t="shared" si="277"/>
        <x:v>9.2920279999999994E-2</x:v>
      </x:c>
      <x:c r="Y281" s="21">
        <x:f t="shared" si="278"/>
        <x:v>380.97314799999998</x:v>
      </x:c>
      <x:c r="Z281" s="21">
        <x:f t="shared" si="279"/>
        <x:v>120.79636400000001</x:v>
      </x:c>
      <x:c r="AA281" s="21">
        <x:f t="shared" si="280"/>
        <x:v>2.7876083999999999</x:v>
      </x:c>
      <x:c r="AB281" s="21">
        <x:f t="shared" si="281"/>
        <x:v>2.7876083999999999</x:v>
      </x:c>
      <x:c r="AC281" s="21"/>
      <x:c r="AD281" s="21"/>
      <x:c r="AE281" s="21">
        <x:f t="shared" si="282"/>
        <x:v>1.8584056</x:v>
      </x:c>
      <x:c r="AF281" s="21"/>
      <x:c r="AG281" s="19" t="s">
        <x:v>78</x:v>
      </x:c>
      <x:c r="AH281" t="s">
        <x:v>78</x:v>
      </x:c>
      <x:c r="AI281" t="s">
        <x:v>78</x:v>
      </x:c>
      <x:c r="AJ281" s="19"/>
      <x:c r="AK281" s="19" t="s">
        <x:v>78</x:v>
      </x:c>
      <x:c r="AL281" t="s">
        <x:v>78</x:v>
      </x:c>
      <x:c r="AM281" s="19" t="s">
        <x:v>78</x:v>
      </x:c>
      <x:c r="AN281" s="21"/>
      <x:c r="AO281" s="21"/>
      <x:c r="AP281" s="21"/>
      <x:c r="AQ281" s="21"/>
      <x:c r="AR281" s="21"/>
      <x:c r="AS281" s="21"/>
      <x:c r="AT281" s="21"/>
      <x:c r="AU281" s="21"/>
      <x:c r="AV281" s="21"/>
      <x:c r="AW281" t="s">
        <x:v>78</x:v>
      </x:c>
      <x:c r="AX281" s="19"/>
      <x:c r="AY281" s="21"/>
      <x:c r="AZ281" s="21"/>
      <x:c r="BA281" s="21"/>
      <x:c r="BB281" s="21"/>
      <x:c r="BC281" s="21"/>
      <x:c r="BD281" s="21"/>
      <x:c r="BE281" s="21"/>
      <x:c r="BF281" s="21"/>
      <x:c r="BG281" s="21"/>
      <x:c r="BH281" t="s">
        <x:v>601</x:v>
      </x:c>
      <x:c r="BI281" s="18">
        <x:v>114</x:v>
      </x:c>
      <x:c r="BJ281" s="18">
        <x:v>36</x:v>
      </x:c>
      <x:c r="BK281" s="18">
        <x:v>49</x:v>
      </x:c>
      <x:c r="BL281" s="18">
        <x:v>22</x:v>
      </x:c>
      <x:c r="BM281" s="18">
        <x:v>45</x:v>
      </x:c>
      <x:c r="BN281" s="18">
        <x:v>31</x:v>
      </x:c>
      <x:c r="BO281" s="22">
        <x:v>114.613611111111</x:v>
      </x:c>
      <x:c r="BP281" s="22">
        <x:v>22.758611111111101</x:v>
      </x:c>
      <x:c r="BQ281" s="18">
        <x:v>80</x:v>
      </x:c>
      <x:c r="BR281" s="18">
        <x:v>282946.902</x:v>
      </x:c>
      <x:c r="BS281" t="s">
        <x:v>78</x:v>
      </x:c>
      <x:c r="BT281" t="s">
        <x:v>78</x:v>
      </x:c>
      <x:c r="BU281" s="18">
        <x:v>118.009</x:v>
      </x:c>
      <x:c r="BV281" s="18">
        <x:v>89.167000000000002</x:v>
      </x:c>
      <x:c r="BW281" t="s">
        <x:v>78</x:v>
      </x:c>
      <x:c r="BX281" t="s">
        <x:v>78</x:v>
      </x:c>
      <x:c r="BY281" t="s">
        <x:v>78</x:v>
      </x:c>
      <x:c r="BZ281" t="s">
        <x:v>78</x:v>
      </x:c>
      <x:c r="CA281" s="23">
        <x:f t="shared" si="253"/>
        <x:v>9.2920279999999994E-2</x:v>
      </x:c>
      <x:c r="CB281" s="23">
        <x:f t="shared" si="254"/>
        <x:v>380.97314799999998</x:v>
      </x:c>
      <x:c r="CC281" s="23">
        <x:f t="shared" si="255"/>
        <x:v>120.79636400000001</x:v>
      </x:c>
      <x:c r="CD281" s="23">
        <x:f t="shared" si="256"/>
        <x:v>2.7876083999999999</x:v>
      </x:c>
      <x:c r="CE281" s="23">
        <x:f t="shared" si="257"/>
        <x:v>2.7876083999999999</x:v>
      </x:c>
      <x:c r="CF281" s="23">
        <x:f t="shared" si="258"/>
        <x:v>0</x:v>
      </x:c>
      <x:c r="CG281" s="23">
        <x:f t="shared" si="259"/>
        <x:v>0</x:v>
      </x:c>
      <x:c r="CH281" s="23">
        <x:f t="shared" si="260"/>
        <x:v>1.8584056</x:v>
      </x:c>
      <x:c r="CI281" s="23">
        <x:f t="shared" si="261"/>
        <x:v>0</x:v>
      </x:c>
      <x:c r="CJ281" s="24" t="s">
        <x:v>78</x:v>
      </x:c>
      <x:c r="CK281" s="25">
        <x:v>0</x:v>
      </x:c>
      <x:c r="CL281" s="26" t="s">
        <x:v>104</x:v>
      </x:c>
      <x:c r="CM281" s="28">
        <x:v>65</x:v>
      </x:c>
      <x:c r="CN281" s="27" t="s">
        <x:v>78</x:v>
      </x:c>
      <x:c r="CO281" s="27">
        <x:v>0</x:v>
      </x:c>
      <x:c r="CP281" s="27">
        <x:v>0</x:v>
      </x:c>
      <x:c r="CQ281" s="26">
        <x:f t="shared" si="262"/>
        <x:v>9.2920279999999994E-2</x:v>
      </x:c>
      <x:c r="CR281" s="26">
        <x:f t="shared" si="263"/>
        <x:v>133.34060179999997</x:v>
      </x:c>
      <x:c r="CS281" s="26">
        <x:f t="shared" si="264"/>
        <x:v>120.79636400000001</x:v>
      </x:c>
      <x:c r="CT281" s="26">
        <x:f t="shared" si="219"/>
        <x:v>2.7876083999999999</x:v>
      </x:c>
      <x:c r="CU281" s="26">
        <x:f t="shared" si="220"/>
        <x:v>2.7876083999999999</x:v>
      </x:c>
      <x:c r="CV281" s="26">
        <x:f t="shared" si="221"/>
        <x:v>0</x:v>
      </x:c>
      <x:c r="CW281" s="26">
        <x:f t="shared" si="222"/>
        <x:v>0</x:v>
      </x:c>
      <x:c r="CX281" s="26">
        <x:f t="shared" si="265"/>
        <x:v>1.8584056</x:v>
      </x:c>
      <x:c r="CY281" s="26">
        <x:f t="shared" si="266"/>
        <x:v>0</x:v>
      </x:c>
    </x:row>
    <x:row r="282" s="8" customFormat="1">
      <x:c r="A282" s="31">
        <x:v>2022</x:v>
      </x:c>
      <x:c r="B282" s="8" t="s">
        <x:v>597</x:v>
      </x:c>
      <x:c r="C282" s="8" t="s">
        <x:v>598</x:v>
      </x:c>
      <x:c r="D282" s="8" t="s">
        <x:v>599</x:v>
      </x:c>
      <x:c r="E282" s="31">
        <x:v>441361</x:v>
      </x:c>
      <x:c r="F282" s="8" t="s">
        <x:v>593</x:v>
      </x:c>
      <x:c r="G282" t="s">
        <x:v>589</x:v>
      </x:c>
      <x:c r="H282" s="31">
        <x:v>4412</x:v>
      </x:c>
      <x:c r="I282" s="8" t="s">
        <x:v>108</x:v>
      </x:c>
      <x:c r="J282" s="8" t="s">
        <x:v>78</x:v>
      </x:c>
      <x:c r="K282" s="8" t="s">
        <x:v>80</x:v>
      </x:c>
      <x:c r="L282" s="31">
        <x:v>46</x:v>
      </x:c>
      <x:c r="M282" s="8" t="s">
        <x:v>78</x:v>
      </x:c>
      <x:c r="N282" s="31">
        <x:v>415</x:v>
      </x:c>
      <x:c r="O282" s="8" t="s">
        <x:v>88</x:v>
      </x:c>
      <x:c r="P282" s="31">
        <x:v>15</x:v>
      </x:c>
      <x:c r="Q282" s="32" t="s">
        <x:v>96</x:v>
      </x:c>
      <x:c r="R282" s="31">
        <x:v>18859.811000000002</x:v>
      </x:c>
      <x:c r="S282" s="8" t="s">
        <x:v>76</x:v>
      </x:c>
      <x:c r="T282" s="32">
        <x:f t="shared" si="276"/>
        <x:v>18859.811000000002</x:v>
      </x:c>
      <x:c r="U282" s="32">
        <x:v>0.5</x:v>
      </x:c>
      <x:c r="V282" s="8" t="s">
        <x:v>77</x:v>
      </x:c>
      <x:c r="W282" s="32" t="s">
        <x:v>78</x:v>
      </x:c>
      <x:c r="X282" s="33">
        <x:f t="shared" si="277"/>
        <x:v>0.18859811000000004</x:v>
      </x:c>
      <x:c r="Y282" s="21">
        <x:f t="shared" si="278"/>
        <x:v>773.252251</x:v>
      </x:c>
      <x:c r="Z282" s="21">
        <x:f t="shared" si="279"/>
        <x:v>245.17754300000004</x:v>
      </x:c>
      <x:c r="AA282" s="21">
        <x:f t="shared" si="280"/>
        <x:v>5.6579433000000003</x:v>
      </x:c>
      <x:c r="AB282" s="21">
        <x:f t="shared" si="281"/>
        <x:v>5.6579433000000003</x:v>
      </x:c>
      <x:c r="AC282" s="33"/>
      <x:c r="AD282" s="33"/>
      <x:c r="AE282" s="21">
        <x:f t="shared" si="282"/>
        <x:v>3.7719622000000004</x:v>
      </x:c>
      <x:c r="AF282" s="33"/>
      <x:c r="AG282" s="32" t="s">
        <x:v>78</x:v>
      </x:c>
      <x:c r="AH282" s="8" t="s">
        <x:v>78</x:v>
      </x:c>
      <x:c r="AI282" s="8" t="s">
        <x:v>78</x:v>
      </x:c>
      <x:c r="AJ282" s="32"/>
      <x:c r="AK282" s="32" t="s">
        <x:v>78</x:v>
      </x:c>
      <x:c r="AL282" s="8" t="s">
        <x:v>78</x:v>
      </x:c>
      <x:c r="AM282" s="32" t="s">
        <x:v>78</x:v>
      </x:c>
      <x:c r="AN282" s="33"/>
      <x:c r="AO282" s="33"/>
      <x:c r="AP282" s="33"/>
      <x:c r="AQ282" s="33"/>
      <x:c r="AR282" s="33"/>
      <x:c r="AS282" s="33"/>
      <x:c r="AT282" s="33"/>
      <x:c r="AU282" s="33"/>
      <x:c r="AV282" s="33"/>
      <x:c r="AW282" s="8" t="s">
        <x:v>78</x:v>
      </x:c>
      <x:c r="AX282" s="32"/>
      <x:c r="AY282" s="33"/>
      <x:c r="AZ282" s="33"/>
      <x:c r="BA282" s="33"/>
      <x:c r="BB282" s="33"/>
      <x:c r="BC282" s="33"/>
      <x:c r="BD282" s="33"/>
      <x:c r="BE282" s="33"/>
      <x:c r="BF282" s="33"/>
      <x:c r="BG282" s="33"/>
      <x:c r="BH282" s="8" t="s">
        <x:v>602</x:v>
      </x:c>
      <x:c r="BI282" s="31">
        <x:v>114</x:v>
      </x:c>
      <x:c r="BJ282" s="31">
        <x:v>36</x:v>
      </x:c>
      <x:c r="BK282" s="31">
        <x:v>48</x:v>
      </x:c>
      <x:c r="BL282" s="31">
        <x:v>22</x:v>
      </x:c>
      <x:c r="BM282" s="31">
        <x:v>45</x:v>
      </x:c>
      <x:c r="BN282" s="31">
        <x:v>31</x:v>
      </x:c>
      <x:c r="BO282" s="22">
        <x:v>114.613333333333</x:v>
      </x:c>
      <x:c r="BP282" s="22">
        <x:v>22.758611111111101</x:v>
      </x:c>
      <x:c r="BQ282" s="31">
        <x:v>80</x:v>
      </x:c>
      <x:c r="BR282" s="31">
        <x:v>524857.45799999998</x:v>
      </x:c>
      <x:c r="BS282" s="8" t="s">
        <x:v>78</x:v>
      </x:c>
      <x:c r="BT282" s="8" t="s">
        <x:v>78</x:v>
      </x:c>
      <x:c r="BU282" s="31">
        <x:v>239.52</x:v>
      </x:c>
      <x:c r="BV282" s="31">
        <x:v>162.143</x:v>
      </x:c>
      <x:c r="BW282" s="8" t="s">
        <x:v>78</x:v>
      </x:c>
      <x:c r="BX282" s="8" t="s">
        <x:v>78</x:v>
      </x:c>
      <x:c r="BY282" s="8" t="s">
        <x:v>78</x:v>
      </x:c>
      <x:c r="BZ282" s="8" t="s">
        <x:v>78</x:v>
      </x:c>
      <x:c r="CA282" s="23">
        <x:f t="shared" si="253"/>
        <x:v>0.18859811000000004</x:v>
      </x:c>
      <x:c r="CB282" s="23">
        <x:f t="shared" si="254"/>
        <x:v>773.252251</x:v>
      </x:c>
      <x:c r="CC282" s="23">
        <x:f t="shared" si="255"/>
        <x:v>245.17754300000004</x:v>
      </x:c>
      <x:c r="CD282" s="23">
        <x:f t="shared" si="256"/>
        <x:v>5.6579433000000003</x:v>
      </x:c>
      <x:c r="CE282" s="23">
        <x:f t="shared" si="257"/>
        <x:v>5.6579433000000003</x:v>
      </x:c>
      <x:c r="CF282" s="23">
        <x:f t="shared" si="258"/>
        <x:v>0</x:v>
      </x:c>
      <x:c r="CG282" s="23">
        <x:f t="shared" si="259"/>
        <x:v>0</x:v>
      </x:c>
      <x:c r="CH282" s="23">
        <x:f t="shared" si="260"/>
        <x:v>3.7719622000000004</x:v>
      </x:c>
      <x:c r="CI282" s="23">
        <x:f t="shared" si="261"/>
        <x:v>0</x:v>
      </x:c>
      <x:c r="CJ282" s="25" t="s">
        <x:v>78</x:v>
      </x:c>
      <x:c r="CK282" s="25">
        <x:v>0</x:v>
      </x:c>
      <x:c r="CL282" s="34" t="s">
        <x:v>104</x:v>
      </x:c>
      <x:c r="CM282" s="28">
        <x:v>65</x:v>
      </x:c>
      <x:c r="CN282" s="35" t="s">
        <x:v>78</x:v>
      </x:c>
      <x:c r="CO282" s="27">
        <x:v>0</x:v>
      </x:c>
      <x:c r="CP282" s="27">
        <x:v>0</x:v>
      </x:c>
      <x:c r="CQ282" s="26">
        <x:f t="shared" si="262"/>
        <x:v>0.18859811000000004</x:v>
      </x:c>
      <x:c r="CR282" s="26">
        <x:f t="shared" si="263"/>
        <x:v>270.63828784999998</x:v>
      </x:c>
      <x:c r="CS282" s="26">
        <x:f t="shared" si="264"/>
        <x:v>245.17754300000004</x:v>
      </x:c>
      <x:c r="CT282" s="26">
        <x:f t="shared" si="219"/>
        <x:v>5.6579433000000003</x:v>
      </x:c>
      <x:c r="CU282" s="26">
        <x:f t="shared" si="220"/>
        <x:v>5.6579433000000003</x:v>
      </x:c>
      <x:c r="CV282" s="26">
        <x:f t="shared" si="221"/>
        <x:v>0</x:v>
      </x:c>
      <x:c r="CW282" s="26">
        <x:f t="shared" si="222"/>
        <x:v>0</x:v>
      </x:c>
      <x:c r="CX282" s="26">
        <x:f t="shared" si="265"/>
        <x:v>3.7719622000000004</x:v>
      </x:c>
      <x:c r="CY282" s="26">
        <x:f t="shared" si="266"/>
        <x:v>0</x:v>
      </x:c>
    </x:row>
    <x:row r="283" s="8" customFormat="1">
      <x:c r="A283" s="31">
        <x:v>2022</x:v>
      </x:c>
      <x:c r="B283" s="8" t="s">
        <x:v>597</x:v>
      </x:c>
      <x:c r="C283" s="8" t="s">
        <x:v>598</x:v>
      </x:c>
      <x:c r="D283" s="8" t="s">
        <x:v>599</x:v>
      </x:c>
      <x:c r="E283" s="31">
        <x:v>441361</x:v>
      </x:c>
      <x:c r="F283" s="8" t="s">
        <x:v>593</x:v>
      </x:c>
      <x:c r="G283" t="s">
        <x:v>589</x:v>
      </x:c>
      <x:c r="H283" s="31">
        <x:v>4412</x:v>
      </x:c>
      <x:c r="I283" s="8" t="s">
        <x:v>108</x:v>
      </x:c>
      <x:c r="J283" s="8" t="s">
        <x:v>78</x:v>
      </x:c>
      <x:c r="K283" s="8" t="s">
        <x:v>80</x:v>
      </x:c>
      <x:c r="L283" s="31">
        <x:v>46</x:v>
      </x:c>
      <x:c r="M283" s="8" t="s">
        <x:v>78</x:v>
      </x:c>
      <x:c r="N283" s="31">
        <x:v>415</x:v>
      </x:c>
      <x:c r="O283" s="8" t="s">
        <x:v>88</x:v>
      </x:c>
      <x:c r="P283" s="31">
        <x:v>15</x:v>
      </x:c>
      <x:c r="Q283" s="32" t="s">
        <x:v>96</x:v>
      </x:c>
      <x:c r="R283" s="31">
        <x:v>17994.893</x:v>
      </x:c>
      <x:c r="S283" s="8" t="s">
        <x:v>76</x:v>
      </x:c>
      <x:c r="T283" s="32">
        <x:f t="shared" si="276"/>
        <x:v>17994.893</x:v>
      </x:c>
      <x:c r="U283" s="32">
        <x:v>0.5</x:v>
      </x:c>
      <x:c r="V283" s="8" t="s">
        <x:v>77</x:v>
      </x:c>
      <x:c r="W283" s="32" t="s">
        <x:v>78</x:v>
      </x:c>
      <x:c r="X283" s="33">
        <x:f t="shared" si="277"/>
        <x:v>0.17994893000000001</x:v>
      </x:c>
      <x:c r="Y283" s="21">
        <x:f t="shared" si="278"/>
        <x:v>737.79061299999989</x:v>
      </x:c>
      <x:c r="Z283" s="21">
        <x:f t="shared" si="279"/>
        <x:v>233.93360899999999</x:v>
      </x:c>
      <x:c r="AA283" s="21">
        <x:f t="shared" si="280"/>
        <x:v>5.3984678999999991</x:v>
      </x:c>
      <x:c r="AB283" s="21">
        <x:f t="shared" si="281"/>
        <x:v>5.3984678999999991</x:v>
      </x:c>
      <x:c r="AC283" s="33"/>
      <x:c r="AD283" s="33"/>
      <x:c r="AE283" s="21">
        <x:f t="shared" si="282"/>
        <x:v>3.5989785999999997</x:v>
      </x:c>
      <x:c r="AF283" s="33"/>
      <x:c r="AG283" s="32" t="s">
        <x:v>78</x:v>
      </x:c>
      <x:c r="AH283" s="8" t="s">
        <x:v>78</x:v>
      </x:c>
      <x:c r="AI283" s="8" t="s">
        <x:v>78</x:v>
      </x:c>
      <x:c r="AJ283" s="32"/>
      <x:c r="AK283" s="32" t="s">
        <x:v>78</x:v>
      </x:c>
      <x:c r="AL283" s="8" t="s">
        <x:v>78</x:v>
      </x:c>
      <x:c r="AM283" s="32" t="s">
        <x:v>78</x:v>
      </x:c>
      <x:c r="AN283" s="33"/>
      <x:c r="AO283" s="33"/>
      <x:c r="AP283" s="33"/>
      <x:c r="AQ283" s="33"/>
      <x:c r="AR283" s="33"/>
      <x:c r="AS283" s="33"/>
      <x:c r="AT283" s="33"/>
      <x:c r="AU283" s="33"/>
      <x:c r="AV283" s="33"/>
      <x:c r="AW283" s="8" t="s">
        <x:v>78</x:v>
      </x:c>
      <x:c r="AX283" s="32"/>
      <x:c r="AY283" s="33"/>
      <x:c r="AZ283" s="33"/>
      <x:c r="BA283" s="33"/>
      <x:c r="BB283" s="33"/>
      <x:c r="BC283" s="33"/>
      <x:c r="BD283" s="33"/>
      <x:c r="BE283" s="33"/>
      <x:c r="BF283" s="33"/>
      <x:c r="BG283" s="33"/>
      <x:c r="BH283" s="8" t="s">
        <x:v>603</x:v>
      </x:c>
      <x:c r="BI283" s="31">
        <x:v>114</x:v>
      </x:c>
      <x:c r="BJ283" s="31">
        <x:v>36</x:v>
      </x:c>
      <x:c r="BK283" s="31">
        <x:v>46</x:v>
      </x:c>
      <x:c r="BL283" s="31">
        <x:v>22</x:v>
      </x:c>
      <x:c r="BM283" s="31">
        <x:v>45</x:v>
      </x:c>
      <x:c r="BN283" s="31">
        <x:v>30</x:v>
      </x:c>
      <x:c r="BO283" s="22">
        <x:v>114.61277777777801</x:v>
      </x:c>
      <x:c r="BP283" s="22">
        <x:v>22.758333333333301</x:v>
      </x:c>
      <x:c r="BQ283" s="31">
        <x:v>80</x:v>
      </x:c>
      <x:c r="BR283" s="31">
        <x:v>521701.70400000003</x:v>
      </x:c>
      <x:c r="BS283" s="8" t="s">
        <x:v>78</x:v>
      </x:c>
      <x:c r="BT283" s="8" t="s">
        <x:v>78</x:v>
      </x:c>
      <x:c r="BU283" s="31">
        <x:v>228.535</x:v>
      </x:c>
      <x:c r="BV283" s="31">
        <x:v>153.964</x:v>
      </x:c>
      <x:c r="BW283" s="8" t="s">
        <x:v>78</x:v>
      </x:c>
      <x:c r="BX283" s="8" t="s">
        <x:v>78</x:v>
      </x:c>
      <x:c r="BY283" s="8" t="s">
        <x:v>78</x:v>
      </x:c>
      <x:c r="BZ283" s="8" t="s">
        <x:v>78</x:v>
      </x:c>
      <x:c r="CA283" s="23">
        <x:f t="shared" si="253"/>
        <x:v>0.17994893000000001</x:v>
      </x:c>
      <x:c r="CB283" s="23">
        <x:f t="shared" si="254"/>
        <x:v>737.79061299999989</x:v>
      </x:c>
      <x:c r="CC283" s="23">
        <x:f t="shared" si="255"/>
        <x:v>233.93360899999999</x:v>
      </x:c>
      <x:c r="CD283" s="23">
        <x:f t="shared" si="256"/>
        <x:v>5.3984678999999991</x:v>
      </x:c>
      <x:c r="CE283" s="23">
        <x:f t="shared" si="257"/>
        <x:v>5.3984678999999991</x:v>
      </x:c>
      <x:c r="CF283" s="23">
        <x:f t="shared" si="258"/>
        <x:v>0</x:v>
      </x:c>
      <x:c r="CG283" s="23">
        <x:f t="shared" si="259"/>
        <x:v>0</x:v>
      </x:c>
      <x:c r="CH283" s="23">
        <x:f t="shared" si="260"/>
        <x:v>3.5989785999999997</x:v>
      </x:c>
      <x:c r="CI283" s="23">
        <x:f t="shared" si="261"/>
        <x:v>0</x:v>
      </x:c>
      <x:c r="CJ283" s="25" t="s">
        <x:v>78</x:v>
      </x:c>
      <x:c r="CK283" s="25">
        <x:v>0</x:v>
      </x:c>
      <x:c r="CL283" s="34" t="s">
        <x:v>104</x:v>
      </x:c>
      <x:c r="CM283" s="28">
        <x:v>65</x:v>
      </x:c>
      <x:c r="CN283" s="35" t="s">
        <x:v>78</x:v>
      </x:c>
      <x:c r="CO283" s="27">
        <x:v>0</x:v>
      </x:c>
      <x:c r="CP283" s="27">
        <x:v>0</x:v>
      </x:c>
      <x:c r="CQ283" s="26">
        <x:f t="shared" si="262"/>
        <x:v>0.17994893000000001</x:v>
      </x:c>
      <x:c r="CR283" s="26">
        <x:f t="shared" si="263"/>
        <x:v>258.22671454999994</x:v>
      </x:c>
      <x:c r="CS283" s="26">
        <x:f t="shared" si="264"/>
        <x:v>233.93360899999999</x:v>
      </x:c>
      <x:c r="CT283" s="26">
        <x:f t="shared" si="219"/>
        <x:v>5.3984678999999991</x:v>
      </x:c>
      <x:c r="CU283" s="26">
        <x:f t="shared" si="220"/>
        <x:v>5.3984678999999991</x:v>
      </x:c>
      <x:c r="CV283" s="26">
        <x:f t="shared" si="221"/>
        <x:v>0</x:v>
      </x:c>
      <x:c r="CW283" s="26">
        <x:f t="shared" si="222"/>
        <x:v>0</x:v>
      </x:c>
      <x:c r="CX283" s="26">
        <x:f t="shared" si="265"/>
        <x:v>3.5989785999999997</x:v>
      </x:c>
      <x:c r="CY283" s="26">
        <x:f t="shared" si="266"/>
        <x:v>0</x:v>
      </x:c>
    </x:row>
    <x:row r="284" s="8" customFormat="1">
      <x:c r="A284" s="31">
        <x:v>2022</x:v>
      </x:c>
      <x:c r="B284" s="8" t="s">
        <x:v>604</x:v>
      </x:c>
      <x:c r="C284" s="8" t="s">
        <x:v>605</x:v>
      </x:c>
      <x:c r="D284" s="8" t="s">
        <x:v>606</x:v>
      </x:c>
      <x:c r="E284" s="31">
        <x:v>441361</x:v>
      </x:c>
      <x:c r="F284" s="8" t="s">
        <x:v>593</x:v>
      </x:c>
      <x:c r="G284" t="s">
        <x:v>589</x:v>
      </x:c>
      <x:c r="H284" s="31">
        <x:v>2511</x:v>
      </x:c>
      <x:c r="I284" s="8" t="s">
        <x:v>119</x:v>
      </x:c>
      <x:c r="J284" s="8" t="s">
        <x:v>607</x:v>
      </x:c>
      <x:c r="K284" s="8" t="s">
        <x:v>80</x:v>
      </x:c>
      <x:c r="L284" s="31">
        <x:v>4.2</x:v>
      </x:c>
      <x:c r="M284" s="8" t="s">
        <x:v>78</x:v>
      </x:c>
      <x:c r="N284" s="31">
        <x:v>64.5</x:v>
      </x:c>
      <x:c r="O284" s="8" t="s">
        <x:v>88</x:v>
      </x:c>
      <x:c r="P284" s="31">
        <x:v>15</x:v>
      </x:c>
      <x:c r="Q284" s="32" t="s">
        <x:v>96</x:v>
      </x:c>
      <x:c r="R284" s="31">
        <x:v>5892</x:v>
      </x:c>
      <x:c r="S284" s="8" t="s">
        <x:v>76</x:v>
      </x:c>
      <x:c r="T284" s="32">
        <x:f t="shared" si="276"/>
        <x:v>5892</x:v>
      </x:c>
      <x:c r="U284" s="36">
        <x:v>0.5</x:v>
      </x:c>
      <x:c r="V284" s="8" t="s">
        <x:v>77</x:v>
      </x:c>
      <x:c r="W284" s="32" t="s">
        <x:v>78</x:v>
      </x:c>
      <x:c r="X284" s="33">
        <x:f t="shared" si="277"/>
        <x:v>5.892E-2</x:v>
      </x:c>
      <x:c r="Y284" s="21">
        <x:f t="shared" si="278"/>
        <x:v>241.57199999999997</x:v>
      </x:c>
      <x:c r="Z284" s="21">
        <x:f t="shared" si="279"/>
        <x:v>76.596000000000004</x:v>
      </x:c>
      <x:c r="AA284" s="21">
        <x:f t="shared" si="280"/>
        <x:v>1.7676000000000001</x:v>
      </x:c>
      <x:c r="AB284" s="21">
        <x:f t="shared" si="281"/>
        <x:v>1.7676000000000001</x:v>
      </x:c>
      <x:c r="AC284" s="33"/>
      <x:c r="AD284" s="33"/>
      <x:c r="AE284" s="21">
        <x:f t="shared" si="282"/>
        <x:v>1.1783999999999999</x:v>
      </x:c>
      <x:c r="AF284" s="33"/>
      <x:c r="AG284" s="32" t="s">
        <x:v>78</x:v>
      </x:c>
      <x:c r="AH284" s="8" t="s">
        <x:v>78</x:v>
      </x:c>
      <x:c r="AI284" s="8" t="s">
        <x:v>78</x:v>
      </x:c>
      <x:c r="AJ284" s="32"/>
      <x:c r="AK284" s="32" t="s">
        <x:v>78</x:v>
      </x:c>
      <x:c r="AL284" s="8" t="s">
        <x:v>78</x:v>
      </x:c>
      <x:c r="AM284" s="32" t="s">
        <x:v>78</x:v>
      </x:c>
      <x:c r="AN284" s="33"/>
      <x:c r="AO284" s="33"/>
      <x:c r="AP284" s="33"/>
      <x:c r="AQ284" s="33"/>
      <x:c r="AR284" s="33"/>
      <x:c r="AS284" s="33"/>
      <x:c r="AT284" s="33"/>
      <x:c r="AU284" s="33"/>
      <x:c r="AV284" s="33"/>
      <x:c r="AW284" s="8" t="s">
        <x:v>78</x:v>
      </x:c>
      <x:c r="AX284" s="32"/>
      <x:c r="AY284" s="33"/>
      <x:c r="AZ284" s="33"/>
      <x:c r="BA284" s="33"/>
      <x:c r="BB284" s="33"/>
      <x:c r="BC284" s="33"/>
      <x:c r="BD284" s="33"/>
      <x:c r="BE284" s="33"/>
      <x:c r="BF284" s="33"/>
      <x:c r="BG284" s="33"/>
      <x:c r="BH284" s="8" t="s">
        <x:v>81</x:v>
      </x:c>
      <x:c r="BI284" s="31">
        <x:v>114</x:v>
      </x:c>
      <x:c r="BJ284" s="31">
        <x:v>35</x:v>
      </x:c>
      <x:c r="BK284" s="31">
        <x:v>18.13</x:v>
      </x:c>
      <x:c r="BL284" s="31">
        <x:v>22</x:v>
      </x:c>
      <x:c r="BM284" s="31">
        <x:v>45</x:v>
      </x:c>
      <x:c r="BN284" s="31">
        <x:v>17.57</x:v>
      </x:c>
      <x:c r="BO284" s="22">
        <x:v>114.588369444444</x:v>
      </x:c>
      <x:c r="BP284" s="22">
        <x:v>22.754880555555602</x:v>
      </x:c>
      <x:c r="BQ284" s="31">
        <x:v>40</x:v>
      </x:c>
      <x:c r="BR284" s="31">
        <x:v>93635</x:v>
      </x:c>
      <x:c r="BS284" s="8" t="s">
        <x:v>78</x:v>
      </x:c>
      <x:c r="BT284" s="8" t="s">
        <x:v>78</x:v>
      </x:c>
      <x:c r="BU284" s="31">
        <x:v>74.828000000000003</x:v>
      </x:c>
      <x:c r="BV284" s="31">
        <x:v>74.828000000000003</x:v>
      </x:c>
      <x:c r="BW284" s="8" t="s">
        <x:v>78</x:v>
      </x:c>
      <x:c r="BX284" s="8" t="s">
        <x:v>78</x:v>
      </x:c>
      <x:c r="BY284" s="8" t="s">
        <x:v>78</x:v>
      </x:c>
      <x:c r="BZ284" s="8" t="s">
        <x:v>78</x:v>
      </x:c>
      <x:c r="CA284" s="23">
        <x:f t="shared" si="253"/>
        <x:v>5.892E-2</x:v>
      </x:c>
      <x:c r="CB284" s="23">
        <x:f t="shared" si="254"/>
        <x:v>241.57199999999997</x:v>
      </x:c>
      <x:c r="CC284" s="23">
        <x:f t="shared" si="255"/>
        <x:v>76.596000000000004</x:v>
      </x:c>
      <x:c r="CD284" s="23">
        <x:f t="shared" si="256"/>
        <x:v>1.7676000000000001</x:v>
      </x:c>
      <x:c r="CE284" s="23">
        <x:f t="shared" si="257"/>
        <x:v>1.7676000000000001</x:v>
      </x:c>
      <x:c r="CF284" s="23">
        <x:f t="shared" si="258"/>
        <x:v>0</x:v>
      </x:c>
      <x:c r="CG284" s="23">
        <x:f t="shared" si="259"/>
        <x:v>0</x:v>
      </x:c>
      <x:c r="CH284" s="23">
        <x:f t="shared" si="260"/>
        <x:v>1.1783999999999999</x:v>
      </x:c>
      <x:c r="CI284" s="23">
        <x:f t="shared" si="261"/>
        <x:v>0</x:v>
      </x:c>
      <x:c r="CJ284" s="25" t="s">
        <x:v>78</x:v>
      </x:c>
      <x:c r="CK284" s="25">
        <x:v>0</x:v>
      </x:c>
      <x:c r="CL284" s="34" t="s">
        <x:v>97</x:v>
      </x:c>
      <x:c r="CM284" s="28">
        <x:v>65</x:v>
      </x:c>
      <x:c r="CN284" s="35" t="s">
        <x:v>78</x:v>
      </x:c>
      <x:c r="CO284" s="27">
        <x:v>0</x:v>
      </x:c>
      <x:c r="CP284" s="27">
        <x:v>0</x:v>
      </x:c>
      <x:c r="CQ284" s="26">
        <x:f t="shared" si="262"/>
        <x:v>5.892E-2</x:v>
      </x:c>
      <x:c r="CR284" s="26">
        <x:f t="shared" si="263"/>
        <x:v>84.55019999999999</x:v>
      </x:c>
      <x:c r="CS284" s="26">
        <x:f t="shared" si="264"/>
        <x:v>76.596000000000004</x:v>
      </x:c>
      <x:c r="CT284" s="26">
        <x:f t="shared" si="219"/>
        <x:v>1.7676000000000001</x:v>
      </x:c>
      <x:c r="CU284" s="26">
        <x:f t="shared" si="220"/>
        <x:v>1.7676000000000001</x:v>
      </x:c>
      <x:c r="CV284" s="26">
        <x:f t="shared" si="221"/>
        <x:v>0</x:v>
      </x:c>
      <x:c r="CW284" s="26">
        <x:f t="shared" si="222"/>
        <x:v>0</x:v>
      </x:c>
      <x:c r="CX284" s="26">
        <x:f t="shared" si="265"/>
        <x:v>1.1783999999999999</x:v>
      </x:c>
      <x:c r="CY284" s="26">
        <x:f t="shared" si="266"/>
        <x:v>0</x:v>
      </x:c>
    </x:row>
    <x:row r="285">
      <x:c r="A285" s="18">
        <x:v>2022</x:v>
      </x:c>
      <x:c r="B285" t="s">
        <x:v>608</x:v>
      </x:c>
      <x:c r="C285" t="s">
        <x:v>609</x:v>
      </x:c>
      <x:c r="D285" t="s">
        <x:v>610</x:v>
      </x:c>
      <x:c r="E285" s="18">
        <x:v>441361</x:v>
      </x:c>
      <x:c r="F285" t="s">
        <x:v>593</x:v>
      </x:c>
      <x:c r="G285" t="s">
        <x:v>589</x:v>
      </x:c>
      <x:c r="H285" s="18">
        <x:v>4412</x:v>
      </x:c>
      <x:c r="I285" t="s">
        <x:v>108</x:v>
      </x:c>
      <x:c r="J285" t="s">
        <x:v>611</x:v>
      </x:c>
      <x:c r="K285" t="s">
        <x:v>109</x:v>
      </x:c>
      <x:c r="L285" s="20">
        <x:v>33</x:v>
      </x:c>
      <x:c r="M285" t="s">
        <x:v>110</x:v>
      </x:c>
      <x:c r="N285" s="18">
        <x:v>1100</x:v>
      </x:c>
      <x:c r="O285" t="s">
        <x:v>88</x:v>
      </x:c>
      <x:c r="P285" s="18">
        <x:v>1</x:v>
      </x:c>
      <x:c r="Q285" s="19" t="s">
        <x:v>121</x:v>
      </x:c>
      <x:c r="R285" s="18">
        <x:v>1119571</x:v>
      </x:c>
      <x:c r="S285" t="s">
        <x:v>112</x:v>
      </x:c>
      <x:c r="T285" s="19" t="n">
        <x:f t="shared" ref="T285:T288" si="283">R285</x:f>
        <x:v>1119571</x:v>
      </x:c>
      <x:c r="U285" s="20">
        <x:v>0.46</x:v>
      </x:c>
      <x:c r="V285" t="s">
        <x:v>113</x:v>
      </x:c>
      <x:c r="W285" s="20">
        <x:v>16.829999999999998</x:v>
      </x:c>
      <x:c r="X285" s="21" t="n">
        <x:f>2*U285/100*(1-0.15)*T285</x:f>
        <x:v>8755.045219999998</x:v>
      </x:c>
      <x:c r="Y285" s="21" t="n">
        <x:f>7.21*T285/1000</x:f>
        <x:v>8072.10691</x:v>
      </x:c>
      <x:c r="Z285" s="21" t="n">
        <x:f>2*T285/1000</x:f>
        <x:v>2239.142</x:v>
      </x:c>
      <x:c r="AA285" s="21" t="n">
        <x:f>W285/100*(1-0.25)*0.23*T285</x:f>
        <x:v>32503.105379249995</x:v>
      </x:c>
      <x:c r="AB285" s="21" t="n">
        <x:f>W285/100*(1-0.25)*0.06*T285</x:f>
        <x:v>8479.070968499998</x:v>
      </x:c>
      <x:c r="AC285" s="21" t="n">
        <x:f t="shared" ref="AC285:AC286" si="284">0.002*AB285</x:f>
        <x:v>16.958141936999997</x:v>
      </x:c>
      <x:c r="AD285" s="21"/>
      <x:c r="AE285" s="21" t="n">
        <x:f>0.04*T285/1000</x:f>
        <x:v>44.78284000000001</x:v>
      </x:c>
      <x:c r="AF285" s="21"/>
      <x:c r="AG285" s="19" t="s">
        <x:v>78</x:v>
      </x:c>
      <x:c r="AH285" t="s">
        <x:v>78</x:v>
      </x:c>
      <x:c r="AI285" t="s">
        <x:v>78</x:v>
      </x:c>
      <x:c r="AJ285" s="19"/>
      <x:c r="AK285" s="19" t="s">
        <x:v>78</x:v>
      </x:c>
      <x:c r="AL285" t="s">
        <x:v>78</x:v>
      </x:c>
      <x:c r="AM285" s="19" t="s">
        <x:v>78</x:v>
      </x:c>
      <x:c r="AN285" s="21"/>
      <x:c r="AO285" s="21"/>
      <x:c r="AP285" s="21"/>
      <x:c r="AQ285" s="21"/>
      <x:c r="AR285" s="21"/>
      <x:c r="AS285" s="21"/>
      <x:c r="AT285" s="21"/>
      <x:c r="AU285" s="21"/>
      <x:c r="AV285" s="21"/>
      <x:c r="AW285" t="s">
        <x:v>78</x:v>
      </x:c>
      <x:c r="AX285" s="19"/>
      <x:c r="AY285" s="21"/>
      <x:c r="AZ285" s="21"/>
      <x:c r="BA285" s="21"/>
      <x:c r="BB285" s="21"/>
      <x:c r="BC285" s="21"/>
      <x:c r="BD285" s="21"/>
      <x:c r="BE285" s="21"/>
      <x:c r="BF285" s="21"/>
      <x:c r="BG285" s="21"/>
      <x:c r="BH285" t="s">
        <x:v>81</x:v>
      </x:c>
      <x:c r="BI285" s="18">
        <x:v>114</x:v>
      </x:c>
      <x:c r="BJ285" s="18">
        <x:v>37</x:v>
      </x:c>
      <x:c r="BK285" s="18">
        <x:v>34</x:v>
      </x:c>
      <x:c r="BL285" s="18">
        <x:v>22</x:v>
      </x:c>
      <x:c r="BM285" s="18">
        <x:v>45</x:v>
      </x:c>
      <x:c r="BN285" s="18">
        <x:v>15</x:v>
      </x:c>
      <x:c r="BO285" s="22">
        <x:v>114.626111111111</x:v>
      </x:c>
      <x:c r="BP285" s="22">
        <x:v>22.754166666666698</x:v>
      </x:c>
      <x:c r="BQ285" s="18">
        <x:v>210</x:v>
      </x:c>
      <x:c r="BR285" s="18">
        <x:v>889877.60199999996</x:v>
      </x:c>
      <x:c r="BS285" s="18">
        <x:v>8742.402</x:v>
      </x:c>
      <x:c r="BT285" s="18">
        <x:v>259.71199999999999</x:v>
      </x:c>
      <x:c r="BU285" s="18">
        <x:v>3134.799</x:v>
      </x:c>
      <x:c r="BV285" s="18">
        <x:v>374.14499999999998</x:v>
      </x:c>
      <x:c r="BW285" s="18">
        <x:v>185999.144</x:v>
      </x:c>
      <x:c r="BX285" s="18">
        <x:v>17.393000000000001</x:v>
      </x:c>
      <x:c r="BY285" s="18">
        <x:v>7736.2359999999999</x:v>
      </x:c>
      <x:c r="BZ285" s="18">
        <x:v>7736.2359999999999</x:v>
      </x:c>
      <x:c r="CA285" s="23">
        <x:f t="shared" si="253"/>
        <x:v>8755.0452199999982</x:v>
      </x:c>
      <x:c r="CB285" s="23">
        <x:f t="shared" si="254"/>
        <x:v>8072.1069100000004</x:v>
      </x:c>
      <x:c r="CC285" s="23">
        <x:f t="shared" si="255"/>
        <x:v>2239.1419999999998</x:v>
      </x:c>
      <x:c r="CD285" s="23">
        <x:f t="shared" si="256"/>
        <x:v>32503.105379249995</x:v>
      </x:c>
      <x:c r="CE285" s="23">
        <x:f t="shared" si="257"/>
        <x:v>8479.0709684999983</x:v>
      </x:c>
      <x:c r="CF285" s="23">
        <x:f t="shared" si="258"/>
        <x:v>16.958141936999997</x:v>
      </x:c>
      <x:c r="CG285" s="23">
        <x:f t="shared" si="259"/>
        <x:v>0</x:v>
      </x:c>
      <x:c r="CH285" s="23">
        <x:f t="shared" si="260"/>
        <x:v>44.782840000000007</x:v>
      </x:c>
      <x:c r="CI285" s="23">
        <x:f t="shared" si="261"/>
        <x:v>0</x:v>
      </x:c>
      <x:c r="CJ285" s="24" t="s">
        <x:v>440</x:v>
      </x:c>
      <x:c r="CK285" s="29">
        <x:v>97.09</x:v>
      </x:c>
      <x:c r="CL285" s="26" t="s">
        <x:v>104</x:v>
      </x:c>
      <x:c r="CM285" s="28">
        <x:v>85</x:v>
      </x:c>
      <x:c r="CN285" s="30" t="s">
        <x:v>612</x:v>
      </x:c>
      <x:c r="CO285" s="27">
        <x:v>99.4</x:v>
      </x:c>
      <x:c r="CP285" s="27">
        <x:v>98.3</x:v>
      </x:c>
      <x:c r="CQ285" s="26">
        <x:f t="shared" si="262"/>
        <x:v>254.77181590200007</x:v>
      </x:c>
      <x:c r="CR285" s="26">
        <x:f t="shared" si="263"/>
        <x:v>1210.8160365000003</x:v>
      </x:c>
      <x:c r="CS285" s="26">
        <x:f t="shared" si="264"/>
        <x:v>2239.1419999999998</x:v>
      </x:c>
      <x:c r="CT285" s="26">
        <x:f t="shared" si="219"/>
        <x:v>195.01863227549654</x:v>
      </x:c>
      <x:c r="CU285" s="26">
        <x:f t="shared" si="220"/>
        <x:v>144.14420646450009</x:v>
      </x:c>
      <x:c r="CV285" s="26">
        <x:f t="shared" si="221"/>
        <x:v>0.2882884129290002</x:v>
      </x:c>
      <x:c r="CW285" s="26">
        <x:f t="shared" si="222"/>
        <x:v>0</x:v>
      </x:c>
      <x:c r="CX285" s="26">
        <x:f t="shared" si="265"/>
        <x:v>44.782840000000007</x:v>
      </x:c>
      <x:c r="CY285" s="26">
        <x:f t="shared" si="266"/>
        <x:v>0</x:v>
      </x:c>
    </x:row>
    <x:row r="286">
      <x:c r="A286" s="18">
        <x:v>2022</x:v>
      </x:c>
      <x:c r="B286" t="s">
        <x:v>608</x:v>
      </x:c>
      <x:c r="C286" t="s">
        <x:v>609</x:v>
      </x:c>
      <x:c r="D286" t="s">
        <x:v>610</x:v>
      </x:c>
      <x:c r="E286" s="18">
        <x:v>441361</x:v>
      </x:c>
      <x:c r="F286" t="s">
        <x:v>593</x:v>
      </x:c>
      <x:c r="G286" t="s">
        <x:v>589</x:v>
      </x:c>
      <x:c r="H286" s="18">
        <x:v>4412</x:v>
      </x:c>
      <x:c r="I286" t="s">
        <x:v>108</x:v>
      </x:c>
      <x:c r="J286" t="s">
        <x:v>611</x:v>
      </x:c>
      <x:c r="K286" t="s">
        <x:v>109</x:v>
      </x:c>
      <x:c r="L286" s="20">
        <x:v>33</x:v>
      </x:c>
      <x:c r="M286" t="s">
        <x:v>110</x:v>
      </x:c>
      <x:c r="N286" s="18">
        <x:v>1100</x:v>
      </x:c>
      <x:c r="O286" t="s">
        <x:v>88</x:v>
      </x:c>
      <x:c r="P286" s="18">
        <x:v>1</x:v>
      </x:c>
      <x:c r="Q286" s="19" t="s">
        <x:v>121</x:v>
      </x:c>
      <x:c r="R286" s="18">
        <x:v>908613</x:v>
      </x:c>
      <x:c r="S286" t="s">
        <x:v>112</x:v>
      </x:c>
      <x:c r="T286" s="19">
        <x:f t="shared" si="283"/>
        <x:v>908613</x:v>
      </x:c>
      <x:c r="U286" s="20">
        <x:v>0.46</x:v>
      </x:c>
      <x:c r="V286" t="s">
        <x:v>113</x:v>
      </x:c>
      <x:c r="W286" s="20">
        <x:v>16.829999999999998</x:v>
      </x:c>
      <x:c r="X286" s="21" t="n">
        <x:f>2*U286/100*(1-0.15)*T286</x:f>
        <x:v>7105.353659999999</x:v>
      </x:c>
      <x:c r="Y286" s="21" t="n">
        <x:f>7.21*T286/1000</x:f>
        <x:v>6551.09973</x:v>
      </x:c>
      <x:c r="Z286" s="21" t="n">
        <x:f>2*T286/1000</x:f>
        <x:v>1817.226</x:v>
      </x:c>
      <x:c r="AA286" s="21" t="n">
        <x:f>W286/100*(1-0.25)*0.23*T286</x:f>
        <x:v>26378.625462749995</x:v>
      </x:c>
      <x:c r="AB286" s="21" t="n">
        <x:f>W286/100*(1-0.25)*0.06*T286</x:f>
        <x:v>6881.380555499999</x:v>
      </x:c>
      <x:c r="AC286" s="21">
        <x:f t="shared" si="284"/>
        <x:v>13.762761110999998</x:v>
      </x:c>
      <x:c r="AD286" s="21"/>
      <x:c r="AE286" s="21" t="n">
        <x:f>0.04*T286/1000</x:f>
        <x:v>36.34452</x:v>
      </x:c>
      <x:c r="AF286" s="21"/>
      <x:c r="AG286" s="19" t="s">
        <x:v>78</x:v>
      </x:c>
      <x:c r="AH286" t="s">
        <x:v>78</x:v>
      </x:c>
      <x:c r="AI286" t="s">
        <x:v>78</x:v>
      </x:c>
      <x:c r="AJ286" s="19"/>
      <x:c r="AK286" s="19" t="s">
        <x:v>78</x:v>
      </x:c>
      <x:c r="AL286" t="s">
        <x:v>78</x:v>
      </x:c>
      <x:c r="AM286" s="19" t="s">
        <x:v>78</x:v>
      </x:c>
      <x:c r="AN286" s="21"/>
      <x:c r="AO286" s="21"/>
      <x:c r="AP286" s="21"/>
      <x:c r="AQ286" s="21"/>
      <x:c r="AR286" s="21"/>
      <x:c r="AS286" s="21"/>
      <x:c r="AT286" s="21"/>
      <x:c r="AU286" s="21"/>
      <x:c r="AV286" s="21"/>
      <x:c r="AW286" t="s">
        <x:v>78</x:v>
      </x:c>
      <x:c r="AX286" s="19"/>
      <x:c r="AY286" s="21"/>
      <x:c r="AZ286" s="21"/>
      <x:c r="BA286" s="21"/>
      <x:c r="BB286" s="21"/>
      <x:c r="BC286" s="21"/>
      <x:c r="BD286" s="21"/>
      <x:c r="BE286" s="21"/>
      <x:c r="BF286" s="21"/>
      <x:c r="BG286" s="21"/>
      <x:c r="BH286" t="s">
        <x:v>81</x:v>
      </x:c>
      <x:c r="BI286" s="18">
        <x:v>114</x:v>
      </x:c>
      <x:c r="BJ286" s="18">
        <x:v>37</x:v>
      </x:c>
      <x:c r="BK286" s="18">
        <x:v>34</x:v>
      </x:c>
      <x:c r="BL286" s="18">
        <x:v>22</x:v>
      </x:c>
      <x:c r="BM286" s="18">
        <x:v>45</x:v>
      </x:c>
      <x:c r="BN286" s="18">
        <x:v>15</x:v>
      </x:c>
      <x:c r="BO286" s="22">
        <x:v>114.626111111111</x:v>
      </x:c>
      <x:c r="BP286" s="22">
        <x:v>22.754166666666698</x:v>
      </x:c>
      <x:c r="BQ286" s="18">
        <x:v>210</x:v>
      </x:c>
      <x:c r="BR286" s="18">
        <x:v>704980.85600000003</x:v>
      </x:c>
      <x:c r="BS286" s="18">
        <x:v>7096.9939999999997</x:v>
      </x:c>
      <x:c r="BT286" s="18">
        <x:v>224.828</x:v>
      </x:c>
      <x:c r="BU286" s="18">
        <x:v>2544.116</x:v>
      </x:c>
      <x:c r="BV286" s="18">
        <x:v>268.77499999999998</x:v>
      </x:c>
      <x:c r="BW286" s="18">
        <x:v>150951.785</x:v>
      </x:c>
      <x:c r="BX286" s="18">
        <x:v>14.116</x:v>
      </x:c>
      <x:c r="BY286" s="18">
        <x:v>6278.5159999999996</x:v>
      </x:c>
      <x:c r="BZ286" s="18">
        <x:v>6278.5159999999996</x:v>
      </x:c>
      <x:c r="CA286" s="23">
        <x:f t="shared" si="253"/>
        <x:v>7105.3536599999989</x:v>
      </x:c>
      <x:c r="CB286" s="23">
        <x:f t="shared" si="254"/>
        <x:v>6551.0997299999999</x:v>
      </x:c>
      <x:c r="CC286" s="23">
        <x:f t="shared" si="255"/>
        <x:v>1817.2260000000001</x:v>
      </x:c>
      <x:c r="CD286" s="23">
        <x:f t="shared" si="256"/>
        <x:v>26378.625462749995</x:v>
      </x:c>
      <x:c r="CE286" s="23">
        <x:f t="shared" si="257"/>
        <x:v>6881.380555499999</x:v>
      </x:c>
      <x:c r="CF286" s="23">
        <x:f t="shared" si="258"/>
        <x:v>13.762761110999998</x:v>
      </x:c>
      <x:c r="CG286" s="23">
        <x:f t="shared" si="259"/>
        <x:v>0</x:v>
      </x:c>
      <x:c r="CH286" s="23">
        <x:f t="shared" si="260"/>
        <x:v>36.344520000000003</x:v>
      </x:c>
      <x:c r="CI286" s="23">
        <x:f t="shared" si="261"/>
        <x:v>0</x:v>
      </x:c>
      <x:c r="CJ286" s="24" t="s">
        <x:v>440</x:v>
      </x:c>
      <x:c r="CK286" s="29">
        <x:v>97.09</x:v>
      </x:c>
      <x:c r="CL286" s="26" t="s">
        <x:v>104</x:v>
      </x:c>
      <x:c r="CM286" s="28">
        <x:v>85</x:v>
      </x:c>
      <x:c r="CN286" s="30" t="s">
        <x:v>612</x:v>
      </x:c>
      <x:c r="CO286" s="27">
        <x:v>99.4</x:v>
      </x:c>
      <x:c r="CP286" s="27">
        <x:v>98.3</x:v>
      </x:c>
      <x:c r="CQ286" s="26">
        <x:f t="shared" si="262"/>
        <x:v>206.76579150600008</x:v>
      </x:c>
      <x:c r="CR286" s="26">
        <x:f t="shared" si="263"/>
        <x:v>982.66495950000012</x:v>
      </x:c>
      <x:c r="CS286" s="26">
        <x:f t="shared" si="264"/>
        <x:v>1817.2260000000001</x:v>
      </x:c>
      <x:c r="CT286" s="26" t="n">
        <x:f t="shared" ref="CT286:CT349" si="285">CD286*(1-CO286/100)</x:f>
        <x:v>158.27175277649718</x:v>
      </x:c>
      <x:c r="CU286" s="26" t="n">
        <x:f t="shared" ref="CU286:CU349" si="286">CE286*(1-CP286/100)</x:f>
        <x:v>116.98346944350008</x:v>
      </x:c>
      <x:c r="CV286" s="26" t="n">
        <x:f t="shared" ref="CV286:CV349" si="287">CF286*(1-CP286/100)</x:f>
        <x:v>0.23396693888700018</x:v>
      </x:c>
      <x:c r="CW286" s="26" t="n">
        <x:f t="shared" ref="CW286:CW349" si="288">CG286*(1-CP286/100)</x:f>
        <x:v>0</x:v>
      </x:c>
      <x:c r="CX286" s="26">
        <x:f t="shared" si="265"/>
        <x:v>36.344520000000003</x:v>
      </x:c>
      <x:c r="CY286" s="26">
        <x:f t="shared" si="266"/>
        <x:v>0</x:v>
      </x:c>
    </x:row>
    <x:row r="287" s="8" customFormat="1">
      <x:c r="A287" s="31">
        <x:v>2022</x:v>
      </x:c>
      <x:c r="B287" s="8" t="s">
        <x:v>613</x:v>
      </x:c>
      <x:c r="C287" s="8" t="s">
        <x:v>614</x:v>
      </x:c>
      <x:c r="D287" s="8" t="s">
        <x:v>615</x:v>
      </x:c>
      <x:c r="E287" s="31">
        <x:v>441362</x:v>
      </x:c>
      <x:c r="F287" s="8" t="s">
        <x:v>616</x:v>
      </x:c>
      <x:c r="G287" t="s">
        <x:v>589</x:v>
      </x:c>
      <x:c r="H287" s="31">
        <x:v>4411</x:v>
      </x:c>
      <x:c r="I287" s="8" t="s">
        <x:v>102</x:v>
      </x:c>
      <x:c r="J287" s="8" t="s">
        <x:v>617</x:v>
      </x:c>
      <x:c r="K287" s="8" t="s">
        <x:v>80</x:v>
      </x:c>
      <x:c r="L287" s="31">
        <x:v>18</x:v>
      </x:c>
      <x:c r="M287" s="8" t="s">
        <x:v>78</x:v>
      </x:c>
      <x:c r="N287" s="31">
        <x:v>203</x:v>
      </x:c>
      <x:c r="O287" s="8" t="s">
        <x:v>88</x:v>
      </x:c>
      <x:c r="P287" s="31">
        <x:v>15</x:v>
      </x:c>
      <x:c r="Q287" s="32" t="s">
        <x:v>96</x:v>
      </x:c>
      <x:c r="R287" s="31">
        <x:v>3307.59</x:v>
      </x:c>
      <x:c r="S287" s="8" t="s">
        <x:v>76</x:v>
      </x:c>
      <x:c r="T287" s="32">
        <x:f t="shared" si="283"/>
        <x:v>3307.59</x:v>
      </x:c>
      <x:c r="U287" s="32">
        <x:v>0.5</x:v>
      </x:c>
      <x:c r="V287" s="8" t="s">
        <x:v>77</x:v>
      </x:c>
      <x:c r="W287" s="32" t="s">
        <x:v>78</x:v>
      </x:c>
      <x:c r="X287" s="33" t="n">
        <x:f>2*U287*T287*10000/1000000000</x:f>
        <x:v>0.0330759</x:v>
      </x:c>
      <x:c r="Y287" s="21" t="n">
        <x:f>4.1*T287*10000/1000000</x:f>
        <x:v>135.61119</x:v>
      </x:c>
      <x:c r="Z287" s="21" t="n">
        <x:f>1.3*T287*10000/1000000</x:f>
        <x:v>42.99867</x:v>
      </x:c>
      <x:c r="AA287" s="21" t="n">
        <x:f>0.03*T287*10000/1000000</x:f>
        <x:v>0.992277</x:v>
      </x:c>
      <x:c r="AB287" s="21" t="n">
        <x:f>0.03*T287*10000/1000000</x:f>
        <x:v>0.992277</x:v>
      </x:c>
      <x:c r="AC287" s="33"/>
      <x:c r="AD287" s="33"/>
      <x:c r="AE287" s="21" t="n">
        <x:f>0.02*T287*10000/1000000</x:f>
        <x:v>0.6615180000000002</x:v>
      </x:c>
      <x:c r="AF287" s="33"/>
      <x:c r="AG287" s="32" t="s">
        <x:v>78</x:v>
      </x:c>
      <x:c r="AH287" s="8" t="s">
        <x:v>78</x:v>
      </x:c>
      <x:c r="AI287" s="8" t="s">
        <x:v>78</x:v>
      </x:c>
      <x:c r="AJ287" s="32"/>
      <x:c r="AK287" s="32" t="s">
        <x:v>78</x:v>
      </x:c>
      <x:c r="AL287" s="8" t="s">
        <x:v>78</x:v>
      </x:c>
      <x:c r="AM287" s="32" t="s">
        <x:v>78</x:v>
      </x:c>
      <x:c r="AN287" s="33"/>
      <x:c r="AO287" s="33"/>
      <x:c r="AP287" s="33"/>
      <x:c r="AQ287" s="33"/>
      <x:c r="AR287" s="33"/>
      <x:c r="AS287" s="33"/>
      <x:c r="AT287" s="33"/>
      <x:c r="AU287" s="33"/>
      <x:c r="AV287" s="33"/>
      <x:c r="AW287" s="8" t="s">
        <x:v>78</x:v>
      </x:c>
      <x:c r="AX287" s="32"/>
      <x:c r="AY287" s="33"/>
      <x:c r="AZ287" s="33"/>
      <x:c r="BA287" s="33"/>
      <x:c r="BB287" s="33"/>
      <x:c r="BC287" s="33"/>
      <x:c r="BD287" s="33"/>
      <x:c r="BE287" s="33"/>
      <x:c r="BF287" s="33"/>
      <x:c r="BG287" s="33"/>
      <x:c r="BH287" s="8" t="s">
        <x:v>81</x:v>
      </x:c>
      <x:c r="BI287" s="31">
        <x:v>114</x:v>
      </x:c>
      <x:c r="BJ287" s="31">
        <x:v>29</x:v>
      </x:c>
      <x:c r="BK287" s="31">
        <x:v>18</x:v>
      </x:c>
      <x:c r="BL287" s="31">
        <x:v>22</x:v>
      </x:c>
      <x:c r="BM287" s="31">
        <x:v>58</x:v>
      </x:c>
      <x:c r="BN287" s="31">
        <x:v>55</x:v>
      </x:c>
      <x:c r="BO287" s="22">
        <x:v>114.488333333333</x:v>
      </x:c>
      <x:c r="BP287" s="22">
        <x:v>22.981944444444402</x:v>
      </x:c>
      <x:c r="BQ287" s="31">
        <x:v>60</x:v>
      </x:c>
      <x:c r="BR287" s="31">
        <x:v>115768.63</x:v>
      </x:c>
      <x:c r="BS287" s="31">
        <x:v>0.16500000000000001</x:v>
      </x:c>
      <x:c r="BT287" s="31">
        <x:v>0.16500000000000001</x:v>
      </x:c>
      <x:c r="BU287" s="31">
        <x:v>18.402000000000001</x:v>
      </x:c>
      <x:c r="BV287" s="31">
        <x:v>18.402000000000001</x:v>
      </x:c>
      <x:c r="BW287" s="31">
        <x:v>0</x:v>
      </x:c>
      <x:c r="BX287" s="31">
        <x:v>0</x:v>
      </x:c>
      <x:c r="BY287" s="8" t="s">
        <x:v>78</x:v>
      </x:c>
      <x:c r="BZ287" s="8" t="s">
        <x:v>78</x:v>
      </x:c>
      <x:c r="CA287" s="23">
        <x:f t="shared" si="253"/>
        <x:v>3.3075899999999998E-2</x:v>
      </x:c>
      <x:c r="CB287" s="23">
        <x:f t="shared" si="254"/>
        <x:v>135.61118999999999</x:v>
      </x:c>
      <x:c r="CC287" s="23">
        <x:f t="shared" si="255"/>
        <x:v>42.998669999999997</x:v>
      </x:c>
      <x:c r="CD287" s="23">
        <x:f t="shared" si="256"/>
        <x:v>0.99227699999999996</x:v>
      </x:c>
      <x:c r="CE287" s="23">
        <x:f t="shared" si="257"/>
        <x:v>0.99227699999999996</x:v>
      </x:c>
      <x:c r="CF287" s="23">
        <x:f t="shared" si="258"/>
        <x:v>0</x:v>
      </x:c>
      <x:c r="CG287" s="23">
        <x:f t="shared" si="259"/>
        <x:v>0</x:v>
      </x:c>
      <x:c r="CH287" s="23">
        <x:f t="shared" si="260"/>
        <x:v>0.66151800000000016</x:v>
      </x:c>
      <x:c r="CI287" s="23">
        <x:f t="shared" si="261"/>
        <x:v>0</x:v>
      </x:c>
      <x:c r="CJ287" s="25" t="s">
        <x:v>78</x:v>
      </x:c>
      <x:c r="CK287" s="25">
        <x:v>0</x:v>
      </x:c>
      <x:c r="CL287" s="34" t="s">
        <x:v>78</x:v>
      </x:c>
      <x:c r="CM287" s="26">
        <x:v>42</x:v>
      </x:c>
      <x:c r="CN287" s="35" t="s">
        <x:v>78</x:v>
      </x:c>
      <x:c r="CO287" s="27">
        <x:v>0</x:v>
      </x:c>
      <x:c r="CP287" s="27">
        <x:v>0</x:v>
      </x:c>
      <x:c r="CQ287" s="26">
        <x:f t="shared" si="262"/>
        <x:v>3.3075899999999998E-2</x:v>
      </x:c>
      <x:c r="CR287" s="26">
        <x:f t="shared" si="263"/>
        <x:v>78.654490200000012</x:v>
      </x:c>
      <x:c r="CS287" s="26">
        <x:f t="shared" si="264"/>
        <x:v>42.998669999999997</x:v>
      </x:c>
      <x:c r="CT287" s="26">
        <x:f t="shared" si="285"/>
        <x:v>0.99227699999999996</x:v>
      </x:c>
      <x:c r="CU287" s="26">
        <x:f t="shared" si="286"/>
        <x:v>0.99227699999999996</x:v>
      </x:c>
      <x:c r="CV287" s="26">
        <x:f t="shared" si="287"/>
        <x:v>0</x:v>
      </x:c>
      <x:c r="CW287" s="26">
        <x:f t="shared" si="288"/>
        <x:v>0</x:v>
      </x:c>
      <x:c r="CX287" s="26">
        <x:f t="shared" si="265"/>
        <x:v>0.66151800000000016</x:v>
      </x:c>
      <x:c r="CY287" s="26">
        <x:f t="shared" si="266"/>
        <x:v>0</x:v>
      </x:c>
    </x:row>
    <x:row r="288" s="8" customFormat="1">
      <x:c r="A288" s="31">
        <x:v>2022</x:v>
      </x:c>
      <x:c r="B288" s="8" t="s">
        <x:v>613</x:v>
      </x:c>
      <x:c r="C288" s="8" t="s">
        <x:v>614</x:v>
      </x:c>
      <x:c r="D288" s="8" t="s">
        <x:v>615</x:v>
      </x:c>
      <x:c r="E288" s="31">
        <x:v>441362</x:v>
      </x:c>
      <x:c r="F288" s="8" t="s">
        <x:v>616</x:v>
      </x:c>
      <x:c r="G288" t="s">
        <x:v>589</x:v>
      </x:c>
      <x:c r="H288" s="31">
        <x:v>4411</x:v>
      </x:c>
      <x:c r="I288" s="8" t="s">
        <x:v>102</x:v>
      </x:c>
      <x:c r="J288" s="8" t="s">
        <x:v>617</x:v>
      </x:c>
      <x:c r="K288" s="8" t="s">
        <x:v>80</x:v>
      </x:c>
      <x:c r="L288" s="31">
        <x:v>18</x:v>
      </x:c>
      <x:c r="M288" s="8" t="s">
        <x:v>78</x:v>
      </x:c>
      <x:c r="N288" s="31">
        <x:v>203</x:v>
      </x:c>
      <x:c r="O288" s="8" t="s">
        <x:v>88</x:v>
      </x:c>
      <x:c r="P288" s="31">
        <x:v>15</x:v>
      </x:c>
      <x:c r="Q288" s="32" t="s">
        <x:v>96</x:v>
      </x:c>
      <x:c r="R288" s="31">
        <x:v>4209.6499999999996</x:v>
      </x:c>
      <x:c r="S288" s="8" t="s">
        <x:v>76</x:v>
      </x:c>
      <x:c r="T288" s="32">
        <x:f t="shared" si="283"/>
        <x:v>4209.6499999999996</x:v>
      </x:c>
      <x:c r="U288" s="32">
        <x:v>0.5</x:v>
      </x:c>
      <x:c r="V288" s="8" t="s">
        <x:v>77</x:v>
      </x:c>
      <x:c r="W288" s="32" t="s">
        <x:v>78</x:v>
      </x:c>
      <x:c r="X288" s="33" t="n">
        <x:f>2*U288*T288*10000/1000000000</x:f>
        <x:v>0.0420965</x:v>
      </x:c>
      <x:c r="Y288" s="21" t="n">
        <x:f>4.1*T288*10000/1000000</x:f>
        <x:v>172.59565</x:v>
      </x:c>
      <x:c r="Z288" s="21" t="n">
        <x:f>1.3*T288*10000/1000000</x:f>
        <x:v>54.72545</x:v>
      </x:c>
      <x:c r="AA288" s="21" t="n">
        <x:f>0.03*T288*10000/1000000</x:f>
        <x:v>1.262895</x:v>
      </x:c>
      <x:c r="AB288" s="21" t="n">
        <x:f>0.03*T288*10000/1000000</x:f>
        <x:v>1.262895</x:v>
      </x:c>
      <x:c r="AC288" s="33"/>
      <x:c r="AD288" s="33"/>
      <x:c r="AE288" s="21" t="n">
        <x:f>0.02*T288*10000/1000000</x:f>
        <x:v>0.84193</x:v>
      </x:c>
      <x:c r="AF288" s="33"/>
      <x:c r="AG288" s="32" t="s">
        <x:v>78</x:v>
      </x:c>
      <x:c r="AH288" s="8" t="s">
        <x:v>78</x:v>
      </x:c>
      <x:c r="AI288" s="8" t="s">
        <x:v>78</x:v>
      </x:c>
      <x:c r="AJ288" s="32"/>
      <x:c r="AK288" s="32" t="s">
        <x:v>78</x:v>
      </x:c>
      <x:c r="AL288" s="8" t="s">
        <x:v>78</x:v>
      </x:c>
      <x:c r="AM288" s="32" t="s">
        <x:v>78</x:v>
      </x:c>
      <x:c r="AN288" s="33"/>
      <x:c r="AO288" s="33"/>
      <x:c r="AP288" s="33"/>
      <x:c r="AQ288" s="33"/>
      <x:c r="AR288" s="33"/>
      <x:c r="AS288" s="33"/>
      <x:c r="AT288" s="33"/>
      <x:c r="AU288" s="33"/>
      <x:c r="AV288" s="33"/>
      <x:c r="AW288" s="8" t="s">
        <x:v>78</x:v>
      </x:c>
      <x:c r="AX288" s="32"/>
      <x:c r="AY288" s="33"/>
      <x:c r="AZ288" s="33"/>
      <x:c r="BA288" s="33"/>
      <x:c r="BB288" s="33"/>
      <x:c r="BC288" s="33"/>
      <x:c r="BD288" s="33"/>
      <x:c r="BE288" s="33"/>
      <x:c r="BF288" s="33"/>
      <x:c r="BG288" s="33"/>
      <x:c r="BH288" s="8" t="s">
        <x:v>79</x:v>
      </x:c>
      <x:c r="BI288" s="31">
        <x:v>114</x:v>
      </x:c>
      <x:c r="BJ288" s="31">
        <x:v>28</x:v>
      </x:c>
      <x:c r="BK288" s="31">
        <x:v>17</x:v>
      </x:c>
      <x:c r="BL288" s="31">
        <x:v>22</x:v>
      </x:c>
      <x:c r="BM288" s="31">
        <x:v>58</x:v>
      </x:c>
      <x:c r="BN288" s="31">
        <x:v>55</x:v>
      </x:c>
      <x:c r="BO288" s="22">
        <x:v>114.471388888889</x:v>
      </x:c>
      <x:c r="BP288" s="22">
        <x:v>22.981944444444402</x:v>
      </x:c>
      <x:c r="BQ288" s="31">
        <x:v>60</x:v>
      </x:c>
      <x:c r="BR288" s="31">
        <x:v>129060.69</x:v>
      </x:c>
      <x:c r="BS288" s="31">
        <x:v>0.14599999999999999</x:v>
      </x:c>
      <x:c r="BT288" s="31">
        <x:v>0.14599999999999999</x:v>
      </x:c>
      <x:c r="BU288" s="31">
        <x:v>25.939</x:v>
      </x:c>
      <x:c r="BV288" s="31">
        <x:v>25.939</x:v>
      </x:c>
      <x:c r="BW288" s="31">
        <x:v>3.0000000000000001E-3</x:v>
      </x:c>
      <x:c r="BX288" s="31">
        <x:v>3.0000000000000001E-3</x:v>
      </x:c>
      <x:c r="BY288" s="8" t="s">
        <x:v>78</x:v>
      </x:c>
      <x:c r="BZ288" s="8" t="s">
        <x:v>78</x:v>
      </x:c>
      <x:c r="CA288" s="23">
        <x:f t="shared" si="253"/>
        <x:v>4.2096500000000002E-2</x:v>
      </x:c>
      <x:c r="CB288" s="23">
        <x:f t="shared" si="254"/>
        <x:v>172.59565000000001</x:v>
      </x:c>
      <x:c r="CC288" s="23">
        <x:f t="shared" si="255"/>
        <x:v>54.725450000000002</x:v>
      </x:c>
      <x:c r="CD288" s="23">
        <x:f t="shared" si="256"/>
        <x:v>1.2628950000000001</x:v>
      </x:c>
      <x:c r="CE288" s="23">
        <x:f t="shared" si="257"/>
        <x:v>1.2628950000000001</x:v>
      </x:c>
      <x:c r="CF288" s="23">
        <x:f t="shared" si="258"/>
        <x:v>0</x:v>
      </x:c>
      <x:c r="CG288" s="23">
        <x:f t="shared" si="259"/>
        <x:v>0</x:v>
      </x:c>
      <x:c r="CH288" s="23">
        <x:f t="shared" si="260"/>
        <x:v>0.84192999999999996</x:v>
      </x:c>
      <x:c r="CI288" s="23">
        <x:f t="shared" si="261"/>
        <x:v>0</x:v>
      </x:c>
      <x:c r="CJ288" s="25" t="s">
        <x:v>78</x:v>
      </x:c>
      <x:c r="CK288" s="25">
        <x:v>0</x:v>
      </x:c>
      <x:c r="CL288" s="34" t="s">
        <x:v>78</x:v>
      </x:c>
      <x:c r="CM288" s="26">
        <x:v>42</x:v>
      </x:c>
      <x:c r="CN288" s="35" t="s">
        <x:v>78</x:v>
      </x:c>
      <x:c r="CO288" s="27">
        <x:v>0</x:v>
      </x:c>
      <x:c r="CP288" s="27">
        <x:v>0</x:v>
      </x:c>
      <x:c r="CQ288" s="26">
        <x:f t="shared" si="262"/>
        <x:v>4.2096500000000002E-2</x:v>
      </x:c>
      <x:c r="CR288" s="26">
        <x:f t="shared" si="263"/>
        <x:v>100.10547700000002</x:v>
      </x:c>
      <x:c r="CS288" s="26">
        <x:f t="shared" si="264"/>
        <x:v>54.725450000000002</x:v>
      </x:c>
      <x:c r="CT288" s="26">
        <x:f t="shared" si="285"/>
        <x:v>1.2628950000000001</x:v>
      </x:c>
      <x:c r="CU288" s="26">
        <x:f t="shared" si="286"/>
        <x:v>1.2628950000000001</x:v>
      </x:c>
      <x:c r="CV288" s="26">
        <x:f t="shared" si="287"/>
        <x:v>0</x:v>
      </x:c>
      <x:c r="CW288" s="26">
        <x:f t="shared" si="288"/>
        <x:v>0</x:v>
      </x:c>
      <x:c r="CX288" s="26">
        <x:f t="shared" si="265"/>
        <x:v>0.84192999999999996</x:v>
      </x:c>
      <x:c r="CY288" s="26">
        <x:f t="shared" si="266"/>
        <x:v>0</x:v>
      </x:c>
    </x:row>
    <x:row r="289">
      <x:c r="A289" s="18">
        <x:v>2022</x:v>
      </x:c>
      <x:c r="B289" t="s">
        <x:v>618</x:v>
      </x:c>
      <x:c r="C289" t="s">
        <x:v>619</x:v>
      </x:c>
      <x:c r="D289" t="s">
        <x:v>620</x:v>
      </x:c>
      <x:c r="E289" s="18">
        <x:v>441403</x:v>
      </x:c>
      <x:c r="F289" t="s">
        <x:v>621</x:v>
      </x:c>
      <x:c r="G289" t="s">
        <x:v>622</x:v>
      </x:c>
      <x:c r="H289" s="18">
        <x:v>4411</x:v>
      </x:c>
      <x:c r="I289" t="s">
        <x:v>102</x:v>
      </x:c>
      <x:c r="J289" t="s">
        <x:v>623</x:v>
      </x:c>
      <x:c r="K289" t="s">
        <x:v>109</x:v>
      </x:c>
      <x:c r="L289" s="20">
        <x:v>13.5</x:v>
      </x:c>
      <x:c r="M289" t="s">
        <x:v>125</x:v>
      </x:c>
      <x:c r="N289" s="18">
        <x:v>440</x:v>
      </x:c>
      <x:c r="O289" t="s">
        <x:v>88</x:v>
      </x:c>
      <x:c r="P289" s="18">
        <x:v>1</x:v>
      </x:c>
      <x:c r="Q289" s="19" t="s">
        <x:v>121</x:v>
      </x:c>
      <x:c r="R289" s="18">
        <x:v>163925.23000000001</x:v>
      </x:c>
      <x:c r="S289" t="s">
        <x:v>112</x:v>
      </x:c>
      <x:c r="T289" s="19" t="n">
        <x:f t="shared" ref="T289:T307" si="289">R289</x:f>
        <x:v>163925.23</x:v>
      </x:c>
      <x:c r="U289" s="20">
        <x:v>0.61</x:v>
      </x:c>
      <x:c r="V289" t="s">
        <x:v>113</x:v>
      </x:c>
      <x:c r="W289" s="20">
        <x:v>16.39</x:v>
      </x:c>
      <x:c r="X289" s="21" t="n">
        <x:f t="shared" ref="X289:X306" si="290">2*U289/100*(1-0.15)*T289</x:f>
        <x:v>1699.9046351</x:v>
      </x:c>
      <x:c r="Y289" s="21" t="n">
        <x:f>8.19*T289/1000</x:f>
        <x:v>1342.5476336999998</x:v>
      </x:c>
      <x:c r="Z289" s="21" t="n">
        <x:f t="shared" ref="Z289:Z306" si="291">2*T289/1000</x:f>
        <x:v>327.85046</x:v>
      </x:c>
      <x:c r="AA289" s="21" t="n">
        <x:f t="shared" ref="AA289:AA294" si="292">W289/100*(1-0.44)*0.29*T289</x:f>
        <x:v>4363.256859992801</x:v>
      </x:c>
      <x:c r="AB289" s="21" t="n">
        <x:f t="shared" ref="AB289:AB294" si="293">W289/100*(1-0.44)*0.07*T289</x:f>
        <x:v>1053.1999317224004</x:v>
      </x:c>
      <x:c r="AC289" s="21" t="n">
        <x:f t="shared" ref="AC289:AC294" si="294">0.002*AB289</x:f>
        <x:v>2.1063998634448007</x:v>
      </x:c>
      <x:c r="AD289" s="21"/>
      <x:c r="AE289" s="21" t="n">
        <x:f t="shared" ref="AE289:AE306" si="295">0.04*T289/1000</x:f>
        <x:v>6.5570092</x:v>
      </x:c>
      <x:c r="AF289" s="21"/>
      <x:c r="AG289" s="19" t="s">
        <x:v>78</x:v>
      </x:c>
      <x:c r="AH289" t="s">
        <x:v>78</x:v>
      </x:c>
      <x:c r="AI289" t="s">
        <x:v>78</x:v>
      </x:c>
      <x:c r="AJ289" s="19"/>
      <x:c r="AK289" s="19" t="s">
        <x:v>78</x:v>
      </x:c>
      <x:c r="AL289" t="s">
        <x:v>78</x:v>
      </x:c>
      <x:c r="AM289" s="19" t="s">
        <x:v>78</x:v>
      </x:c>
      <x:c r="AN289" s="21"/>
      <x:c r="AO289" s="21"/>
      <x:c r="AP289" s="21"/>
      <x:c r="AQ289" s="21"/>
      <x:c r="AR289" s="21"/>
      <x:c r="AS289" s="21"/>
      <x:c r="AT289" s="21"/>
      <x:c r="AU289" s="21"/>
      <x:c r="AV289" s="21"/>
      <x:c r="AW289" t="s">
        <x:v>78</x:v>
      </x:c>
      <x:c r="AX289" s="19"/>
      <x:c r="AY289" s="21"/>
      <x:c r="AZ289" s="21"/>
      <x:c r="BA289" s="21"/>
      <x:c r="BB289" s="21"/>
      <x:c r="BC289" s="21"/>
      <x:c r="BD289" s="21"/>
      <x:c r="BE289" s="21"/>
      <x:c r="BF289" s="21"/>
      <x:c r="BG289" s="21"/>
      <x:c r="BH289" t="s">
        <x:v>81</x:v>
      </x:c>
      <x:c r="BI289" s="18">
        <x:v>116</x:v>
      </x:c>
      <x:c r="BJ289" s="18">
        <x:v>15</x:v>
      </x:c>
      <x:c r="BK289" s="18">
        <x:v>25</x:v>
      </x:c>
      <x:c r="BL289" s="18">
        <x:v>24</x:v>
      </x:c>
      <x:c r="BM289" s="18">
        <x:v>23</x:v>
      </x:c>
      <x:c r="BN289" s="18">
        <x:v>30</x:v>
      </x:c>
      <x:c r="BO289" s="22">
        <x:v>116.256944444444</x:v>
      </x:c>
      <x:c r="BP289" s="22">
        <x:v>24.391666666666701</x:v>
      </x:c>
      <x:c r="BQ289" s="18">
        <x:v>180</x:v>
      </x:c>
      <x:c r="BR289" s="18">
        <x:v>118992</x:v>
      </x:c>
      <x:c r="BS289" s="18">
        <x:v>507.97199999999998</x:v>
      </x:c>
      <x:c r="BT289" s="18">
        <x:v>13.513</x:v>
      </x:c>
      <x:c r="BU289" s="18">
        <x:v>165.56399999999999</x:v>
      </x:c>
      <x:c r="BV289" s="18">
        <x:v>53.723999999999997</x:v>
      </x:c>
      <x:c r="BW289" s="18">
        <x:v>24338.684000000001</x:v>
      </x:c>
      <x:c r="BX289" s="18">
        <x:v>3.5750000000000002</x:v>
      </x:c>
      <x:c r="BY289" s="18">
        <x:v>2229.3829999999998</x:v>
      </x:c>
      <x:c r="BZ289" s="18">
        <x:v>2229.3829999999998</x:v>
      </x:c>
      <x:c r="CA289" s="23">
        <x:f t="shared" si="253"/>
        <x:v>1699.9046351</x:v>
      </x:c>
      <x:c r="CB289" s="23">
        <x:f t="shared" si="254"/>
        <x:v>1342.5476336999998</x:v>
      </x:c>
      <x:c r="CC289" s="23">
        <x:f t="shared" si="255"/>
        <x:v>327.85046</x:v>
      </x:c>
      <x:c r="CD289" s="23">
        <x:f t="shared" si="256"/>
        <x:v>4363.2568599928009</x:v>
      </x:c>
      <x:c r="CE289" s="23">
        <x:f t="shared" si="257"/>
        <x:v>1053.1999317224004</x:v>
      </x:c>
      <x:c r="CF289" s="23">
        <x:f t="shared" si="258"/>
        <x:v>2.1063998634448007</x:v>
      </x:c>
      <x:c r="CG289" s="23">
        <x:f t="shared" si="259"/>
        <x:v>0</x:v>
      </x:c>
      <x:c r="CH289" s="23">
        <x:f t="shared" si="260"/>
        <x:v>6.5570092000000004</x:v>
      </x:c>
      <x:c r="CI289" s="23">
        <x:f t="shared" si="261"/>
        <x:v>0</x:v>
      </x:c>
      <x:c r="CJ289" s="24" t="s">
        <x:v>624</x:v>
      </x:c>
      <x:c r="CK289" s="25">
        <x:v>90</x:v>
      </x:c>
      <x:c r="CL289" s="26" t="s">
        <x:v>127</x:v>
      </x:c>
      <x:c r="CM289" s="26">
        <x:v>70</x:v>
      </x:c>
      <x:c r="CN289" s="27" t="s">
        <x:v>625</x:v>
      </x:c>
      <x:c r="CO289" s="27">
        <x:v>99.8</x:v>
      </x:c>
      <x:c r="CP289" s="27">
        <x:v>99.6</x:v>
      </x:c>
      <x:c r="CQ289" s="26">
        <x:f t="shared" si="262"/>
        <x:v>169.99046350999996</x:v>
      </x:c>
      <x:c r="CR289" s="26">
        <x:f t="shared" si="263"/>
        <x:v>402.76429010999999</x:v>
      </x:c>
      <x:c r="CS289" s="26">
        <x:f t="shared" si="264"/>
        <x:v>327.85046</x:v>
      </x:c>
      <x:c r="CT289" s="26">
        <x:f t="shared" si="285"/>
        <x:v>8.7265137199856095</x:v>
      </x:c>
      <x:c r="CU289" s="26">
        <x:f t="shared" si="286"/>
        <x:v>4.2127997268896049</x:v>
      </x:c>
      <x:c r="CV289" s="26">
        <x:f t="shared" si="287"/>
        <x:v>8.425599453779211E-3</x:v>
      </x:c>
      <x:c r="CW289" s="26">
        <x:f t="shared" si="288"/>
        <x:v>0</x:v>
      </x:c>
      <x:c r="CX289" s="26">
        <x:f t="shared" si="265"/>
        <x:v>6.5570092000000004</x:v>
      </x:c>
      <x:c r="CY289" s="26">
        <x:f t="shared" si="266"/>
        <x:v>0</x:v>
      </x:c>
    </x:row>
    <x:row r="290">
      <x:c r="A290" s="18">
        <x:v>2022</x:v>
      </x:c>
      <x:c r="B290" t="s">
        <x:v>618</x:v>
      </x:c>
      <x:c r="C290" t="s">
        <x:v>619</x:v>
      </x:c>
      <x:c r="D290" t="s">
        <x:v>620</x:v>
      </x:c>
      <x:c r="E290" s="18">
        <x:v>441403</x:v>
      </x:c>
      <x:c r="F290" t="s">
        <x:v>621</x:v>
      </x:c>
      <x:c r="G290" t="s">
        <x:v>622</x:v>
      </x:c>
      <x:c r="H290" s="18">
        <x:v>4411</x:v>
      </x:c>
      <x:c r="I290" t="s">
        <x:v>102</x:v>
      </x:c>
      <x:c r="J290" t="s">
        <x:v>623</x:v>
      </x:c>
      <x:c r="K290" t="s">
        <x:v>109</x:v>
      </x:c>
      <x:c r="L290" s="20">
        <x:v>13.5</x:v>
      </x:c>
      <x:c r="M290" t="s">
        <x:v>125</x:v>
      </x:c>
      <x:c r="N290" s="18">
        <x:v>440</x:v>
      </x:c>
      <x:c r="O290" t="s">
        <x:v>88</x:v>
      </x:c>
      <x:c r="P290" s="18">
        <x:v>1</x:v>
      </x:c>
      <x:c r="Q290" s="19" t="s">
        <x:v>121</x:v>
      </x:c>
      <x:c r="R290" s="18">
        <x:v>173891.86</x:v>
      </x:c>
      <x:c r="S290" t="s">
        <x:v>112</x:v>
      </x:c>
      <x:c r="T290" s="19">
        <x:f t="shared" si="289"/>
        <x:v>173891.86</x:v>
      </x:c>
      <x:c r="U290" s="20">
        <x:v>0.61</x:v>
      </x:c>
      <x:c r="V290" t="s">
        <x:v>113</x:v>
      </x:c>
      <x:c r="W290" s="20">
        <x:v>16.73</x:v>
      </x:c>
      <x:c r="X290" s="21">
        <x:f t="shared" si="290"/>
        <x:v>1803.2585881999996</x:v>
      </x:c>
      <x:c r="Y290" s="21" t="n">
        <x:f>8.19*T290/1000</x:f>
        <x:v>1424.1743333999998</x:v>
      </x:c>
      <x:c r="Z290" s="21">
        <x:f t="shared" si="291"/>
        <x:v>347.78371999999996</x:v>
      </x:c>
      <x:c r="AA290" s="21">
        <x:f t="shared" si="292"/>
        <x:v>4724.5583681071994</x:v>
      </x:c>
      <x:c r="AB290" s="21">
        <x:f t="shared" si="293"/>
        <x:v>1140.4106405776001</x:v>
      </x:c>
      <x:c r="AC290" s="21">
        <x:f t="shared" si="294"/>
        <x:v>2.2808212811552004</x:v>
      </x:c>
      <x:c r="AD290" s="21"/>
      <x:c r="AE290" s="21">
        <x:f t="shared" si="295"/>
        <x:v>6.9556743999999995</x:v>
      </x:c>
      <x:c r="AF290" s="21"/>
      <x:c r="AG290" s="19" t="s">
        <x:v>78</x:v>
      </x:c>
      <x:c r="AH290" t="s">
        <x:v>78</x:v>
      </x:c>
      <x:c r="AI290" t="s">
        <x:v>78</x:v>
      </x:c>
      <x:c r="AJ290" s="19"/>
      <x:c r="AK290" s="19" t="s">
        <x:v>78</x:v>
      </x:c>
      <x:c r="AL290" t="s">
        <x:v>78</x:v>
      </x:c>
      <x:c r="AM290" s="19" t="s">
        <x:v>78</x:v>
      </x:c>
      <x:c r="AN290" s="21"/>
      <x:c r="AO290" s="21"/>
      <x:c r="AP290" s="21"/>
      <x:c r="AQ290" s="21"/>
      <x:c r="AR290" s="21"/>
      <x:c r="AS290" s="21"/>
      <x:c r="AT290" s="21"/>
      <x:c r="AU290" s="21"/>
      <x:c r="AV290" s="21"/>
      <x:c r="AW290" t="s">
        <x:v>78</x:v>
      </x:c>
      <x:c r="AX290" s="19"/>
      <x:c r="AY290" s="21"/>
      <x:c r="AZ290" s="21"/>
      <x:c r="BA290" s="21"/>
      <x:c r="BB290" s="21"/>
      <x:c r="BC290" s="21"/>
      <x:c r="BD290" s="21"/>
      <x:c r="BE290" s="21"/>
      <x:c r="BF290" s="21"/>
      <x:c r="BG290" s="21"/>
      <x:c r="BH290" t="s">
        <x:v>81</x:v>
      </x:c>
      <x:c r="BI290" s="18">
        <x:v>116</x:v>
      </x:c>
      <x:c r="BJ290" s="18">
        <x:v>15</x:v>
      </x:c>
      <x:c r="BK290" s="18">
        <x:v>25</x:v>
      </x:c>
      <x:c r="BL290" s="18">
        <x:v>24</x:v>
      </x:c>
      <x:c r="BM290" s="18">
        <x:v>23</x:v>
      </x:c>
      <x:c r="BN290" s="18">
        <x:v>30</x:v>
      </x:c>
      <x:c r="BO290" s="22">
        <x:v>116.256944444444</x:v>
      </x:c>
      <x:c r="BP290" s="22">
        <x:v>24.391666666666701</x:v>
      </x:c>
      <x:c r="BQ290" s="18">
        <x:v>180</x:v>
      </x:c>
      <x:c r="BR290" s="18">
        <x:v>121882</x:v>
      </x:c>
      <x:c r="BS290" s="18">
        <x:v>538.85599999999999</x:v>
      </x:c>
      <x:c r="BT290" s="18">
        <x:v>12.981</x:v>
      </x:c>
      <x:c r="BU290" s="18">
        <x:v>175.631</x:v>
      </x:c>
      <x:c r="BV290" s="18">
        <x:v>60.683</x:v>
      </x:c>
      <x:c r="BW290" s="18">
        <x:v>26191.54</x:v>
      </x:c>
      <x:c r="BX290" s="18">
        <x:v>3.9489999999999998</x:v>
      </x:c>
      <x:c r="BY290" s="18">
        <x:v>2364.9290000000001</x:v>
      </x:c>
      <x:c r="BZ290" s="18">
        <x:v>2364.9290000000001</x:v>
      </x:c>
      <x:c r="CA290" s="23">
        <x:f t="shared" si="253"/>
        <x:v>1803.2585881999996</x:v>
      </x:c>
      <x:c r="CB290" s="23">
        <x:f t="shared" si="254"/>
        <x:v>1424.1743333999998</x:v>
      </x:c>
      <x:c r="CC290" s="23">
        <x:f t="shared" si="255"/>
        <x:v>347.78371999999996</x:v>
      </x:c>
      <x:c r="CD290" s="23">
        <x:f t="shared" si="256"/>
        <x:v>4724.5583681071994</x:v>
      </x:c>
      <x:c r="CE290" s="23">
        <x:f t="shared" si="257"/>
        <x:v>1140.4106405776001</x:v>
      </x:c>
      <x:c r="CF290" s="23">
        <x:f t="shared" si="258"/>
        <x:v>2.2808212811552004</x:v>
      </x:c>
      <x:c r="CG290" s="23">
        <x:f t="shared" si="259"/>
        <x:v>0</x:v>
      </x:c>
      <x:c r="CH290" s="23">
        <x:f t="shared" si="260"/>
        <x:v>6.9556743999999995</x:v>
      </x:c>
      <x:c r="CI290" s="23">
        <x:f t="shared" si="261"/>
        <x:v>0</x:v>
      </x:c>
      <x:c r="CJ290" s="24" t="s">
        <x:v>624</x:v>
      </x:c>
      <x:c r="CK290" s="25">
        <x:v>90</x:v>
      </x:c>
      <x:c r="CL290" s="26" t="s">
        <x:v>127</x:v>
      </x:c>
      <x:c r="CM290" s="26">
        <x:v>70</x:v>
      </x:c>
      <x:c r="CN290" s="27" t="s">
        <x:v>625</x:v>
      </x:c>
      <x:c r="CO290" s="27">
        <x:v>99.8</x:v>
      </x:c>
      <x:c r="CP290" s="27">
        <x:v>99.6</x:v>
      </x:c>
      <x:c r="CQ290" s="26">
        <x:f t="shared" si="262"/>
        <x:v>180.32585881999992</x:v>
      </x:c>
      <x:c r="CR290" s="26">
        <x:f t="shared" si="263"/>
        <x:v>427.25230002000001</x:v>
      </x:c>
      <x:c r="CS290" s="26">
        <x:f t="shared" si="264"/>
        <x:v>347.78371999999996</x:v>
      </x:c>
      <x:c r="CT290" s="26">
        <x:f t="shared" si="285"/>
        <x:v>9.4491167362144068</x:v>
      </x:c>
      <x:c r="CU290" s="26">
        <x:f t="shared" si="286"/>
        <x:v>4.5616425623104044</x:v>
      </x:c>
      <x:c r="CV290" s="26">
        <x:f t="shared" si="287"/>
        <x:v>9.1232851246208103E-3</x:v>
      </x:c>
      <x:c r="CW290" s="26">
        <x:f t="shared" si="288"/>
        <x:v>0</x:v>
      </x:c>
      <x:c r="CX290" s="26">
        <x:f t="shared" si="265"/>
        <x:v>6.9556743999999995</x:v>
      </x:c>
      <x:c r="CY290" s="26">
        <x:f t="shared" si="266"/>
        <x:v>0</x:v>
      </x:c>
    </x:row>
    <x:row r="291">
      <x:c r="A291" s="18">
        <x:v>2022</x:v>
      </x:c>
      <x:c r="B291" t="s">
        <x:v>618</x:v>
      </x:c>
      <x:c r="C291" t="s">
        <x:v>619</x:v>
      </x:c>
      <x:c r="D291" t="s">
        <x:v>620</x:v>
      </x:c>
      <x:c r="E291" s="18">
        <x:v>441403</x:v>
      </x:c>
      <x:c r="F291" t="s">
        <x:v>621</x:v>
      </x:c>
      <x:c r="G291" t="s">
        <x:v>622</x:v>
      </x:c>
      <x:c r="H291" s="18">
        <x:v>4411</x:v>
      </x:c>
      <x:c r="I291" t="s">
        <x:v>102</x:v>
      </x:c>
      <x:c r="J291" t="s">
        <x:v>623</x:v>
      </x:c>
      <x:c r="K291" t="s">
        <x:v>109</x:v>
      </x:c>
      <x:c r="L291" s="20">
        <x:v>30</x:v>
      </x:c>
      <x:c r="M291" t="s">
        <x:v>125</x:v>
      </x:c>
      <x:c r="N291" s="18">
        <x:v>1025</x:v>
      </x:c>
      <x:c r="O291" t="s">
        <x:v>88</x:v>
      </x:c>
      <x:c r="P291" s="18">
        <x:v>1</x:v>
      </x:c>
      <x:c r="Q291" s="19" t="s">
        <x:v>121</x:v>
      </x:c>
      <x:c r="R291" s="18">
        <x:v>692735.56</x:v>
      </x:c>
      <x:c r="S291" t="s">
        <x:v>112</x:v>
      </x:c>
      <x:c r="T291" s="19">
        <x:f t="shared" si="289"/>
        <x:v>692735.56</x:v>
      </x:c>
      <x:c r="U291" s="20">
        <x:v>0.66</x:v>
      </x:c>
      <x:c r="V291" t="s">
        <x:v>113</x:v>
      </x:c>
      <x:c r="W291" s="20">
        <x:v>18.28</x:v>
      </x:c>
      <x:c r="X291" s="21">
        <x:f t="shared" si="290"/>
        <x:v>7772.4929831999998</x:v>
      </x:c>
      <x:c r="Y291" s="21" t="n">
        <x:f t="shared" ref="Y291:Y306" si="296">7.21*T291/1000</x:f>
        <x:v>4994.6233876</x:v>
      </x:c>
      <x:c r="Z291" s="21">
        <x:f t="shared" si="291"/>
        <x:v>1385.4711200000002</x:v>
      </x:c>
      <x:c r="AA291" s="21">
        <x:f t="shared" si="292"/>
        <x:v>20565.046603763203</x:v>
      </x:c>
      <x:c r="AB291" s="21">
        <x:f t="shared" si="293"/>
        <x:v>4963.9767664256015</x:v>
      </x:c>
      <x:c r="AC291" s="21">
        <x:f t="shared" si="294"/>
        <x:v>9.9279535328512036</x:v>
      </x:c>
      <x:c r="AD291" s="21"/>
      <x:c r="AE291" s="21">
        <x:f t="shared" si="295"/>
        <x:v>27.709422400000005</x:v>
      </x:c>
      <x:c r="AF291" s="21"/>
      <x:c r="AG291" s="19" t="s">
        <x:v>78</x:v>
      </x:c>
      <x:c r="AH291" t="s">
        <x:v>78</x:v>
      </x:c>
      <x:c r="AI291" t="s">
        <x:v>78</x:v>
      </x:c>
      <x:c r="AJ291" s="19"/>
      <x:c r="AK291" s="19" t="s">
        <x:v>78</x:v>
      </x:c>
      <x:c r="AL291" t="s">
        <x:v>78</x:v>
      </x:c>
      <x:c r="AM291" s="19" t="s">
        <x:v>78</x:v>
      </x:c>
      <x:c r="AN291" s="21"/>
      <x:c r="AO291" s="21"/>
      <x:c r="AP291" s="21"/>
      <x:c r="AQ291" s="21"/>
      <x:c r="AR291" s="21"/>
      <x:c r="AS291" s="21"/>
      <x:c r="AT291" s="21"/>
      <x:c r="AU291" s="21"/>
      <x:c r="AV291" s="21"/>
      <x:c r="AW291" t="s">
        <x:v>78</x:v>
      </x:c>
      <x:c r="AX291" s="19"/>
      <x:c r="AY291" s="21"/>
      <x:c r="AZ291" s="21"/>
      <x:c r="BA291" s="21"/>
      <x:c r="BB291" s="21"/>
      <x:c r="BC291" s="21"/>
      <x:c r="BD291" s="21"/>
      <x:c r="BE291" s="21"/>
      <x:c r="BF291" s="21"/>
      <x:c r="BG291" s="21"/>
      <x:c r="BH291" t="s">
        <x:v>79</x:v>
      </x:c>
      <x:c r="BI291" s="18">
        <x:v>116</x:v>
      </x:c>
      <x:c r="BJ291" s="18">
        <x:v>15</x:v>
      </x:c>
      <x:c r="BK291" s="18">
        <x:v>25</x:v>
      </x:c>
      <x:c r="BL291" s="18">
        <x:v>24</x:v>
      </x:c>
      <x:c r="BM291" s="18">
        <x:v>23</x:v>
      </x:c>
      <x:c r="BN291" s="18">
        <x:v>30</x:v>
      </x:c>
      <x:c r="BO291" s="22">
        <x:v>116.256944444444</x:v>
      </x:c>
      <x:c r="BP291" s="22">
        <x:v>24.391666666666701</x:v>
      </x:c>
      <x:c r="BQ291" s="18">
        <x:v>210</x:v>
      </x:c>
      <x:c r="BR291" s="18">
        <x:v>468267</x:v>
      </x:c>
      <x:c r="BS291" s="18">
        <x:v>1165.874</x:v>
      </x:c>
      <x:c r="BT291" s="18">
        <x:v>110.986</x:v>
      </x:c>
      <x:c r="BU291" s="18">
        <x:v>671.95299999999997</x:v>
      </x:c>
      <x:c r="BV291" s="18">
        <x:v>249.65199999999999</x:v>
      </x:c>
      <x:c r="BW291" s="18">
        <x:v>113447.363</x:v>
      </x:c>
      <x:c r="BX291" s="18">
        <x:v>19.88</x:v>
      </x:c>
      <x:c r="BY291" s="18">
        <x:v>9421.2039999999997</x:v>
      </x:c>
      <x:c r="BZ291" s="18">
        <x:v>9421.2039999999997</x:v>
      </x:c>
      <x:c r="CA291" s="23">
        <x:f t="shared" si="253"/>
        <x:v>7772.4929831999998</x:v>
      </x:c>
      <x:c r="CB291" s="23">
        <x:f t="shared" si="254"/>
        <x:v>4994.6233875999997</x:v>
      </x:c>
      <x:c r="CC291" s="23">
        <x:f t="shared" si="255"/>
        <x:v>1385.4711200000002</x:v>
      </x:c>
      <x:c r="CD291" s="23">
        <x:f t="shared" si="256"/>
        <x:v>20565.046603763203</x:v>
      </x:c>
      <x:c r="CE291" s="23">
        <x:f t="shared" si="257"/>
        <x:v>4963.9767664256015</x:v>
      </x:c>
      <x:c r="CF291" s="23">
        <x:f t="shared" si="258"/>
        <x:v>9.9279535328512036</x:v>
      </x:c>
      <x:c r="CG291" s="23">
        <x:f t="shared" si="259"/>
        <x:v>0</x:v>
      </x:c>
      <x:c r="CH291" s="23">
        <x:f t="shared" si="260"/>
        <x:v>27.709422400000005</x:v>
      </x:c>
      <x:c r="CI291" s="23">
        <x:f t="shared" si="261"/>
        <x:v>0</x:v>
      </x:c>
      <x:c r="CJ291" s="24" t="s">
        <x:v>624</x:v>
      </x:c>
      <x:c r="CK291" s="25">
        <x:v>90</x:v>
      </x:c>
      <x:c r="CL291" s="26" t="s">
        <x:v>127</x:v>
      </x:c>
      <x:c r="CM291" s="26">
        <x:v>70</x:v>
      </x:c>
      <x:c r="CN291" s="27" t="s">
        <x:v>625</x:v>
      </x:c>
      <x:c r="CO291" s="27">
        <x:v>99.8</x:v>
      </x:c>
      <x:c r="CP291" s="27">
        <x:v>99.6</x:v>
      </x:c>
      <x:c r="CQ291" s="26">
        <x:f t="shared" si="262"/>
        <x:v>777.24929831999975</x:v>
      </x:c>
      <x:c r="CR291" s="26">
        <x:f t="shared" si="263"/>
        <x:v>1498.3870162800001</x:v>
      </x:c>
      <x:c r="CS291" s="26">
        <x:f t="shared" si="264"/>
        <x:v>1385.4711200000002</x:v>
      </x:c>
      <x:c r="CT291" s="26">
        <x:f t="shared" si="285"/>
        <x:v>41.130093207526443</x:v>
      </x:c>
      <x:c r="CU291" s="26">
        <x:f t="shared" si="286"/>
        <x:v>19.855907065702425</x:v>
      </x:c>
      <x:c r="CV291" s="26">
        <x:f t="shared" si="287"/>
        <x:v>3.971181413140485E-2</x:v>
      </x:c>
      <x:c r="CW291" s="26">
        <x:f t="shared" si="288"/>
        <x:v>0</x:v>
      </x:c>
      <x:c r="CX291" s="26">
        <x:f t="shared" si="265"/>
        <x:v>27.709422400000005</x:v>
      </x:c>
      <x:c r="CY291" s="26">
        <x:f t="shared" si="266"/>
        <x:v>0</x:v>
      </x:c>
    </x:row>
    <x:row r="292">
      <x:c r="A292" s="18">
        <x:v>2022</x:v>
      </x:c>
      <x:c r="B292" t="s">
        <x:v>618</x:v>
      </x:c>
      <x:c r="C292" t="s">
        <x:v>619</x:v>
      </x:c>
      <x:c r="D292" t="s">
        <x:v>620</x:v>
      </x:c>
      <x:c r="E292" s="18">
        <x:v>441403</x:v>
      </x:c>
      <x:c r="F292" t="s">
        <x:v>621</x:v>
      </x:c>
      <x:c r="G292" t="s">
        <x:v>622</x:v>
      </x:c>
      <x:c r="H292" s="18">
        <x:v>4411</x:v>
      </x:c>
      <x:c r="I292" t="s">
        <x:v>102</x:v>
      </x:c>
      <x:c r="J292" t="s">
        <x:v>623</x:v>
      </x:c>
      <x:c r="K292" t="s">
        <x:v>109</x:v>
      </x:c>
      <x:c r="L292" s="20">
        <x:v>30</x:v>
      </x:c>
      <x:c r="M292" t="s">
        <x:v>125</x:v>
      </x:c>
      <x:c r="N292" s="18">
        <x:v>1025</x:v>
      </x:c>
      <x:c r="O292" t="s">
        <x:v>88</x:v>
      </x:c>
      <x:c r="P292" s="18">
        <x:v>1</x:v>
      </x:c>
      <x:c r="Q292" s="19" t="s">
        <x:v>121</x:v>
      </x:c>
      <x:c r="R292" s="18">
        <x:v>675797.92</x:v>
      </x:c>
      <x:c r="S292" t="s">
        <x:v>112</x:v>
      </x:c>
      <x:c r="T292" s="19">
        <x:f t="shared" si="289"/>
        <x:v>675797.92</x:v>
      </x:c>
      <x:c r="U292" s="20">
        <x:v>0.67</x:v>
      </x:c>
      <x:c r="V292" t="s">
        <x:v>113</x:v>
      </x:c>
      <x:c r="W292" s="20">
        <x:v>18.71</x:v>
      </x:c>
      <x:c r="X292" s="21">
        <x:f t="shared" si="290"/>
        <x:v>7697.338308800001</x:v>
      </x:c>
      <x:c r="Y292" s="21">
        <x:f t="shared" si="296"/>
        <x:v>4872.5030032000004</x:v>
      </x:c>
      <x:c r="Z292" s="21">
        <x:f t="shared" si="291"/>
        <x:v>1351.5958400000002</x:v>
      </x:c>
      <x:c r="AA292" s="21">
        <x:f t="shared" si="292"/>
        <x:v>20534.146831116806</x:v>
      </x:c>
      <x:c r="AB292" s="21">
        <x:f t="shared" si="293"/>
        <x:v>4956.5182006144014</x:v>
      </x:c>
      <x:c r="AC292" s="21">
        <x:f t="shared" si="294"/>
        <x:v>9.913036401228803</x:v>
      </x:c>
      <x:c r="AD292" s="21"/>
      <x:c r="AE292" s="21">
        <x:f t="shared" si="295"/>
        <x:v>27.031916800000001</x:v>
      </x:c>
      <x:c r="AF292" s="21"/>
      <x:c r="AG292" s="19" t="s">
        <x:v>78</x:v>
      </x:c>
      <x:c r="AH292" t="s">
        <x:v>78</x:v>
      </x:c>
      <x:c r="AI292" t="s">
        <x:v>78</x:v>
      </x:c>
      <x:c r="AJ292" s="19"/>
      <x:c r="AK292" s="19" t="s">
        <x:v>78</x:v>
      </x:c>
      <x:c r="AL292" t="s">
        <x:v>78</x:v>
      </x:c>
      <x:c r="AM292" s="19" t="s">
        <x:v>78</x:v>
      </x:c>
      <x:c r="AN292" s="21"/>
      <x:c r="AO292" s="21"/>
      <x:c r="AP292" s="21"/>
      <x:c r="AQ292" s="21"/>
      <x:c r="AR292" s="21"/>
      <x:c r="AS292" s="21"/>
      <x:c r="AT292" s="21"/>
      <x:c r="AU292" s="21"/>
      <x:c r="AV292" s="21"/>
      <x:c r="AW292" t="s">
        <x:v>78</x:v>
      </x:c>
      <x:c r="AX292" s="19"/>
      <x:c r="AY292" s="21"/>
      <x:c r="AZ292" s="21"/>
      <x:c r="BA292" s="21"/>
      <x:c r="BB292" s="21"/>
      <x:c r="BC292" s="21"/>
      <x:c r="BD292" s="21"/>
      <x:c r="BE292" s="21"/>
      <x:c r="BF292" s="21"/>
      <x:c r="BG292" s="21"/>
      <x:c r="BH292" t="s">
        <x:v>79</x:v>
      </x:c>
      <x:c r="BI292" s="18">
        <x:v>116</x:v>
      </x:c>
      <x:c r="BJ292" s="18">
        <x:v>15</x:v>
      </x:c>
      <x:c r="BK292" s="18">
        <x:v>25</x:v>
      </x:c>
      <x:c r="BL292" s="18">
        <x:v>24</x:v>
      </x:c>
      <x:c r="BM292" s="18">
        <x:v>23</x:v>
      </x:c>
      <x:c r="BN292" s="18">
        <x:v>30</x:v>
      </x:c>
      <x:c r="BO292" s="22">
        <x:v>116.256944444444</x:v>
      </x:c>
      <x:c r="BP292" s="22">
        <x:v>24.391666666666701</x:v>
      </x:c>
      <x:c r="BQ292" s="18">
        <x:v>210</x:v>
      </x:c>
      <x:c r="BR292" s="18">
        <x:v>489949</x:v>
      </x:c>
      <x:c r="BS292" s="18">
        <x:v>1154.6010000000001</x:v>
      </x:c>
      <x:c r="BT292" s="18">
        <x:v>126.85299999999999</x:v>
      </x:c>
      <x:c r="BU292" s="18">
        <x:v>655.524</x:v>
      </x:c>
      <x:c r="BV292" s="18">
        <x:v>258.86799999999999</x:v>
      </x:c>
      <x:c r="BW292" s="18">
        <x:v>110324.55100000001</x:v>
      </x:c>
      <x:c r="BX292" s="18">
        <x:v>22.776</x:v>
      </x:c>
      <x:c r="BY292" s="18">
        <x:v>9190.8520000000008</x:v>
      </x:c>
      <x:c r="BZ292" s="18">
        <x:v>9190.8520000000008</x:v>
      </x:c>
      <x:c r="CA292" s="23">
        <x:f t="shared" si="253"/>
        <x:v>7697.338308800001</x:v>
      </x:c>
      <x:c r="CB292" s="23">
        <x:f t="shared" si="254"/>
        <x:v>4872.5030032000004</x:v>
      </x:c>
      <x:c r="CC292" s="23">
        <x:f t="shared" si="255"/>
        <x:v>1351.5958400000002</x:v>
      </x:c>
      <x:c r="CD292" s="23">
        <x:f t="shared" si="256"/>
        <x:v>20534.146831116806</x:v>
      </x:c>
      <x:c r="CE292" s="23">
        <x:f t="shared" si="257"/>
        <x:v>4956.5182006144014</x:v>
      </x:c>
      <x:c r="CF292" s="23">
        <x:f t="shared" si="258"/>
        <x:v>9.913036401228803</x:v>
      </x:c>
      <x:c r="CG292" s="23">
        <x:f t="shared" si="259"/>
        <x:v>0</x:v>
      </x:c>
      <x:c r="CH292" s="23">
        <x:f t="shared" si="260"/>
        <x:v>27.031916800000001</x:v>
      </x:c>
      <x:c r="CI292" s="23">
        <x:f t="shared" si="261"/>
        <x:v>0</x:v>
      </x:c>
      <x:c r="CJ292" s="24" t="s">
        <x:v>624</x:v>
      </x:c>
      <x:c r="CK292" s="25">
        <x:v>90</x:v>
      </x:c>
      <x:c r="CL292" s="26" t="s">
        <x:v>127</x:v>
      </x:c>
      <x:c r="CM292" s="26">
        <x:v>70</x:v>
      </x:c>
      <x:c r="CN292" s="27" t="s">
        <x:v>625</x:v>
      </x:c>
      <x:c r="CO292" s="27">
        <x:v>99.8</x:v>
      </x:c>
      <x:c r="CP292" s="27">
        <x:v>99.6</x:v>
      </x:c>
      <x:c r="CQ292" s="26">
        <x:f t="shared" si="262"/>
        <x:v>769.73383087999991</x:v>
      </x:c>
      <x:c r="CR292" s="26">
        <x:f t="shared" si="263"/>
        <x:v>1461.7509009600003</x:v>
      </x:c>
      <x:c r="CS292" s="26">
        <x:f t="shared" si="264"/>
        <x:v>1351.5958400000002</x:v>
      </x:c>
      <x:c r="CT292" s="26">
        <x:f t="shared" si="285"/>
        <x:v>41.06829366223365</x:v>
      </x:c>
      <x:c r="CU292" s="26">
        <x:f t="shared" si="286"/>
        <x:v>19.826072802457624</x:v>
      </x:c>
      <x:c r="CV292" s="26">
        <x:f t="shared" si="287"/>
        <x:v>3.965214560491525E-2</x:v>
      </x:c>
      <x:c r="CW292" s="26">
        <x:f t="shared" si="288"/>
        <x:v>0</x:v>
      </x:c>
      <x:c r="CX292" s="26">
        <x:f t="shared" si="265"/>
        <x:v>27.031916800000001</x:v>
      </x:c>
      <x:c r="CY292" s="26">
        <x:f t="shared" si="266"/>
        <x:v>0</x:v>
      </x:c>
    </x:row>
    <x:row r="293">
      <x:c r="A293" s="18">
        <x:v>2022</x:v>
      </x:c>
      <x:c r="B293" t="s">
        <x:v>618</x:v>
      </x:c>
      <x:c r="C293" t="s">
        <x:v>619</x:v>
      </x:c>
      <x:c r="D293" t="s">
        <x:v>620</x:v>
      </x:c>
      <x:c r="E293" s="18">
        <x:v>441403</x:v>
      </x:c>
      <x:c r="F293" t="s">
        <x:v>621</x:v>
      </x:c>
      <x:c r="G293" t="s">
        <x:v>622</x:v>
      </x:c>
      <x:c r="H293" s="18">
        <x:v>4411</x:v>
      </x:c>
      <x:c r="I293" t="s">
        <x:v>102</x:v>
      </x:c>
      <x:c r="J293" t="s">
        <x:v>623</x:v>
      </x:c>
      <x:c r="K293" t="s">
        <x:v>109</x:v>
      </x:c>
      <x:c r="L293" s="20">
        <x:v>30</x:v>
      </x:c>
      <x:c r="M293" t="s">
        <x:v>125</x:v>
      </x:c>
      <x:c r="N293" s="18">
        <x:v>1025</x:v>
      </x:c>
      <x:c r="O293" t="s">
        <x:v>88</x:v>
      </x:c>
      <x:c r="P293" s="18">
        <x:v>1</x:v>
      </x:c>
      <x:c r="Q293" s="19" t="s">
        <x:v>121</x:v>
      </x:c>
      <x:c r="R293" s="18">
        <x:v>698716.31</x:v>
      </x:c>
      <x:c r="S293" t="s">
        <x:v>112</x:v>
      </x:c>
      <x:c r="T293" s="19">
        <x:f t="shared" si="289"/>
        <x:v>698716.31</x:v>
      </x:c>
      <x:c r="U293" s="20">
        <x:v>0.67</x:v>
      </x:c>
      <x:c r="V293" t="s">
        <x:v>113</x:v>
      </x:c>
      <x:c r="W293" s="20">
        <x:v>18.100000000000001</x:v>
      </x:c>
      <x:c r="X293" s="21">
        <x:f t="shared" si="290"/>
        <x:v>7958.3787709000017</x:v>
      </x:c>
      <x:c r="Y293" s="21">
        <x:f t="shared" si="296"/>
        <x:v>5037.7445951000009</x:v>
      </x:c>
      <x:c r="Z293" s="21">
        <x:f t="shared" si="291"/>
        <x:v>1397.43262</x:v>
      </x:c>
      <x:c r="AA293" s="21">
        <x:f t="shared" si="292"/>
        <x:v>20538.346702664006</x:v>
      </x:c>
      <x:c r="AB293" s="21">
        <x:f t="shared" si="293"/>
        <x:v>4957.5319627120016</x:v>
      </x:c>
      <x:c r="AC293" s="21">
        <x:f t="shared" si="294"/>
        <x:v>9.9150639254240041</x:v>
      </x:c>
      <x:c r="AD293" s="21"/>
      <x:c r="AE293" s="21">
        <x:f t="shared" si="295"/>
        <x:v>27.948652400000004</x:v>
      </x:c>
      <x:c r="AF293" s="21"/>
      <x:c r="AG293" s="19" t="s">
        <x:v>78</x:v>
      </x:c>
      <x:c r="AH293" t="s">
        <x:v>78</x:v>
      </x:c>
      <x:c r="AI293" t="s">
        <x:v>78</x:v>
      </x:c>
      <x:c r="AJ293" s="19"/>
      <x:c r="AK293" s="19" t="s">
        <x:v>78</x:v>
      </x:c>
      <x:c r="AL293" t="s">
        <x:v>78</x:v>
      </x:c>
      <x:c r="AM293" s="19" t="s">
        <x:v>78</x:v>
      </x:c>
      <x:c r="AN293" s="21"/>
      <x:c r="AO293" s="21"/>
      <x:c r="AP293" s="21"/>
      <x:c r="AQ293" s="21"/>
      <x:c r="AR293" s="21"/>
      <x:c r="AS293" s="21"/>
      <x:c r="AT293" s="21"/>
      <x:c r="AU293" s="21"/>
      <x:c r="AV293" s="21"/>
      <x:c r="AW293" t="s">
        <x:v>78</x:v>
      </x:c>
      <x:c r="AX293" s="19"/>
      <x:c r="AY293" s="21"/>
      <x:c r="AZ293" s="21"/>
      <x:c r="BA293" s="21"/>
      <x:c r="BB293" s="21"/>
      <x:c r="BC293" s="21"/>
      <x:c r="BD293" s="21"/>
      <x:c r="BE293" s="21"/>
      <x:c r="BF293" s="21"/>
      <x:c r="BG293" s="21"/>
      <x:c r="BH293" t="s">
        <x:v>82</x:v>
      </x:c>
      <x:c r="BI293" s="18">
        <x:v>116</x:v>
      </x:c>
      <x:c r="BJ293" s="18">
        <x:v>15</x:v>
      </x:c>
      <x:c r="BK293" s="18">
        <x:v>25</x:v>
      </x:c>
      <x:c r="BL293" s="18">
        <x:v>24</x:v>
      </x:c>
      <x:c r="BM293" s="18">
        <x:v>23</x:v>
      </x:c>
      <x:c r="BN293" s="18">
        <x:v>30</x:v>
      </x:c>
      <x:c r="BO293" s="22">
        <x:v>116.256944444444</x:v>
      </x:c>
      <x:c r="BP293" s="22">
        <x:v>24.391666666666701</x:v>
      </x:c>
      <x:c r="BQ293" s="18">
        <x:v>210</x:v>
      </x:c>
      <x:c r="BR293" s="18">
        <x:v>565162</x:v>
      </x:c>
      <x:c r="BS293" s="18">
        <x:v>1193.7570000000001</x:v>
      </x:c>
      <x:c r="BT293" s="18">
        <x:v>106.31100000000001</x:v>
      </x:c>
      <x:c r="BU293" s="18">
        <x:v>677.755</x:v>
      </x:c>
      <x:c r="BV293" s="18">
        <x:v>272.69099999999997</x:v>
      </x:c>
      <x:c r="BW293" s="18">
        <x:v>114065.997</x:v>
      </x:c>
      <x:c r="BX293" s="18">
        <x:v>20.257999999999999</x:v>
      </x:c>
      <x:c r="BY293" s="18">
        <x:v>9502.5419999999995</x:v>
      </x:c>
      <x:c r="BZ293" s="18">
        <x:v>9502.5419999999995</x:v>
      </x:c>
      <x:c r="CA293" s="23">
        <x:f t="shared" si="253"/>
        <x:v>7958.3787709000017</x:v>
      </x:c>
      <x:c r="CB293" s="23">
        <x:f t="shared" si="254"/>
        <x:v>5037.7445951000009</x:v>
      </x:c>
      <x:c r="CC293" s="23">
        <x:f t="shared" si="255"/>
        <x:v>1397.43262</x:v>
      </x:c>
      <x:c r="CD293" s="23">
        <x:f t="shared" si="256"/>
        <x:v>20538.346702664006</x:v>
      </x:c>
      <x:c r="CE293" s="23">
        <x:f t="shared" si="257"/>
        <x:v>4957.5319627120016</x:v>
      </x:c>
      <x:c r="CF293" s="23">
        <x:f t="shared" si="258"/>
        <x:v>9.9150639254240041</x:v>
      </x:c>
      <x:c r="CG293" s="23">
        <x:f t="shared" si="259"/>
        <x:v>0</x:v>
      </x:c>
      <x:c r="CH293" s="23">
        <x:f t="shared" si="260"/>
        <x:v>27.948652400000004</x:v>
      </x:c>
      <x:c r="CI293" s="23">
        <x:f t="shared" si="261"/>
        <x:v>0</x:v>
      </x:c>
      <x:c r="CJ293" s="24" t="s">
        <x:v>624</x:v>
      </x:c>
      <x:c r="CK293" s="25">
        <x:v>95</x:v>
      </x:c>
      <x:c r="CL293" s="26" t="s">
        <x:v>127</x:v>
      </x:c>
      <x:c r="CM293" s="26">
        <x:v>70</x:v>
      </x:c>
      <x:c r="CN293" s="27" t="s">
        <x:v>625</x:v>
      </x:c>
      <x:c r="CO293" s="27">
        <x:v>99.8</x:v>
      </x:c>
      <x:c r="CP293" s="27">
        <x:v>99.6</x:v>
      </x:c>
      <x:c r="CQ293" s="26">
        <x:f t="shared" si="262"/>
        <x:v>397.91893854500046</x:v>
      </x:c>
      <x:c r="CR293" s="26">
        <x:f t="shared" si="263"/>
        <x:v>1511.3233785300006</x:v>
      </x:c>
      <x:c r="CS293" s="26">
        <x:f t="shared" si="264"/>
        <x:v>1397.43262</x:v>
      </x:c>
      <x:c r="CT293" s="26">
        <x:f t="shared" si="285"/>
        <x:v>41.076693405328051</x:v>
      </x:c>
      <x:c r="CU293" s="26">
        <x:f t="shared" si="286"/>
        <x:v>19.830127850848022</x:v>
      </x:c>
      <x:c r="CV293" s="26">
        <x:f t="shared" si="287"/>
        <x:v>3.9660255701696054E-2</x:v>
      </x:c>
      <x:c r="CW293" s="26">
        <x:f t="shared" si="288"/>
        <x:v>0</x:v>
      </x:c>
      <x:c r="CX293" s="26">
        <x:f t="shared" si="265"/>
        <x:v>27.948652400000004</x:v>
      </x:c>
      <x:c r="CY293" s="26">
        <x:f t="shared" si="266"/>
        <x:v>0</x:v>
      </x:c>
    </x:row>
    <x:row r="294">
      <x:c r="A294" s="18">
        <x:v>2022</x:v>
      </x:c>
      <x:c r="B294" t="s">
        <x:v>618</x:v>
      </x:c>
      <x:c r="C294" t="s">
        <x:v>619</x:v>
      </x:c>
      <x:c r="D294" t="s">
        <x:v>620</x:v>
      </x:c>
      <x:c r="E294" s="18">
        <x:v>441403</x:v>
      </x:c>
      <x:c r="F294" t="s">
        <x:v>621</x:v>
      </x:c>
      <x:c r="G294" t="s">
        <x:v>622</x:v>
      </x:c>
      <x:c r="H294" s="18">
        <x:v>4411</x:v>
      </x:c>
      <x:c r="I294" t="s">
        <x:v>102</x:v>
      </x:c>
      <x:c r="J294" t="s">
        <x:v>623</x:v>
      </x:c>
      <x:c r="K294" t="s">
        <x:v>109</x:v>
      </x:c>
      <x:c r="L294" s="20">
        <x:v>30</x:v>
      </x:c>
      <x:c r="M294" t="s">
        <x:v>125</x:v>
      </x:c>
      <x:c r="N294" s="18">
        <x:v>1025</x:v>
      </x:c>
      <x:c r="O294" t="s">
        <x:v>88</x:v>
      </x:c>
      <x:c r="P294" s="18">
        <x:v>1</x:v>
      </x:c>
      <x:c r="Q294" s="19" t="s">
        <x:v>121</x:v>
      </x:c>
      <x:c r="R294" s="18">
        <x:v>632407.03</x:v>
      </x:c>
      <x:c r="S294" t="s">
        <x:v>112</x:v>
      </x:c>
      <x:c r="T294" s="19">
        <x:f t="shared" si="289"/>
        <x:v>632407.03</x:v>
      </x:c>
      <x:c r="U294" s="20">
        <x:v>0.66</x:v>
      </x:c>
      <x:c r="V294" t="s">
        <x:v>113</x:v>
      </x:c>
      <x:c r="W294" s="20">
        <x:v>19.8</x:v>
      </x:c>
      <x:c r="X294" s="21">
        <x:f t="shared" si="290"/>
        <x:v>7095.6068765999999</x:v>
      </x:c>
      <x:c r="Y294" s="21">
        <x:f t="shared" si="296"/>
        <x:v>4559.6546863000003</x:v>
      </x:c>
      <x:c r="Z294" s="21">
        <x:f t="shared" si="291"/>
        <x:v>1264.8140600000002</x:v>
      </x:c>
      <x:c r="AA294" s="21">
        <x:f t="shared" si="292"/>
        <x:v>20335.174531056004</x:v>
      </x:c>
      <x:c r="AB294" s="21">
        <x:f t="shared" si="293"/>
        <x:v>4908.4904040480014</x:v>
      </x:c>
      <x:c r="AC294" s="21">
        <x:f t="shared" si="294"/>
        <x:v>9.8169808080960035</x:v>
      </x:c>
      <x:c r="AD294" s="21"/>
      <x:c r="AE294" s="21">
        <x:f t="shared" si="295"/>
        <x:v>25.296281200000003</x:v>
      </x:c>
      <x:c r="AF294" s="21"/>
      <x:c r="AG294" s="19" t="s">
        <x:v>78</x:v>
      </x:c>
      <x:c r="AH294" t="s">
        <x:v>78</x:v>
      </x:c>
      <x:c r="AI294" t="s">
        <x:v>78</x:v>
      </x:c>
      <x:c r="AJ294" s="19"/>
      <x:c r="AK294" s="19" t="s">
        <x:v>78</x:v>
      </x:c>
      <x:c r="AL294" t="s">
        <x:v>78</x:v>
      </x:c>
      <x:c r="AM294" s="19" t="s">
        <x:v>78</x:v>
      </x:c>
      <x:c r="AN294" s="21"/>
      <x:c r="AO294" s="21"/>
      <x:c r="AP294" s="21"/>
      <x:c r="AQ294" s="21"/>
      <x:c r="AR294" s="21"/>
      <x:c r="AS294" s="21"/>
      <x:c r="AT294" s="21"/>
      <x:c r="AU294" s="21"/>
      <x:c r="AV294" s="21"/>
      <x:c r="AW294" t="s">
        <x:v>78</x:v>
      </x:c>
      <x:c r="AX294" s="19"/>
      <x:c r="AY294" s="21"/>
      <x:c r="AZ294" s="21"/>
      <x:c r="BA294" s="21"/>
      <x:c r="BB294" s="21"/>
      <x:c r="BC294" s="21"/>
      <x:c r="BD294" s="21"/>
      <x:c r="BE294" s="21"/>
      <x:c r="BF294" s="21"/>
      <x:c r="BG294" s="21"/>
      <x:c r="BH294" t="s">
        <x:v>82</x:v>
      </x:c>
      <x:c r="BI294" s="18">
        <x:v>116</x:v>
      </x:c>
      <x:c r="BJ294" s="18">
        <x:v>15</x:v>
      </x:c>
      <x:c r="BK294" s="18">
        <x:v>25</x:v>
      </x:c>
      <x:c r="BL294" s="18">
        <x:v>24</x:v>
      </x:c>
      <x:c r="BM294" s="18">
        <x:v>23</x:v>
      </x:c>
      <x:c r="BN294" s="18">
        <x:v>30</x:v>
      </x:c>
      <x:c r="BO294" s="22">
        <x:v>116.256944444444</x:v>
      </x:c>
      <x:c r="BP294" s="22">
        <x:v>24.391666666666701</x:v>
      </x:c>
      <x:c r="BQ294" s="18">
        <x:v>210</x:v>
      </x:c>
      <x:c r="BR294" s="18">
        <x:v>406823</x:v>
      </x:c>
      <x:c r="BS294" s="18">
        <x:v>1064.3409999999999</x:v>
      </x:c>
      <x:c r="BT294" s="18">
        <x:v>91.658000000000001</x:v>
      </x:c>
      <x:c r="BU294" s="18">
        <x:v>613.43499999999995</x:v>
      </x:c>
      <x:c r="BV294" s="18">
        <x:v>199.23099999999999</x:v>
      </x:c>
      <x:c r="BW294" s="18">
        <x:v>109633.071</x:v>
      </x:c>
      <x:c r="BX294" s="18">
        <x:v>12.648</x:v>
      </x:c>
      <x:c r="BY294" s="18">
        <x:v>8600.7360000000008</x:v>
      </x:c>
      <x:c r="BZ294" s="18">
        <x:v>8600.7360000000008</x:v>
      </x:c>
      <x:c r="CA294" s="23">
        <x:f t="shared" si="253"/>
        <x:v>7095.6068765999999</x:v>
      </x:c>
      <x:c r="CB294" s="23">
        <x:f t="shared" si="254"/>
        <x:v>4559.6546863000003</x:v>
      </x:c>
      <x:c r="CC294" s="23">
        <x:f t="shared" si="255"/>
        <x:v>1264.8140600000002</x:v>
      </x:c>
      <x:c r="CD294" s="23">
        <x:f t="shared" si="256"/>
        <x:v>20335.174531056004</x:v>
      </x:c>
      <x:c r="CE294" s="23">
        <x:f t="shared" si="257"/>
        <x:v>4908.4904040480014</x:v>
      </x:c>
      <x:c r="CF294" s="23">
        <x:f t="shared" si="258"/>
        <x:v>9.8169808080960035</x:v>
      </x:c>
      <x:c r="CG294" s="23">
        <x:f t="shared" si="259"/>
        <x:v>0</x:v>
      </x:c>
      <x:c r="CH294" s="23">
        <x:f t="shared" si="260"/>
        <x:v>25.296281200000003</x:v>
      </x:c>
      <x:c r="CI294" s="23">
        <x:f t="shared" si="261"/>
        <x:v>0</x:v>
      </x:c>
      <x:c r="CJ294" s="24" t="s">
        <x:v>624</x:v>
      </x:c>
      <x:c r="CK294" s="25">
        <x:v>95</x:v>
      </x:c>
      <x:c r="CL294" s="26" t="s">
        <x:v>127</x:v>
      </x:c>
      <x:c r="CM294" s="26">
        <x:v>70</x:v>
      </x:c>
      <x:c r="CN294" s="27" t="s">
        <x:v>625</x:v>
      </x:c>
      <x:c r="CO294" s="27">
        <x:v>99.8</x:v>
      </x:c>
      <x:c r="CP294" s="27">
        <x:v>99.6</x:v>
      </x:c>
      <x:c r="CQ294" s="26">
        <x:f t="shared" si="262"/>
        <x:v>354.78034383000033</x:v>
      </x:c>
      <x:c r="CR294" s="26">
        <x:f t="shared" si="263"/>
        <x:v>1367.8964058900003</x:v>
      </x:c>
      <x:c r="CS294" s="26">
        <x:f t="shared" si="264"/>
        <x:v>1264.8140600000002</x:v>
      </x:c>
      <x:c r="CT294" s="26">
        <x:f t="shared" si="285"/>
        <x:v>40.670349062112045</x:v>
      </x:c>
      <x:c r="CU294" s="26">
        <x:f t="shared" si="286"/>
        <x:v>19.633961616192025</x:v>
      </x:c>
      <x:c r="CV294" s="26">
        <x:f t="shared" si="287"/>
        <x:v>3.9267923232384046E-2</x:v>
      </x:c>
      <x:c r="CW294" s="26">
        <x:f t="shared" si="288"/>
        <x:v>0</x:v>
      </x:c>
      <x:c r="CX294" s="26">
        <x:f t="shared" si="265"/>
        <x:v>25.296281200000003</x:v>
      </x:c>
      <x:c r="CY294" s="26">
        <x:f t="shared" si="266"/>
        <x:v>0</x:v>
      </x:c>
    </x:row>
    <x:row r="295">
      <x:c r="A295" s="18">
        <x:v>2022</x:v>
      </x:c>
      <x:c r="B295" t="s">
        <x:v>626</x:v>
      </x:c>
      <x:c r="C295" t="s">
        <x:v>627</x:v>
      </x:c>
      <x:c r="D295" t="s">
        <x:v>628</x:v>
      </x:c>
      <x:c r="E295" s="18">
        <x:v>441422</x:v>
      </x:c>
      <x:c r="F295" t="s">
        <x:v>629</x:v>
      </x:c>
      <x:c r="G295" t="s">
        <x:v>622</x:v>
      </x:c>
      <x:c r="H295" s="18">
        <x:v>4411</x:v>
      </x:c>
      <x:c r="I295" t="s">
        <x:v>102</x:v>
      </x:c>
      <x:c r="J295" t="s">
        <x:v>78</x:v>
      </x:c>
      <x:c r="K295" t="s">
        <x:v>109</x:v>
      </x:c>
      <x:c r="L295" s="20">
        <x:v>66</x:v>
      </x:c>
      <x:c r="M295" t="s">
        <x:v>110</x:v>
      </x:c>
      <x:c r="N295" s="18">
        <x:v>2037</x:v>
      </x:c>
      <x:c r="O295" t="s">
        <x:v>88</x:v>
      </x:c>
      <x:c r="P295" s="18">
        <x:v>1</x:v>
      </x:c>
      <x:c r="Q295" s="19" t="s">
        <x:v>121</x:v>
      </x:c>
      <x:c r="R295" s="18">
        <x:v>1244675</x:v>
      </x:c>
      <x:c r="S295" t="s">
        <x:v>112</x:v>
      </x:c>
      <x:c r="T295" s="19">
        <x:f t="shared" si="289"/>
        <x:v>1244675</x:v>
      </x:c>
      <x:c r="U295" s="20">
        <x:v>0.84</x:v>
      </x:c>
      <x:c r="V295" t="s">
        <x:v>113</x:v>
      </x:c>
      <x:c r="W295" s="20">
        <x:v>18.670000000000002</x:v>
      </x:c>
      <x:c r="X295" s="21">
        <x:f t="shared" si="290"/>
        <x:v>17773.958999999999</x:v>
      </x:c>
      <x:c r="Y295" s="21">
        <x:f t="shared" si="296"/>
        <x:v>8974.1067500000008</x:v>
      </x:c>
      <x:c r="Z295" s="21">
        <x:f t="shared" si="291"/>
        <x:v>2489.35</x:v>
      </x:c>
      <x:c r="AA295" s="21" t="n">
        <x:f t="shared" ref="AA295:AA306" si="297">W295/100*(1-0.25)*0.23*T295</x:f>
        <x:v>40085.69188125001</x:v>
      </x:c>
      <x:c r="AB295" s="21" t="n">
        <x:f t="shared" ref="AB295:AB306" si="298">W295/100*(1-0.25)*0.06*T295</x:f>
        <x:v>10457.137012500001</x:v>
      </x:c>
      <x:c r="AC295" s="21" t="n">
        <x:f t="shared" ref="AC295:AC306" si="299">0.002*AB295</x:f>
        <x:v>20.914274025000005</x:v>
      </x:c>
      <x:c r="AD295" s="21"/>
      <x:c r="AE295" s="21">
        <x:f t="shared" si="295"/>
        <x:v>49.786999999999999</x:v>
      </x:c>
      <x:c r="AF295" s="21"/>
      <x:c r="AG295" s="19" t="s">
        <x:v>78</x:v>
      </x:c>
      <x:c r="AH295" t="s">
        <x:v>78</x:v>
      </x:c>
      <x:c r="AI295" t="s">
        <x:v>78</x:v>
      </x:c>
      <x:c r="AJ295" s="19"/>
      <x:c r="AK295" s="19" t="s">
        <x:v>78</x:v>
      </x:c>
      <x:c r="AL295" t="s">
        <x:v>78</x:v>
      </x:c>
      <x:c r="AM295" s="19" t="s">
        <x:v>78</x:v>
      </x:c>
      <x:c r="AN295" s="21"/>
      <x:c r="AO295" s="21"/>
      <x:c r="AP295" s="21"/>
      <x:c r="AQ295" s="21"/>
      <x:c r="AR295" s="21"/>
      <x:c r="AS295" s="21"/>
      <x:c r="AT295" s="21"/>
      <x:c r="AU295" s="21"/>
      <x:c r="AV295" s="21"/>
      <x:c r="AW295" t="s">
        <x:v>78</x:v>
      </x:c>
      <x:c r="AX295" s="19"/>
      <x:c r="AY295" s="21"/>
      <x:c r="AZ295" s="21"/>
      <x:c r="BA295" s="21"/>
      <x:c r="BB295" s="21"/>
      <x:c r="BC295" s="21"/>
      <x:c r="BD295" s="21"/>
      <x:c r="BE295" s="21"/>
      <x:c r="BF295" s="21"/>
      <x:c r="BG295" s="21"/>
      <x:c r="BH295" t="s">
        <x:v>81</x:v>
      </x:c>
      <x:c r="BI295" s="18">
        <x:v>116</x:v>
      </x:c>
      <x:c r="BJ295" s="18">
        <x:v>35</x:v>
      </x:c>
      <x:c r="BK295" s="18">
        <x:v>24</x:v>
      </x:c>
      <x:c r="BL295" s="18">
        <x:v>24</x:v>
      </x:c>
      <x:c r="BM295" s="18">
        <x:v>24</x:v>
      </x:c>
      <x:c r="BN295" s="18">
        <x:v>30</x:v>
      </x:c>
      <x:c r="BO295" s="22">
        <x:v>116.59</x:v>
      </x:c>
      <x:c r="BP295" s="22">
        <x:v>24.408333333333299</x:v>
      </x:c>
      <x:c r="BQ295" s="18">
        <x:v>210</x:v>
      </x:c>
      <x:c r="BR295" s="18">
        <x:v>1073038.57</x:v>
      </x:c>
      <x:c r="BS295" s="18">
        <x:v>17815.78</x:v>
      </x:c>
      <x:c r="BT295" s="18">
        <x:v>148.227</x:v>
      </x:c>
      <x:c r="BU295" s="18">
        <x:v>2700.9450000000002</x:v>
      </x:c>
      <x:c r="BV295" s="18">
        <x:v>548.83199999999999</x:v>
      </x:c>
      <x:c r="BW295" s="18">
        <x:v>225403.174</x:v>
      </x:c>
      <x:c r="BX295" s="18">
        <x:v>7.9089999999999998</x:v>
      </x:c>
      <x:c r="BY295" s="18">
        <x:v>8600.7039999999997</x:v>
      </x:c>
      <x:c r="BZ295" s="18">
        <x:v>8600.7039999999997</x:v>
      </x:c>
      <x:c r="CA295" s="23">
        <x:f t="shared" si="253"/>
        <x:v>17773.958999999999</x:v>
      </x:c>
      <x:c r="CB295" s="23">
        <x:f t="shared" si="254"/>
        <x:v>8974.1067500000008</x:v>
      </x:c>
      <x:c r="CC295" s="23">
        <x:f t="shared" si="255"/>
        <x:v>2489.35</x:v>
      </x:c>
      <x:c r="CD295" s="23">
        <x:f t="shared" si="256"/>
        <x:v>40085.691881250008</x:v>
      </x:c>
      <x:c r="CE295" s="23">
        <x:f t="shared" si="257"/>
        <x:v>10457.137012500001</x:v>
      </x:c>
      <x:c r="CF295" s="23">
        <x:f t="shared" si="258"/>
        <x:v>20.914274025000005</x:v>
      </x:c>
      <x:c r="CG295" s="23">
        <x:f t="shared" si="259"/>
        <x:v>0</x:v>
      </x:c>
      <x:c r="CH295" s="23">
        <x:f t="shared" si="260"/>
        <x:v>49.786999999999999</x:v>
      </x:c>
      <x:c r="CI295" s="23">
        <x:f t="shared" si="261"/>
        <x:v>0</x:v>
      </x:c>
      <x:c r="CJ295" s="24" t="s">
        <x:v>114</x:v>
      </x:c>
      <x:c r="CK295" s="29">
        <x:v>95</x:v>
      </x:c>
      <x:c r="CL295" s="26" t="s">
        <x:v>104</x:v>
      </x:c>
      <x:c r="CM295" s="28">
        <x:v>85</x:v>
      </x:c>
      <x:c r="CN295" s="30" t="s">
        <x:v>163</x:v>
      </x:c>
      <x:c r="CO295" s="27">
        <x:v>99.4</x:v>
      </x:c>
      <x:c r="CP295" s="27">
        <x:v>98.3</x:v>
      </x:c>
      <x:c r="CQ295" s="26">
        <x:f t="shared" si="262"/>
        <x:v>888.69795000000079</x:v>
      </x:c>
      <x:c r="CR295" s="26">
        <x:f t="shared" si="263"/>
        <x:v>1346.1160125000004</x:v>
      </x:c>
      <x:c r="CS295" s="26">
        <x:f t="shared" si="264"/>
        <x:v>2489.35</x:v>
      </x:c>
      <x:c r="CT295" s="26">
        <x:f t="shared" si="285"/>
        <x:v>240.51415128749582</x:v>
      </x:c>
      <x:c r="CU295" s="26">
        <x:f t="shared" si="286"/>
        <x:v>177.77132921250018</x:v>
      </x:c>
      <x:c r="CV295" s="26">
        <x:f t="shared" si="287"/>
        <x:v>0.35554265842500038</x:v>
      </x:c>
      <x:c r="CW295" s="26">
        <x:f t="shared" si="288"/>
        <x:v>0</x:v>
      </x:c>
      <x:c r="CX295" s="26">
        <x:f t="shared" si="265"/>
        <x:v>49.786999999999999</x:v>
      </x:c>
      <x:c r="CY295" s="26">
        <x:f t="shared" si="266"/>
        <x:v>0</x:v>
      </x:c>
    </x:row>
    <x:row r="296">
      <x:c r="A296" s="18">
        <x:v>2022</x:v>
      </x:c>
      <x:c r="B296" t="s">
        <x:v>626</x:v>
      </x:c>
      <x:c r="C296" t="s">
        <x:v>627</x:v>
      </x:c>
      <x:c r="D296" t="s">
        <x:v>628</x:v>
      </x:c>
      <x:c r="E296" s="18">
        <x:v>441422</x:v>
      </x:c>
      <x:c r="F296" t="s">
        <x:v>629</x:v>
      </x:c>
      <x:c r="G296" t="s">
        <x:v>622</x:v>
      </x:c>
      <x:c r="H296" s="18">
        <x:v>4411</x:v>
      </x:c>
      <x:c r="I296" t="s">
        <x:v>102</x:v>
      </x:c>
      <x:c r="J296" t="s">
        <x:v>78</x:v>
      </x:c>
      <x:c r="K296" t="s">
        <x:v>109</x:v>
      </x:c>
      <x:c r="L296" s="20">
        <x:v>66</x:v>
      </x:c>
      <x:c r="M296" t="s">
        <x:v>110</x:v>
      </x:c>
      <x:c r="N296" s="18">
        <x:v>2037</x:v>
      </x:c>
      <x:c r="O296" t="s">
        <x:v>88</x:v>
      </x:c>
      <x:c r="P296" s="18">
        <x:v>1</x:v>
      </x:c>
      <x:c r="Q296" s="19" t="s">
        <x:v>121</x:v>
      </x:c>
      <x:c r="R296" s="18">
        <x:v>1280046</x:v>
      </x:c>
      <x:c r="S296" t="s">
        <x:v>112</x:v>
      </x:c>
      <x:c r="T296" s="19">
        <x:f t="shared" si="289"/>
        <x:v>1280046</x:v>
      </x:c>
      <x:c r="U296" s="20">
        <x:v>0.82</x:v>
      </x:c>
      <x:c r="V296" t="s">
        <x:v>113</x:v>
      </x:c>
      <x:c r="W296" s="20">
        <x:v>18.47</x:v>
      </x:c>
      <x:c r="X296" s="21">
        <x:f t="shared" si="290"/>
        <x:v>17843.841239999998</x:v>
      </x:c>
      <x:c r="Y296" s="21">
        <x:f t="shared" si="296"/>
        <x:v>9229.1316600000009</x:v>
      </x:c>
      <x:c r="Z296" s="21">
        <x:f t="shared" si="291"/>
        <x:v>2560.0920000000001</x:v>
      </x:c>
      <x:c r="AA296" s="21">
        <x:f t="shared" si="297"/>
        <x:v>40783.2255945</x:v>
      </x:c>
      <x:c r="AB296" s="21">
        <x:f t="shared" si="298"/>
        <x:v>10639.102328999999</x:v>
      </x:c>
      <x:c r="AC296" s="21">
        <x:f t="shared" si="299"/>
        <x:v>21.278204658</x:v>
      </x:c>
      <x:c r="AD296" s="21"/>
      <x:c r="AE296" s="21">
        <x:f t="shared" si="295"/>
        <x:v>51.201840000000004</x:v>
      </x:c>
      <x:c r="AF296" s="21"/>
      <x:c r="AG296" s="19" t="s">
        <x:v>78</x:v>
      </x:c>
      <x:c r="AH296" t="s">
        <x:v>78</x:v>
      </x:c>
      <x:c r="AI296" t="s">
        <x:v>78</x:v>
      </x:c>
      <x:c r="AJ296" s="19"/>
      <x:c r="AK296" s="19" t="s">
        <x:v>78</x:v>
      </x:c>
      <x:c r="AL296" t="s">
        <x:v>78</x:v>
      </x:c>
      <x:c r="AM296" s="19" t="s">
        <x:v>78</x:v>
      </x:c>
      <x:c r="AN296" s="21"/>
      <x:c r="AO296" s="21"/>
      <x:c r="AP296" s="21"/>
      <x:c r="AQ296" s="21"/>
      <x:c r="AR296" s="21"/>
      <x:c r="AS296" s="21"/>
      <x:c r="AT296" s="21"/>
      <x:c r="AU296" s="21"/>
      <x:c r="AV296" s="21"/>
      <x:c r="AW296" t="s">
        <x:v>78</x:v>
      </x:c>
      <x:c r="AX296" s="19"/>
      <x:c r="AY296" s="21"/>
      <x:c r="AZ296" s="21"/>
      <x:c r="BA296" s="21"/>
      <x:c r="BB296" s="21"/>
      <x:c r="BC296" s="21"/>
      <x:c r="BD296" s="21"/>
      <x:c r="BE296" s="21"/>
      <x:c r="BF296" s="21"/>
      <x:c r="BG296" s="21"/>
      <x:c r="BH296" t="s">
        <x:v>79</x:v>
      </x:c>
      <x:c r="BI296" s="18">
        <x:v>116</x:v>
      </x:c>
      <x:c r="BJ296" s="18">
        <x:v>35</x:v>
      </x:c>
      <x:c r="BK296" s="18">
        <x:v>24</x:v>
      </x:c>
      <x:c r="BL296" s="18">
        <x:v>24</x:v>
      </x:c>
      <x:c r="BM296" s="18">
        <x:v>24</x:v>
      </x:c>
      <x:c r="BN296" s="18">
        <x:v>30</x:v>
      </x:c>
      <x:c r="BO296" s="22">
        <x:v>116.59</x:v>
      </x:c>
      <x:c r="BP296" s="22">
        <x:v>24.408333333333299</x:v>
      </x:c>
      <x:c r="BQ296" s="18">
        <x:v>210</x:v>
      </x:c>
      <x:c r="BR296" s="18">
        <x:v>1265397.2439999999</x:v>
      </x:c>
      <x:c r="BS296" s="18">
        <x:v>17885.827000000001</x:v>
      </x:c>
      <x:c r="BT296" s="18">
        <x:v>149.52600000000001</x:v>
      </x:c>
      <x:c r="BU296" s="18">
        <x:v>2777.7</x:v>
      </x:c>
      <x:c r="BV296" s="18">
        <x:v>562.20600000000002</x:v>
      </x:c>
      <x:c r="BW296" s="18">
        <x:v>229453.36600000001</x:v>
      </x:c>
      <x:c r="BX296" s="18">
        <x:v>8.1029999999999998</x:v>
      </x:c>
      <x:c r="BY296" s="18">
        <x:v>8845.1180000000004</x:v>
      </x:c>
      <x:c r="BZ296" s="18">
        <x:v>8845.1180000000004</x:v>
      </x:c>
      <x:c r="CA296" s="23">
        <x:f t="shared" si="253"/>
        <x:v>17843.841239999998</x:v>
      </x:c>
      <x:c r="CB296" s="23">
        <x:f t="shared" si="254"/>
        <x:v>9229.1316600000009</x:v>
      </x:c>
      <x:c r="CC296" s="23">
        <x:f t="shared" si="255"/>
        <x:v>2560.0920000000001</x:v>
      </x:c>
      <x:c r="CD296" s="23">
        <x:f t="shared" si="256"/>
        <x:v>40783.2255945</x:v>
      </x:c>
      <x:c r="CE296" s="23">
        <x:f t="shared" si="257"/>
        <x:v>10639.102328999999</x:v>
      </x:c>
      <x:c r="CF296" s="23">
        <x:f t="shared" si="258"/>
        <x:v>21.278204658</x:v>
      </x:c>
      <x:c r="CG296" s="23">
        <x:f t="shared" si="259"/>
        <x:v>0</x:v>
      </x:c>
      <x:c r="CH296" s="23">
        <x:f t="shared" si="260"/>
        <x:v>51.201840000000004</x:v>
      </x:c>
      <x:c r="CI296" s="23">
        <x:f t="shared" si="261"/>
        <x:v>0</x:v>
      </x:c>
      <x:c r="CJ296" s="24" t="s">
        <x:v>114</x:v>
      </x:c>
      <x:c r="CK296" s="29">
        <x:v>95</x:v>
      </x:c>
      <x:c r="CL296" s="26" t="s">
        <x:v>104</x:v>
      </x:c>
      <x:c r="CM296" s="28">
        <x:v>85</x:v>
      </x:c>
      <x:c r="CN296" s="30" t="s">
        <x:v>163</x:v>
      </x:c>
      <x:c r="CO296" s="27">
        <x:v>99.4</x:v>
      </x:c>
      <x:c r="CP296" s="27">
        <x:v>98.3</x:v>
      </x:c>
      <x:c r="CQ296" s="26">
        <x:f t="shared" si="262"/>
        <x:v>892.19206200000065</x:v>
      </x:c>
      <x:c r="CR296" s="26">
        <x:f t="shared" si="263"/>
        <x:v>1384.3697490000004</x:v>
      </x:c>
      <x:c r="CS296" s="26">
        <x:f t="shared" si="264"/>
        <x:v>2560.0920000000001</x:v>
      </x:c>
      <x:c r="CT296" s="26">
        <x:f t="shared" si="285"/>
        <x:v>244.69935356699568</x:v>
      </x:c>
      <x:c r="CU296" s="26">
        <x:f t="shared" si="286"/>
        <x:v>180.86473959300014</x:v>
      </x:c>
      <x:c r="CV296" s="26">
        <x:f t="shared" si="287"/>
        <x:v>0.36172947918600035</x:v>
      </x:c>
      <x:c r="CW296" s="26">
        <x:f t="shared" si="288"/>
        <x:v>0</x:v>
      </x:c>
      <x:c r="CX296" s="26">
        <x:f t="shared" si="265"/>
        <x:v>51.201840000000004</x:v>
      </x:c>
      <x:c r="CY296" s="26">
        <x:f t="shared" si="266"/>
        <x:v>0</x:v>
      </x:c>
    </x:row>
    <x:row r="297">
      <x:c r="A297" s="18">
        <x:v>2022</x:v>
      </x:c>
      <x:c r="B297" t="s">
        <x:v>630</x:v>
      </x:c>
      <x:c r="C297" t="s">
        <x:v>631</x:v>
      </x:c>
      <x:c r="D297" t="s">
        <x:v>632</x:v>
      </x:c>
      <x:c r="E297" s="18">
        <x:v>441502</x:v>
      </x:c>
      <x:c r="F297" t="s">
        <x:v>633</x:v>
      </x:c>
      <x:c r="G297" t="s">
        <x:v>634</x:v>
      </x:c>
      <x:c r="H297" s="18">
        <x:v>4411</x:v>
      </x:c>
      <x:c r="I297" t="s">
        <x:v>102</x:v>
      </x:c>
      <x:c r="J297" t="s">
        <x:v>78</x:v>
      </x:c>
      <x:c r="K297" t="s">
        <x:v>109</x:v>
      </x:c>
      <x:c r="L297" s="20">
        <x:v>60</x:v>
      </x:c>
      <x:c r="M297" t="s">
        <x:v>110</x:v>
      </x:c>
      <x:c r="N297" s="18">
        <x:v>1950.2</x:v>
      </x:c>
      <x:c r="O297" t="s">
        <x:v>88</x:v>
      </x:c>
      <x:c r="P297" s="18">
        <x:v>4</x:v>
      </x:c>
      <x:c r="Q297" s="19" t="s">
        <x:v>111</x:v>
      </x:c>
      <x:c r="R297" s="18">
        <x:v>1478986.87</x:v>
      </x:c>
      <x:c r="S297" t="s">
        <x:v>112</x:v>
      </x:c>
      <x:c r="T297" s="19">
        <x:f t="shared" si="289"/>
        <x:v>1478986.87</x:v>
      </x:c>
      <x:c r="U297" s="20">
        <x:v>0.65</x:v>
      </x:c>
      <x:c r="V297" t="s">
        <x:v>113</x:v>
      </x:c>
      <x:c r="W297" s="20">
        <x:v>12.93</x:v>
      </x:c>
      <x:c r="X297" s="21">
        <x:f t="shared" si="290"/>
        <x:v>16342.804913500002</x:v>
      </x:c>
      <x:c r="Y297" s="21">
        <x:f t="shared" si="296"/>
        <x:v>10663.4953327</x:v>
      </x:c>
      <x:c r="Z297" s="21">
        <x:f t="shared" si="291"/>
        <x:v>2957.9737400000004</x:v>
      </x:c>
      <x:c r="AA297" s="21">
        <x:f t="shared" si="297"/>
        <x:v>32987.692895197506</x:v>
      </x:c>
      <x:c r="AB297" s="21">
        <x:f t="shared" si="298"/>
        <x:v>8605.4851030950013</x:v>
      </x:c>
      <x:c r="AC297" s="21">
        <x:f t="shared" si="299"/>
        <x:v>17.210970206190002</x:v>
      </x:c>
      <x:c r="AD297" s="21"/>
      <x:c r="AE297" s="21">
        <x:f t="shared" si="295"/>
        <x:v>59.159474800000005</x:v>
      </x:c>
      <x:c r="AF297" s="21"/>
      <x:c r="AG297" s="19" t="s">
        <x:v>78</x:v>
      </x:c>
      <x:c r="AH297" t="s">
        <x:v>78</x:v>
      </x:c>
      <x:c r="AI297" t="s">
        <x:v>78</x:v>
      </x:c>
      <x:c r="AJ297" s="19"/>
      <x:c r="AK297" s="19" t="s">
        <x:v>78</x:v>
      </x:c>
      <x:c r="AL297" t="s">
        <x:v>78</x:v>
      </x:c>
      <x:c r="AM297" s="19" t="s">
        <x:v>78</x:v>
      </x:c>
      <x:c r="AN297" s="21"/>
      <x:c r="AO297" s="21"/>
      <x:c r="AP297" s="21"/>
      <x:c r="AQ297" s="21"/>
      <x:c r="AR297" s="21"/>
      <x:c r="AS297" s="21"/>
      <x:c r="AT297" s="21"/>
      <x:c r="AU297" s="21"/>
      <x:c r="AV297" s="21"/>
      <x:c r="AW297" t="s">
        <x:v>78</x:v>
      </x:c>
      <x:c r="AX297" s="19"/>
      <x:c r="AY297" s="21"/>
      <x:c r="AZ297" s="21"/>
      <x:c r="BA297" s="21"/>
      <x:c r="BB297" s="21"/>
      <x:c r="BC297" s="21"/>
      <x:c r="BD297" s="21"/>
      <x:c r="BE297" s="21"/>
      <x:c r="BF297" s="21"/>
      <x:c r="BG297" s="21"/>
      <x:c r="BH297" t="s">
        <x:v>81</x:v>
      </x:c>
      <x:c r="BI297" s="18">
        <x:v>115</x:v>
      </x:c>
      <x:c r="BJ297" s="18">
        <x:v>33</x:v>
      </x:c>
      <x:c r="BK297" s="18">
        <x:v>21</x:v>
      </x:c>
      <x:c r="BL297" s="18">
        <x:v>22</x:v>
      </x:c>
      <x:c r="BM297" s="18">
        <x:v>42</x:v>
      </x:c>
      <x:c r="BN297" s="18">
        <x:v>23</x:v>
      </x:c>
      <x:c r="BO297" s="22">
        <x:v>115.555833333333</x:v>
      </x:c>
      <x:c r="BP297" s="22">
        <x:v>22.706388888888899</x:v>
      </x:c>
      <x:c r="BQ297" s="18">
        <x:v>210</x:v>
      </x:c>
      <x:c r="BR297" s="18">
        <x:v>1100139.19</x:v>
      </x:c>
      <x:c r="BS297" s="18">
        <x:v>16381.259</x:v>
      </x:c>
      <x:c r="BT297" s="18">
        <x:v>142.517</x:v>
      </x:c>
      <x:c r="BU297" s="18">
        <x:v>3209.402</x:v>
      </x:c>
      <x:c r="BV297" s="18">
        <x:v>647.01499999999999</x:v>
      </x:c>
      <x:c r="BW297" s="18">
        <x:v>189733.31</x:v>
      </x:c>
      <x:c r="BX297" s="18">
        <x:v>39.387</x:v>
      </x:c>
      <x:c r="BY297" s="18">
        <x:v>17452.044999999998</x:v>
      </x:c>
      <x:c r="BZ297" s="18">
        <x:v>17452.044999999998</x:v>
      </x:c>
      <x:c r="CA297" s="23">
        <x:f t="shared" si="253"/>
        <x:v>16342.804913500002</x:v>
      </x:c>
      <x:c r="CB297" s="23">
        <x:f t="shared" si="254"/>
        <x:v>10663.4953327</x:v>
      </x:c>
      <x:c r="CC297" s="23">
        <x:f t="shared" si="255"/>
        <x:v>2957.9737400000004</x:v>
      </x:c>
      <x:c r="CD297" s="23">
        <x:f t="shared" si="256"/>
        <x:v>32987.692895197506</x:v>
      </x:c>
      <x:c r="CE297" s="23">
        <x:f t="shared" si="257"/>
        <x:v>8605.4851030950013</x:v>
      </x:c>
      <x:c r="CF297" s="23">
        <x:f t="shared" si="258"/>
        <x:v>17.210970206190002</x:v>
      </x:c>
      <x:c r="CG297" s="23">
        <x:f t="shared" si="259"/>
        <x:v>0</x:v>
      </x:c>
      <x:c r="CH297" s="23">
        <x:f t="shared" si="260"/>
        <x:v>59.159474800000005</x:v>
      </x:c>
      <x:c r="CI297" s="23">
        <x:f t="shared" si="261"/>
        <x:v>0</x:v>
      </x:c>
      <x:c r="CJ297" s="24" t="s">
        <x:v>356</x:v>
      </x:c>
      <x:c r="CK297" s="29">
        <x:v>99.4</x:v>
      </x:c>
      <x:c r="CL297" s="26" t="s">
        <x:v>104</x:v>
      </x:c>
      <x:c r="CM297" s="28">
        <x:v>83</x:v>
      </x:c>
      <x:c r="CN297" s="27" t="s">
        <x:v>78</x:v>
      </x:c>
      <x:c r="CO297" s="27">
        <x:v>99.4</x:v>
      </x:c>
      <x:c r="CP297" s="27">
        <x:v>98.3</x:v>
      </x:c>
      <x:c r="CQ297" s="26">
        <x:f t="shared" si="262"/>
        <x:v>98.056829480998289</x:v>
      </x:c>
      <x:c r="CR297" s="26">
        <x:f t="shared" si="263"/>
        <x:v>1812.7942065590005</x:v>
      </x:c>
      <x:c r="CS297" s="26">
        <x:f t="shared" si="264"/>
        <x:v>2957.9737400000004</x:v>
      </x:c>
      <x:c r="CT297" s="26">
        <x:f t="shared" si="285"/>
        <x:v>197.92615737118155</x:v>
      </x:c>
      <x:c r="CU297" s="26">
        <x:f t="shared" si="286"/>
        <x:v>146.29324675261515</x:v>
      </x:c>
      <x:c r="CV297" s="26">
        <x:f t="shared" si="287"/>
        <x:v>0.29258649350523031</x:v>
      </x:c>
      <x:c r="CW297" s="26">
        <x:f t="shared" si="288"/>
        <x:v>0</x:v>
      </x:c>
      <x:c r="CX297" s="26">
        <x:f t="shared" si="265"/>
        <x:v>59.159474800000005</x:v>
      </x:c>
      <x:c r="CY297" s="26">
        <x:f t="shared" si="266"/>
        <x:v>0</x:v>
      </x:c>
    </x:row>
    <x:row r="298">
      <x:c r="A298" s="18">
        <x:v>2022</x:v>
      </x:c>
      <x:c r="B298" t="s">
        <x:v>630</x:v>
      </x:c>
      <x:c r="C298" t="s">
        <x:v>631</x:v>
      </x:c>
      <x:c r="D298" t="s">
        <x:v>632</x:v>
      </x:c>
      <x:c r="E298" s="18">
        <x:v>441502</x:v>
      </x:c>
      <x:c r="F298" t="s">
        <x:v>633</x:v>
      </x:c>
      <x:c r="G298" t="s">
        <x:v>634</x:v>
      </x:c>
      <x:c r="H298" s="18">
        <x:v>4411</x:v>
      </x:c>
      <x:c r="I298" t="s">
        <x:v>102</x:v>
      </x:c>
      <x:c r="J298" t="s">
        <x:v>78</x:v>
      </x:c>
      <x:c r="K298" t="s">
        <x:v>109</x:v>
      </x:c>
      <x:c r="L298" s="20">
        <x:v>60</x:v>
      </x:c>
      <x:c r="M298" t="s">
        <x:v>110</x:v>
      </x:c>
      <x:c r="N298" s="18">
        <x:v>1950.2</x:v>
      </x:c>
      <x:c r="O298" t="s">
        <x:v>88</x:v>
      </x:c>
      <x:c r="P298" s="18">
        <x:v>4</x:v>
      </x:c>
      <x:c r="Q298" s="19" t="s">
        <x:v>111</x:v>
      </x:c>
      <x:c r="R298" s="18">
        <x:v>1531451.91</x:v>
      </x:c>
      <x:c r="S298" t="s">
        <x:v>112</x:v>
      </x:c>
      <x:c r="T298" s="19">
        <x:f t="shared" si="289"/>
        <x:v>1531451.91</x:v>
      </x:c>
      <x:c r="U298" s="20">
        <x:v>0.66</x:v>
      </x:c>
      <x:c r="V298" t="s">
        <x:v>113</x:v>
      </x:c>
      <x:c r="W298" s="20">
        <x:v>12.7</x:v>
      </x:c>
      <x:c r="X298" s="21">
        <x:f t="shared" si="290"/>
        <x:v>17182.890430199997</x:v>
      </x:c>
      <x:c r="Y298" s="21">
        <x:f t="shared" si="296"/>
        <x:v>11041.7682711</x:v>
      </x:c>
      <x:c r="Z298" s="21">
        <x:f t="shared" si="291"/>
        <x:v>3062.90382</x:v>
      </x:c>
      <x:c r="AA298" s="21">
        <x:f t="shared" si="297"/>
        <x:v>33550.282718324997</x:v>
      </x:c>
      <x:c r="AB298" s="21">
        <x:f t="shared" si="298"/>
        <x:v>8752.2476656499985</x:v>
      </x:c>
      <x:c r="AC298" s="21">
        <x:f t="shared" si="299"/>
        <x:v>17.504495331299996</x:v>
      </x:c>
      <x:c r="AD298" s="21"/>
      <x:c r="AE298" s="21">
        <x:f t="shared" si="295"/>
        <x:v>61.2580764</x:v>
      </x:c>
      <x:c r="AF298" s="21"/>
      <x:c r="AG298" s="19" t="s">
        <x:v>78</x:v>
      </x:c>
      <x:c r="AH298" t="s">
        <x:v>78</x:v>
      </x:c>
      <x:c r="AI298" t="s">
        <x:v>78</x:v>
      </x:c>
      <x:c r="AJ298" s="19"/>
      <x:c r="AK298" s="19" t="s">
        <x:v>78</x:v>
      </x:c>
      <x:c r="AL298" t="s">
        <x:v>78</x:v>
      </x:c>
      <x:c r="AM298" s="19" t="s">
        <x:v>78</x:v>
      </x:c>
      <x:c r="AN298" s="21"/>
      <x:c r="AO298" s="21"/>
      <x:c r="AP298" s="21"/>
      <x:c r="AQ298" s="21"/>
      <x:c r="AR298" s="21"/>
      <x:c r="AS298" s="21"/>
      <x:c r="AT298" s="21"/>
      <x:c r="AU298" s="21"/>
      <x:c r="AV298" s="21"/>
      <x:c r="AW298" t="s">
        <x:v>78</x:v>
      </x:c>
      <x:c r="AX298" s="19"/>
      <x:c r="AY298" s="21"/>
      <x:c r="AZ298" s="21"/>
      <x:c r="BA298" s="21"/>
      <x:c r="BB298" s="21"/>
      <x:c r="BC298" s="21"/>
      <x:c r="BD298" s="21"/>
      <x:c r="BE298" s="21"/>
      <x:c r="BF298" s="21"/>
      <x:c r="BG298" s="21"/>
      <x:c r="BH298" t="s">
        <x:v>79</x:v>
      </x:c>
      <x:c r="BI298" s="18">
        <x:v>115</x:v>
      </x:c>
      <x:c r="BJ298" s="18">
        <x:v>33</x:v>
      </x:c>
      <x:c r="BK298" s="18">
        <x:v>15</x:v>
      </x:c>
      <x:c r="BL298" s="18">
        <x:v>22</x:v>
      </x:c>
      <x:c r="BM298" s="18">
        <x:v>42</x:v>
      </x:c>
      <x:c r="BN298" s="18">
        <x:v>28</x:v>
      </x:c>
      <x:c r="BO298" s="22">
        <x:v>115.554166666667</x:v>
      </x:c>
      <x:c r="BP298" s="22">
        <x:v>22.7077777777778</x:v>
      </x:c>
      <x:c r="BQ298" s="18">
        <x:v>210</x:v>
      </x:c>
      <x:c r="BR298" s="18">
        <x:v>1092713.43</x:v>
      </x:c>
      <x:c r="BS298" s="18">
        <x:v>17223.321</x:v>
      </x:c>
      <x:c r="BT298" s="18">
        <x:v>149.49799999999999</x:v>
      </x:c>
      <x:c r="BU298" s="18">
        <x:v>3323.2510000000002</x:v>
      </x:c>
      <x:c r="BV298" s="18">
        <x:v>669.96699999999998</x:v>
      </x:c>
      <x:c r="BW298" s="18">
        <x:v>193223.28700000001</x:v>
      </x:c>
      <x:c r="BX298" s="18">
        <x:v>40.36</x:v>
      </x:c>
      <x:c r="BY298" s="18">
        <x:v>18071.133000000002</x:v>
      </x:c>
      <x:c r="BZ298" s="18">
        <x:v>18071.133000000002</x:v>
      </x:c>
      <x:c r="CA298" s="23">
        <x:f t="shared" si="253"/>
        <x:v>17182.890430199997</x:v>
      </x:c>
      <x:c r="CB298" s="23">
        <x:f t="shared" si="254"/>
        <x:v>11041.7682711</x:v>
      </x:c>
      <x:c r="CC298" s="23">
        <x:f t="shared" si="255"/>
        <x:v>3062.90382</x:v>
      </x:c>
      <x:c r="CD298" s="23">
        <x:f t="shared" si="256"/>
        <x:v>33550.282718324997</x:v>
      </x:c>
      <x:c r="CE298" s="23">
        <x:f t="shared" si="257"/>
        <x:v>8752.2476656499985</x:v>
      </x:c>
      <x:c r="CF298" s="23">
        <x:f t="shared" si="258"/>
        <x:v>17.504495331299996</x:v>
      </x:c>
      <x:c r="CG298" s="23">
        <x:f t="shared" si="259"/>
        <x:v>0</x:v>
      </x:c>
      <x:c r="CH298" s="23">
        <x:f t="shared" si="260"/>
        <x:v>61.2580764</x:v>
      </x:c>
      <x:c r="CI298" s="23">
        <x:f t="shared" si="261"/>
        <x:v>0</x:v>
      </x:c>
      <x:c r="CJ298" s="24" t="s">
        <x:v>356</x:v>
      </x:c>
      <x:c r="CK298" s="29">
        <x:v>99.4</x:v>
      </x:c>
      <x:c r="CL298" s="26" t="s">
        <x:v>104</x:v>
      </x:c>
      <x:c r="CM298" s="28">
        <x:v>83</x:v>
      </x:c>
      <x:c r="CN298" s="27" t="s">
        <x:v>78</x:v>
      </x:c>
      <x:c r="CO298" s="27">
        <x:v>99.4</x:v>
      </x:c>
      <x:c r="CP298" s="27">
        <x:v>98.3</x:v>
      </x:c>
      <x:c r="CQ298" s="26">
        <x:f t="shared" si="262"/>
        <x:v>103.09734258119816</x:v>
      </x:c>
      <x:c r="CR298" s="26">
        <x:f t="shared" si="263"/>
        <x:v>1877.1006060870004</x:v>
      </x:c>
      <x:c r="CS298" s="26">
        <x:f t="shared" si="264"/>
        <x:v>3062.90382</x:v>
      </x:c>
      <x:c r="CT298" s="26">
        <x:f t="shared" si="285"/>
        <x:v>201.30169630994644</x:v>
      </x:c>
      <x:c r="CU298" s="26">
        <x:f t="shared" si="286"/>
        <x:v>148.78821031605011</x:v>
      </x:c>
      <x:c r="CV298" s="26">
        <x:f t="shared" si="287"/>
        <x:v>0.29757642063210021</x:v>
      </x:c>
      <x:c r="CW298" s="26">
        <x:f t="shared" si="288"/>
        <x:v>0</x:v>
      </x:c>
      <x:c r="CX298" s="26">
        <x:f t="shared" si="265"/>
        <x:v>61.2580764</x:v>
      </x:c>
      <x:c r="CY298" s="26">
        <x:f t="shared" si="266"/>
        <x:v>0</x:v>
      </x:c>
    </x:row>
    <x:row r="299">
      <x:c r="A299" s="18">
        <x:v>2022</x:v>
      </x:c>
      <x:c r="B299" t="s">
        <x:v>630</x:v>
      </x:c>
      <x:c r="C299" t="s">
        <x:v>631</x:v>
      </x:c>
      <x:c r="D299" t="s">
        <x:v>632</x:v>
      </x:c>
      <x:c r="E299" s="18">
        <x:v>441502</x:v>
      </x:c>
      <x:c r="F299" t="s">
        <x:v>633</x:v>
      </x:c>
      <x:c r="G299" t="s">
        <x:v>634</x:v>
      </x:c>
      <x:c r="H299" s="18">
        <x:v>4411</x:v>
      </x:c>
      <x:c r="I299" t="s">
        <x:v>102</x:v>
      </x:c>
      <x:c r="J299" t="s">
        <x:v>78</x:v>
      </x:c>
      <x:c r="K299" t="s">
        <x:v>109</x:v>
      </x:c>
      <x:c r="L299" s="20">
        <x:v>66</x:v>
      </x:c>
      <x:c r="M299" t="s">
        <x:v>110</x:v>
      </x:c>
      <x:c r="N299" s="18">
        <x:v>2060.1</x:v>
      </x:c>
      <x:c r="O299" t="s">
        <x:v>88</x:v>
      </x:c>
      <x:c r="P299" s="18">
        <x:v>4</x:v>
      </x:c>
      <x:c r="Q299" s="19" t="s">
        <x:v>111</x:v>
      </x:c>
      <x:c r="R299" s="18">
        <x:v>1309708.1399999999</x:v>
      </x:c>
      <x:c r="S299" t="s">
        <x:v>112</x:v>
      </x:c>
      <x:c r="T299" s="19">
        <x:f t="shared" si="289"/>
        <x:v>1309708.1399999999</x:v>
      </x:c>
      <x:c r="U299" s="20">
        <x:v>0.64</x:v>
      </x:c>
      <x:c r="V299" t="s">
        <x:v>113</x:v>
      </x:c>
      <x:c r="W299" s="20">
        <x:v>12.57</x:v>
      </x:c>
      <x:c r="X299" s="21">
        <x:f t="shared" si="290"/>
        <x:v>14249.624563199999</x:v>
      </x:c>
      <x:c r="Y299" s="21">
        <x:f t="shared" si="296"/>
        <x:v>9442.9956893999988</x:v>
      </x:c>
      <x:c r="Z299" s="21">
        <x:f t="shared" si="291"/>
        <x:v>2619.4162799999999</x:v>
      </x:c>
      <x:c r="AA299" s="21">
        <x:f t="shared" si="297"/>
        <x:v>28398.729026655001</x:v>
      </x:c>
      <x:c r="AB299" s="21">
        <x:f t="shared" si="298"/>
        <x:v>7408.3640939099996</x:v>
      </x:c>
      <x:c r="AC299" s="21">
        <x:f t="shared" si="299"/>
        <x:v>14.816728187819999</x:v>
      </x:c>
      <x:c r="AD299" s="21"/>
      <x:c r="AE299" s="21">
        <x:f t="shared" si="295"/>
        <x:v>52.388325599999995</x:v>
      </x:c>
      <x:c r="AF299" s="21"/>
      <x:c r="AG299" s="19" t="s">
        <x:v>78</x:v>
      </x:c>
      <x:c r="AH299" t="s">
        <x:v>78</x:v>
      </x:c>
      <x:c r="AI299" t="s">
        <x:v>78</x:v>
      </x:c>
      <x:c r="AJ299" s="19"/>
      <x:c r="AK299" s="19" t="s">
        <x:v>78</x:v>
      </x:c>
      <x:c r="AL299" t="s">
        <x:v>78</x:v>
      </x:c>
      <x:c r="AM299" s="19" t="s">
        <x:v>78</x:v>
      </x:c>
      <x:c r="AN299" s="21"/>
      <x:c r="AO299" s="21"/>
      <x:c r="AP299" s="21"/>
      <x:c r="AQ299" s="21"/>
      <x:c r="AR299" s="21"/>
      <x:c r="AS299" s="21"/>
      <x:c r="AT299" s="21"/>
      <x:c r="AU299" s="21"/>
      <x:c r="AV299" s="21"/>
      <x:c r="AW299" t="s">
        <x:v>78</x:v>
      </x:c>
      <x:c r="AX299" s="19"/>
      <x:c r="AY299" s="21"/>
      <x:c r="AZ299" s="21"/>
      <x:c r="BA299" s="21"/>
      <x:c r="BB299" s="21"/>
      <x:c r="BC299" s="21"/>
      <x:c r="BD299" s="21"/>
      <x:c r="BE299" s="21"/>
      <x:c r="BF299" s="21"/>
      <x:c r="BG299" s="21"/>
      <x:c r="BH299" t="s">
        <x:v>82</x:v>
      </x:c>
      <x:c r="BI299" s="18">
        <x:v>115</x:v>
      </x:c>
      <x:c r="BJ299" s="18">
        <x:v>33</x:v>
      </x:c>
      <x:c r="BK299" s="18">
        <x:v>21</x:v>
      </x:c>
      <x:c r="BL299" s="18">
        <x:v>22</x:v>
      </x:c>
      <x:c r="BM299" s="18">
        <x:v>42</x:v>
      </x:c>
      <x:c r="BN299" s="18">
        <x:v>23</x:v>
      </x:c>
      <x:c r="BO299" s="22">
        <x:v>115.555833333333</x:v>
      </x:c>
      <x:c r="BP299" s="22">
        <x:v>22.706388888888899</x:v>
      </x:c>
      <x:c r="BQ299" s="18">
        <x:v>240</x:v>
      </x:c>
      <x:c r="BR299" s="18">
        <x:v>881853.59</x:v>
      </x:c>
      <x:c r="BS299" s="18">
        <x:v>14283.153</x:v>
      </x:c>
      <x:c r="BT299" s="18">
        <x:v>124.54900000000001</x:v>
      </x:c>
      <x:c r="BU299" s="18">
        <x:v>2842.067</x:v>
      </x:c>
      <x:c r="BV299" s="18">
        <x:v>575.23400000000004</x:v>
      </x:c>
      <x:c r="BW299" s="18">
        <x:v>163679.465</x:v>
      </x:c>
      <x:c r="BX299" s="18">
        <x:v>20.911999999999999</x:v>
      </x:c>
      <x:c r="BY299" s="18">
        <x:v>15454.556</x:v>
      </x:c>
      <x:c r="BZ299" s="18">
        <x:v>15454.556</x:v>
      </x:c>
      <x:c r="CA299" s="23">
        <x:f t="shared" si="253"/>
        <x:v>14249.624563199999</x:v>
      </x:c>
      <x:c r="CB299" s="23">
        <x:f t="shared" si="254"/>
        <x:v>9442.9956893999988</x:v>
      </x:c>
      <x:c r="CC299" s="23">
        <x:f t="shared" si="255"/>
        <x:v>2619.4162799999999</x:v>
      </x:c>
      <x:c r="CD299" s="23">
        <x:f t="shared" si="256"/>
        <x:v>28398.729026655001</x:v>
      </x:c>
      <x:c r="CE299" s="23">
        <x:f t="shared" si="257"/>
        <x:v>7408.3640939099996</x:v>
      </x:c>
      <x:c r="CF299" s="23">
        <x:f t="shared" si="258"/>
        <x:v>14.816728187819999</x:v>
      </x:c>
      <x:c r="CG299" s="23">
        <x:f t="shared" si="259"/>
        <x:v>0</x:v>
      </x:c>
      <x:c r="CH299" s="23">
        <x:f t="shared" si="260"/>
        <x:v>52.388325599999995</x:v>
      </x:c>
      <x:c r="CI299" s="23">
        <x:f t="shared" si="261"/>
        <x:v>0</x:v>
      </x:c>
      <x:c r="CJ299" s="24" t="s">
        <x:v>356</x:v>
      </x:c>
      <x:c r="CK299" s="29">
        <x:v>99.4</x:v>
      </x:c>
      <x:c r="CL299" s="26" t="s">
        <x:v>104</x:v>
      </x:c>
      <x:c r="CM299" s="28">
        <x:v>83</x:v>
      </x:c>
      <x:c r="CN299" s="27" t="s">
        <x:v>78</x:v>
      </x:c>
      <x:c r="CO299" s="27">
        <x:v>99.4</x:v>
      </x:c>
      <x:c r="CP299" s="27">
        <x:v>98.3</x:v>
      </x:c>
      <x:c r="CQ299" s="26">
        <x:f t="shared" si="262"/>
        <x:v>85.497747379198486</x:v>
      </x:c>
      <x:c r="CR299" s="26">
        <x:f t="shared" si="263"/>
        <x:v>1605.3092671980003</x:v>
      </x:c>
      <x:c r="CS299" s="26">
        <x:f t="shared" si="264"/>
        <x:v>2619.4162799999999</x:v>
      </x:c>
      <x:c r="CT299" s="26">
        <x:f t="shared" si="285"/>
        <x:v>170.39237415992702</x:v>
      </x:c>
      <x:c r="CU299" s="26">
        <x:f t="shared" si="286"/>
        <x:v>125.9421895964701</x:v>
      </x:c>
      <x:c r="CV299" s="26">
        <x:f t="shared" si="287"/>
        <x:v>0.25188437919294021</x:v>
      </x:c>
      <x:c r="CW299" s="26">
        <x:f t="shared" si="288"/>
        <x:v>0</x:v>
      </x:c>
      <x:c r="CX299" s="26">
        <x:f t="shared" si="265"/>
        <x:v>52.388325599999995</x:v>
      </x:c>
      <x:c r="CY299" s="26">
        <x:f t="shared" si="266"/>
        <x:v>0</x:v>
      </x:c>
    </x:row>
    <x:row r="300">
      <x:c r="A300" s="18">
        <x:v>2022</x:v>
      </x:c>
      <x:c r="B300" t="s">
        <x:v>630</x:v>
      </x:c>
      <x:c r="C300" t="s">
        <x:v>631</x:v>
      </x:c>
      <x:c r="D300" t="s">
        <x:v>632</x:v>
      </x:c>
      <x:c r="E300" s="18">
        <x:v>441502</x:v>
      </x:c>
      <x:c r="F300" t="s">
        <x:v>633</x:v>
      </x:c>
      <x:c r="G300" t="s">
        <x:v>634</x:v>
      </x:c>
      <x:c r="H300" s="18">
        <x:v>4411</x:v>
      </x:c>
      <x:c r="I300" t="s">
        <x:v>102</x:v>
      </x:c>
      <x:c r="J300" t="s">
        <x:v>78</x:v>
      </x:c>
      <x:c r="K300" t="s">
        <x:v>109</x:v>
      </x:c>
      <x:c r="L300" s="20">
        <x:v>66</x:v>
      </x:c>
      <x:c r="M300" t="s">
        <x:v>110</x:v>
      </x:c>
      <x:c r="N300" s="18">
        <x:v>2060.1</x:v>
      </x:c>
      <x:c r="O300" t="s">
        <x:v>88</x:v>
      </x:c>
      <x:c r="P300" s="18">
        <x:v>4</x:v>
      </x:c>
      <x:c r="Q300" s="19" t="s">
        <x:v>111</x:v>
      </x:c>
      <x:c r="R300" s="18">
        <x:v>1625794.95</x:v>
      </x:c>
      <x:c r="S300" t="s">
        <x:v>112</x:v>
      </x:c>
      <x:c r="T300" s="19">
        <x:f t="shared" si="289"/>
        <x:v>1625794.95</x:v>
      </x:c>
      <x:c r="U300" s="20">
        <x:v>0.66</x:v>
      </x:c>
      <x:c r="V300" t="s">
        <x:v>113</x:v>
      </x:c>
      <x:c r="W300" s="20">
        <x:v>12.4</x:v>
      </x:c>
      <x:c r="X300" s="21">
        <x:f t="shared" si="290"/>
        <x:v>18241.419338999996</x:v>
      </x:c>
      <x:c r="Y300" s="21">
        <x:f t="shared" si="296"/>
        <x:v>11721.981589499999</x:v>
      </x:c>
      <x:c r="Z300" s="21">
        <x:f t="shared" si="291"/>
        <x:v>3251.5898999999999</x:v>
      </x:c>
      <x:c r="AA300" s="21">
        <x:f t="shared" si="297"/>
        <x:v>34775.753980499998</x:v>
      </x:c>
      <x:c r="AB300" s="21">
        <x:f t="shared" si="298"/>
        <x:v>9071.9358209999991</x:v>
      </x:c>
      <x:c r="AC300" s="21">
        <x:f t="shared" si="299"/>
        <x:v>18.143871641999997</x:v>
      </x:c>
      <x:c r="AD300" s="21"/>
      <x:c r="AE300" s="21">
        <x:f t="shared" si="295"/>
        <x:v>65.031798000000009</x:v>
      </x:c>
      <x:c r="AF300" s="21"/>
      <x:c r="AG300" s="19" t="s">
        <x:v>78</x:v>
      </x:c>
      <x:c r="AH300" t="s">
        <x:v>78</x:v>
      </x:c>
      <x:c r="AI300" t="s">
        <x:v>78</x:v>
      </x:c>
      <x:c r="AJ300" s="19"/>
      <x:c r="AK300" s="19" t="s">
        <x:v>78</x:v>
      </x:c>
      <x:c r="AL300" t="s">
        <x:v>78</x:v>
      </x:c>
      <x:c r="AM300" s="19" t="s">
        <x:v>78</x:v>
      </x:c>
      <x:c r="AN300" s="21"/>
      <x:c r="AO300" s="21"/>
      <x:c r="AP300" s="21"/>
      <x:c r="AQ300" s="21"/>
      <x:c r="AR300" s="21"/>
      <x:c r="AS300" s="21"/>
      <x:c r="AT300" s="21"/>
      <x:c r="AU300" s="21"/>
      <x:c r="AV300" s="21"/>
      <x:c r="AW300" t="s">
        <x:v>78</x:v>
      </x:c>
      <x:c r="AX300" s="19"/>
      <x:c r="AY300" s="21"/>
      <x:c r="AZ300" s="21"/>
      <x:c r="BA300" s="21"/>
      <x:c r="BB300" s="21"/>
      <x:c r="BC300" s="21"/>
      <x:c r="BD300" s="21"/>
      <x:c r="BE300" s="21"/>
      <x:c r="BF300" s="21"/>
      <x:c r="BG300" s="21"/>
      <x:c r="BH300" t="s">
        <x:v>83</x:v>
      </x:c>
      <x:c r="BI300" s="18">
        <x:v>115</x:v>
      </x:c>
      <x:c r="BJ300" s="18">
        <x:v>33</x:v>
      </x:c>
      <x:c r="BK300" s="18">
        <x:v>15</x:v>
      </x:c>
      <x:c r="BL300" s="18">
        <x:v>22</x:v>
      </x:c>
      <x:c r="BM300" s="18">
        <x:v>42</x:v>
      </x:c>
      <x:c r="BN300" s="18">
        <x:v>28</x:v>
      </x:c>
      <x:c r="BO300" s="22">
        <x:v>115.554166666667</x:v>
      </x:c>
      <x:c r="BP300" s="22">
        <x:v>22.7077777777778</x:v>
      </x:c>
      <x:c r="BQ300" s="18">
        <x:v>240</x:v>
      </x:c>
      <x:c r="BR300" s="18">
        <x:v>1222099</x:v>
      </x:c>
      <x:c r="BS300" s="18">
        <x:v>18284.34</x:v>
      </x:c>
      <x:c r="BT300" s="18">
        <x:v>158.708</x:v>
      </x:c>
      <x:c r="BU300" s="18">
        <x:v>3527.9749999999999</x:v>
      </x:c>
      <x:c r="BV300" s="18">
        <x:v>711.24</x:v>
      </x:c>
      <x:c r="BW300" s="18">
        <x:v>200639.35500000001</x:v>
      </x:c>
      <x:c r="BX300" s="18">
        <x:v>25.748999999999999</x:v>
      </x:c>
      <x:c r="BY300" s="18">
        <x:v>19184.38</x:v>
      </x:c>
      <x:c r="BZ300" s="18">
        <x:v>19184.38</x:v>
      </x:c>
      <x:c r="CA300" s="23">
        <x:f t="shared" si="253"/>
        <x:v>18241.419338999996</x:v>
      </x:c>
      <x:c r="CB300" s="23">
        <x:f t="shared" si="254"/>
        <x:v>11721.981589499999</x:v>
      </x:c>
      <x:c r="CC300" s="23">
        <x:f t="shared" si="255"/>
        <x:v>3251.5898999999999</x:v>
      </x:c>
      <x:c r="CD300" s="23">
        <x:f t="shared" si="256"/>
        <x:v>34775.753980499998</x:v>
      </x:c>
      <x:c r="CE300" s="23">
        <x:f t="shared" si="257"/>
        <x:v>9071.9358209999991</x:v>
      </x:c>
      <x:c r="CF300" s="23">
        <x:f t="shared" si="258"/>
        <x:v>18.143871641999997</x:v>
      </x:c>
      <x:c r="CG300" s="23">
        <x:f t="shared" si="259"/>
        <x:v>0</x:v>
      </x:c>
      <x:c r="CH300" s="23">
        <x:f t="shared" si="260"/>
        <x:v>65.031798000000009</x:v>
      </x:c>
      <x:c r="CI300" s="23">
        <x:f t="shared" si="261"/>
        <x:v>0</x:v>
      </x:c>
      <x:c r="CJ300" s="24" t="s">
        <x:v>356</x:v>
      </x:c>
      <x:c r="CK300" s="29">
        <x:v>99.4</x:v>
      </x:c>
      <x:c r="CL300" s="26" t="s">
        <x:v>104</x:v>
      </x:c>
      <x:c r="CM300" s="28">
        <x:v>83</x:v>
      </x:c>
      <x:c r="CN300" s="27" t="s">
        <x:v>78</x:v>
      </x:c>
      <x:c r="CO300" s="27">
        <x:v>99.4</x:v>
      </x:c>
      <x:c r="CP300" s="27">
        <x:v>98.3</x:v>
      </x:c>
      <x:c r="CQ300" s="26">
        <x:f t="shared" si="262"/>
        <x:v>109.44851603399805</x:v>
      </x:c>
      <x:c r="CR300" s="26">
        <x:f t="shared" si="263"/>
        <x:v>1992.7368702150004</x:v>
      </x:c>
      <x:c r="CS300" s="26">
        <x:f t="shared" si="264"/>
        <x:v>3251.5898999999999</x:v>
      </x:c>
      <x:c r="CT300" s="26">
        <x:f t="shared" si="285"/>
        <x:v>208.6545238829963</x:v>
      </x:c>
      <x:c r="CU300" s="26">
        <x:f t="shared" si="286"/>
        <x:v>154.22290895700013</x:v>
      </x:c>
      <x:c r="CV300" s="26">
        <x:f t="shared" si="287"/>
        <x:v>0.30844581791400022</x:v>
      </x:c>
      <x:c r="CW300" s="26">
        <x:f t="shared" si="288"/>
        <x:v>0</x:v>
      </x:c>
      <x:c r="CX300" s="26">
        <x:f t="shared" si="265"/>
        <x:v>65.031798000000009</x:v>
      </x:c>
      <x:c r="CY300" s="26">
        <x:f t="shared" si="266"/>
        <x:v>0</x:v>
      </x:c>
    </x:row>
    <x:row r="301">
      <x:c r="A301" s="18">
        <x:v>2022</x:v>
      </x:c>
      <x:c r="B301" t="s">
        <x:v>635</x:v>
      </x:c>
      <x:c r="C301" t="s">
        <x:v>636</x:v>
      </x:c>
      <x:c r="D301" t="s">
        <x:v>637</x:v>
      </x:c>
      <x:c r="E301" s="18">
        <x:v>441581</x:v>
      </x:c>
      <x:c r="F301" t="s">
        <x:v>638</x:v>
      </x:c>
      <x:c r="G301" t="s">
        <x:v>634</x:v>
      </x:c>
      <x:c r="H301" s="18">
        <x:v>4411</x:v>
      </x:c>
      <x:c r="I301" t="s">
        <x:v>102</x:v>
      </x:c>
      <x:c r="J301" t="s">
        <x:v>78</x:v>
      </x:c>
      <x:c r="K301" t="s">
        <x:v>109</x:v>
      </x:c>
      <x:c r="L301" s="20">
        <x:v>100</x:v>
      </x:c>
      <x:c r="M301" t="s">
        <x:v>110</x:v>
      </x:c>
      <x:c r="N301" s="18">
        <x:v>3093</x:v>
      </x:c>
      <x:c r="O301" t="s">
        <x:v>88</x:v>
      </x:c>
      <x:c r="P301" s="18">
        <x:v>4</x:v>
      </x:c>
      <x:c r="Q301" s="19" t="s">
        <x:v>111</x:v>
      </x:c>
      <x:c r="R301" s="18">
        <x:v>2408756</x:v>
      </x:c>
      <x:c r="S301" t="s">
        <x:v>112</x:v>
      </x:c>
      <x:c r="T301" s="19">
        <x:f t="shared" si="289"/>
        <x:v>2408756</x:v>
      </x:c>
      <x:c r="U301" s="20">
        <x:v>0.65</x:v>
      </x:c>
      <x:c r="V301" t="s">
        <x:v>113</x:v>
      </x:c>
      <x:c r="W301" s="20">
        <x:v>16.77</x:v>
      </x:c>
      <x:c r="X301" s="21">
        <x:f t="shared" si="290"/>
        <x:v>26616.753800000002</x:v>
      </x:c>
      <x:c r="Y301" s="21">
        <x:f t="shared" si="296"/>
        <x:v>17367.13076</x:v>
      </x:c>
      <x:c r="Z301" s="21">
        <x:f t="shared" si="291"/>
        <x:v>4817.5119999999997</x:v>
      </x:c>
      <x:c r="AA301" s="21">
        <x:f t="shared" si="297"/>
        <x:v>69681.095757000003</x:v>
      </x:c>
      <x:c r="AB301" s="21">
        <x:f t="shared" si="298"/>
        <x:v>18177.677153999997</x:v>
      </x:c>
      <x:c r="AC301" s="21">
        <x:f t="shared" si="299"/>
        <x:v>36.355354307999995</x:v>
      </x:c>
      <x:c r="AD301" s="21"/>
      <x:c r="AE301" s="21">
        <x:f t="shared" si="295"/>
        <x:v>96.350239999999999</x:v>
      </x:c>
      <x:c r="AF301" s="21"/>
      <x:c r="AG301" s="19" t="s">
        <x:v>78</x:v>
      </x:c>
      <x:c r="AH301" t="s">
        <x:v>78</x:v>
      </x:c>
      <x:c r="AI301" t="s">
        <x:v>78</x:v>
      </x:c>
      <x:c r="AJ301" s="19"/>
      <x:c r="AK301" s="19" t="s">
        <x:v>78</x:v>
      </x:c>
      <x:c r="AL301" t="s">
        <x:v>78</x:v>
      </x:c>
      <x:c r="AM301" s="19" t="s">
        <x:v>78</x:v>
      </x:c>
      <x:c r="AN301" s="21"/>
      <x:c r="AO301" s="21"/>
      <x:c r="AP301" s="21"/>
      <x:c r="AQ301" s="21"/>
      <x:c r="AR301" s="21"/>
      <x:c r="AS301" s="21"/>
      <x:c r="AT301" s="21"/>
      <x:c r="AU301" s="21"/>
      <x:c r="AV301" s="21"/>
      <x:c r="AW301" t="s">
        <x:v>78</x:v>
      </x:c>
      <x:c r="AX301" s="19"/>
      <x:c r="AY301" s="21"/>
      <x:c r="AZ301" s="21"/>
      <x:c r="BA301" s="21"/>
      <x:c r="BB301" s="21"/>
      <x:c r="BC301" s="21"/>
      <x:c r="BD301" s="21"/>
      <x:c r="BE301" s="21"/>
      <x:c r="BF301" s="21"/>
      <x:c r="BG301" s="21"/>
      <x:c r="BH301" t="s">
        <x:v>81</x:v>
      </x:c>
      <x:c r="BI301" s="18">
        <x:v>115</x:v>
      </x:c>
      <x:c r="BJ301" s="18">
        <x:v>59</x:v>
      </x:c>
      <x:c r="BK301" s="18">
        <x:v>12.68</x:v>
      </x:c>
      <x:c r="BL301" s="18">
        <x:v>22</x:v>
      </x:c>
      <x:c r="BM301" s="18">
        <x:v>49</x:v>
      </x:c>
      <x:c r="BN301" s="18">
        <x:v>52.51</x:v>
      </x:c>
      <x:c r="BO301" s="22">
        <x:v>115.958414</x:v>
      </x:c>
      <x:c r="BP301" s="22">
        <x:v>22.827508999999999</x:v>
      </x:c>
      <x:c r="BQ301" s="18">
        <x:v>240</x:v>
      </x:c>
      <x:c r="BR301" s="18">
        <x:v>1963797.02</x:v>
      </x:c>
      <x:c r="BS301" s="18">
        <x:v>37260.224999999999</x:v>
      </x:c>
      <x:c r="BT301" s="18">
        <x:v>423.19200000000001</x:v>
      </x:c>
      <x:c r="BU301" s="18">
        <x:v>4013.7950000000001</x:v>
      </x:c>
      <x:c r="BV301" s="18">
        <x:v>828.31799999999998</x:v>
      </x:c>
      <x:c r="BW301" s="18">
        <x:v>397.613</x:v>
      </x:c>
      <x:c r="BX301" s="18">
        <x:v>39.506</x:v>
      </x:c>
      <x:c r="BY301" s="18">
        <x:v>28423.321</x:v>
      </x:c>
      <x:c r="BZ301" s="18">
        <x:v>28423.321</x:v>
      </x:c>
      <x:c r="CA301" s="23">
        <x:f t="shared" si="253"/>
        <x:v>26616.753800000002</x:v>
      </x:c>
      <x:c r="CB301" s="23">
        <x:f t="shared" si="254"/>
        <x:v>17367.13076</x:v>
      </x:c>
      <x:c r="CC301" s="23">
        <x:f t="shared" si="255"/>
        <x:v>4817.5119999999997</x:v>
      </x:c>
      <x:c r="CD301" s="23">
        <x:f t="shared" si="256"/>
        <x:v>69681.095757000003</x:v>
      </x:c>
      <x:c r="CE301" s="23">
        <x:f t="shared" si="257"/>
        <x:v>18177.677153999997</x:v>
      </x:c>
      <x:c r="CF301" s="23">
        <x:f t="shared" si="258"/>
        <x:v>36.355354307999995</x:v>
      </x:c>
      <x:c r="CG301" s="23">
        <x:f t="shared" si="259"/>
        <x:v>0</x:v>
      </x:c>
      <x:c r="CH301" s="23">
        <x:f t="shared" si="260"/>
        <x:v>96.350239999999999</x:v>
      </x:c>
      <x:c r="CI301" s="23">
        <x:f t="shared" si="261"/>
        <x:v>0</x:v>
      </x:c>
      <x:c r="CJ301" s="24" t="s">
        <x:v>180</x:v>
      </x:c>
      <x:c r="CK301" s="29">
        <x:v>95.8</x:v>
      </x:c>
      <x:c r="CL301" s="26" t="s">
        <x:v>97</x:v>
      </x:c>
      <x:c r="CM301" s="28">
        <x:v>75</x:v>
      </x:c>
      <x:c r="CN301" s="30" t="s">
        <x:v>115</x:v>
      </x:c>
      <x:c r="CO301" s="27">
        <x:v>99.4</x:v>
      </x:c>
      <x:c r="CP301" s="27">
        <x:v>98.3</x:v>
      </x:c>
      <x:c r="CQ301" s="26">
        <x:f t="shared" si="262"/>
        <x:v>1117.903659600001</x:v>
      </x:c>
      <x:c r="CR301" s="26">
        <x:f t="shared" si="263"/>
        <x:v>4341.78269</x:v>
      </x:c>
      <x:c r="CS301" s="26">
        <x:f t="shared" si="264"/>
        <x:v>4817.5119999999997</x:v>
      </x:c>
      <x:c r="CT301" s="26">
        <x:f t="shared" si="285"/>
        <x:v>418.08657454199266</x:v>
      </x:c>
      <x:c r="CU301" s="26">
        <x:f t="shared" si="286"/>
        <x:v>309.02051161800023</x:v>
      </x:c>
      <x:c r="CV301" s="26">
        <x:f t="shared" si="287"/>
        <x:v>0.61804102323600052</x:v>
      </x:c>
      <x:c r="CW301" s="26">
        <x:f t="shared" si="288"/>
        <x:v>0</x:v>
      </x:c>
      <x:c r="CX301" s="26">
        <x:f t="shared" si="265"/>
        <x:v>96.350239999999999</x:v>
      </x:c>
      <x:c r="CY301" s="26">
        <x:f t="shared" si="266"/>
        <x:v>0</x:v>
      </x:c>
    </x:row>
    <x:row r="302">
      <x:c r="A302" s="18">
        <x:v>2022</x:v>
      </x:c>
      <x:c r="B302" t="s">
        <x:v>635</x:v>
      </x:c>
      <x:c r="C302" t="s">
        <x:v>636</x:v>
      </x:c>
      <x:c r="D302" t="s">
        <x:v>637</x:v>
      </x:c>
      <x:c r="E302" s="18">
        <x:v>441581</x:v>
      </x:c>
      <x:c r="F302" t="s">
        <x:v>638</x:v>
      </x:c>
      <x:c r="G302" t="s">
        <x:v>634</x:v>
      </x:c>
      <x:c r="H302" s="18">
        <x:v>4411</x:v>
      </x:c>
      <x:c r="I302" t="s">
        <x:v>102</x:v>
      </x:c>
      <x:c r="J302" t="s">
        <x:v>78</x:v>
      </x:c>
      <x:c r="K302" t="s">
        <x:v>109</x:v>
      </x:c>
      <x:c r="L302" s="20">
        <x:v>100</x:v>
      </x:c>
      <x:c r="M302" t="s">
        <x:v>110</x:v>
      </x:c>
      <x:c r="N302" s="18">
        <x:v>3093</x:v>
      </x:c>
      <x:c r="O302" t="s">
        <x:v>88</x:v>
      </x:c>
      <x:c r="P302" s="18">
        <x:v>4</x:v>
      </x:c>
      <x:c r="Q302" s="19" t="s">
        <x:v>111</x:v>
      </x:c>
      <x:c r="R302" s="18">
        <x:v>2595547.4</x:v>
      </x:c>
      <x:c r="S302" t="s">
        <x:v>112</x:v>
      </x:c>
      <x:c r="T302" s="19">
        <x:f t="shared" si="289"/>
        <x:v>2595547.4</x:v>
      </x:c>
      <x:c r="U302" s="20">
        <x:v>0.66</x:v>
      </x:c>
      <x:c r="V302" t="s">
        <x:v>113</x:v>
      </x:c>
      <x:c r="W302" s="20">
        <x:v>16.64</x:v>
      </x:c>
      <x:c r="X302" s="21">
        <x:f t="shared" si="290"/>
        <x:v>29122.041827999998</x:v>
      </x:c>
      <x:c r="Y302" s="21">
        <x:f t="shared" si="296"/>
        <x:v>18713.896754000001</x:v>
      </x:c>
      <x:c r="Z302" s="21">
        <x:f t="shared" si="291"/>
        <x:v>5191.0947999999999</x:v>
      </x:c>
      <x:c r="AA302" s="21">
        <x:f t="shared" si="297"/>
        <x:v>74502.592569600005</x:v>
      </x:c>
      <x:c r="AB302" s="21">
        <x:f t="shared" si="298"/>
        <x:v>19435.458931199995</x:v>
      </x:c>
      <x:c r="AC302" s="21">
        <x:f t="shared" si="299"/>
        <x:v>38.870917862399992</x:v>
      </x:c>
      <x:c r="AD302" s="21"/>
      <x:c r="AE302" s="21">
        <x:f t="shared" si="295"/>
        <x:v>103.821896</x:v>
      </x:c>
      <x:c r="AF302" s="21"/>
      <x:c r="AG302" s="19" t="s">
        <x:v>78</x:v>
      </x:c>
      <x:c r="AH302" t="s">
        <x:v>78</x:v>
      </x:c>
      <x:c r="AI302" t="s">
        <x:v>78</x:v>
      </x:c>
      <x:c r="AJ302" s="19"/>
      <x:c r="AK302" s="19" t="s">
        <x:v>78</x:v>
      </x:c>
      <x:c r="AL302" t="s">
        <x:v>78</x:v>
      </x:c>
      <x:c r="AM302" s="19" t="s">
        <x:v>78</x:v>
      </x:c>
      <x:c r="AN302" s="21"/>
      <x:c r="AO302" s="21"/>
      <x:c r="AP302" s="21"/>
      <x:c r="AQ302" s="21"/>
      <x:c r="AR302" s="21"/>
      <x:c r="AS302" s="21"/>
      <x:c r="AT302" s="21"/>
      <x:c r="AU302" s="21"/>
      <x:c r="AV302" s="21"/>
      <x:c r="AW302" t="s">
        <x:v>78</x:v>
      </x:c>
      <x:c r="AX302" s="19"/>
      <x:c r="AY302" s="21"/>
      <x:c r="AZ302" s="21"/>
      <x:c r="BA302" s="21"/>
      <x:c r="BB302" s="21"/>
      <x:c r="BC302" s="21"/>
      <x:c r="BD302" s="21"/>
      <x:c r="BE302" s="21"/>
      <x:c r="BF302" s="21"/>
      <x:c r="BG302" s="21"/>
      <x:c r="BH302" t="s">
        <x:v>79</x:v>
      </x:c>
      <x:c r="BI302" s="18">
        <x:v>115</x:v>
      </x:c>
      <x:c r="BJ302" s="18">
        <x:v>59</x:v>
      </x:c>
      <x:c r="BK302" s="18">
        <x:v>12.68</x:v>
      </x:c>
      <x:c r="BL302" s="18">
        <x:v>22</x:v>
      </x:c>
      <x:c r="BM302" s="18">
        <x:v>49</x:v>
      </x:c>
      <x:c r="BN302" s="18">
        <x:v>52.51</x:v>
      </x:c>
      <x:c r="BO302" s="22">
        <x:v>115.958414</x:v>
      </x:c>
      <x:c r="BP302" s="22">
        <x:v>22.827508999999999</x:v>
      </x:c>
      <x:c r="BQ302" s="18">
        <x:v>240</x:v>
      </x:c>
      <x:c r="BR302" s="18">
        <x:v>1950213.11</x:v>
      </x:c>
      <x:c r="BS302" s="18">
        <x:v>35920.067000000003</x:v>
      </x:c>
      <x:c r="BT302" s="18">
        <x:v>418.053</x:v>
      </x:c>
      <x:c r="BU302" s="18">
        <x:v>3802.8290000000002</x:v>
      </x:c>
      <x:c r="BV302" s="18">
        <x:v>829.55399999999997</x:v>
      </x:c>
      <x:c r="BW302" s="18">
        <x:v>326.72399999999999</x:v>
      </x:c>
      <x:c r="BX302" s="18">
        <x:v>38.673000000000002</x:v>
      </x:c>
      <x:c r="BY302" s="18">
        <x:v>30627.458999999999</x:v>
      </x:c>
      <x:c r="BZ302" s="18">
        <x:v>30627.458999999999</x:v>
      </x:c>
      <x:c r="CA302" s="23">
        <x:f t="shared" si="253"/>
        <x:v>29122.041827999998</x:v>
      </x:c>
      <x:c r="CB302" s="23">
        <x:f t="shared" si="254"/>
        <x:v>18713.896754000001</x:v>
      </x:c>
      <x:c r="CC302" s="23">
        <x:f t="shared" si="255"/>
        <x:v>5191.0947999999999</x:v>
      </x:c>
      <x:c r="CD302" s="23">
        <x:f t="shared" si="256"/>
        <x:v>74502.592569600005</x:v>
      </x:c>
      <x:c r="CE302" s="23">
        <x:f t="shared" si="257"/>
        <x:v>19435.458931199995</x:v>
      </x:c>
      <x:c r="CF302" s="23">
        <x:f t="shared" si="258"/>
        <x:v>38.870917862399992</x:v>
      </x:c>
      <x:c r="CG302" s="23">
        <x:f t="shared" si="259"/>
        <x:v>0</x:v>
      </x:c>
      <x:c r="CH302" s="23">
        <x:f t="shared" si="260"/>
        <x:v>103.821896</x:v>
      </x:c>
      <x:c r="CI302" s="23">
        <x:f t="shared" si="261"/>
        <x:v>0</x:v>
      </x:c>
      <x:c r="CJ302" s="24" t="s">
        <x:v>180</x:v>
      </x:c>
      <x:c r="CK302" s="29">
        <x:v>95.8</x:v>
      </x:c>
      <x:c r="CL302" s="26" t="s">
        <x:v>97</x:v>
      </x:c>
      <x:c r="CM302" s="28">
        <x:v>75</x:v>
      </x:c>
      <x:c r="CN302" s="30" t="s">
        <x:v>115</x:v>
      </x:c>
      <x:c r="CO302" s="27">
        <x:v>99.4</x:v>
      </x:c>
      <x:c r="CP302" s="27">
        <x:v>98.3</x:v>
      </x:c>
      <x:c r="CQ302" s="26">
        <x:f t="shared" si="262"/>
        <x:v>1223.125756776001</x:v>
      </x:c>
      <x:c r="CR302" s="26">
        <x:f t="shared" si="263"/>
        <x:v>4678.4741885000003</x:v>
      </x:c>
      <x:c r="CS302" s="26">
        <x:f t="shared" si="264"/>
        <x:v>5191.0947999999999</x:v>
      </x:c>
      <x:c r="CT302" s="26">
        <x:f t="shared" si="285"/>
        <x:v>447.01555541759217</x:v>
      </x:c>
      <x:c r="CU302" s="26">
        <x:f t="shared" si="286"/>
        <x:v>330.40280183040022</x:v>
      </x:c>
      <x:c r="CV302" s="26">
        <x:f t="shared" si="287"/>
        <x:v>0.66080560366080043</x:v>
      </x:c>
      <x:c r="CW302" s="26">
        <x:f t="shared" si="288"/>
        <x:v>0</x:v>
      </x:c>
      <x:c r="CX302" s="26">
        <x:f t="shared" si="265"/>
        <x:v>103.821896</x:v>
      </x:c>
      <x:c r="CY302" s="26">
        <x:f t="shared" si="266"/>
        <x:v>0</x:v>
      </x:c>
    </x:row>
    <x:row r="303">
      <x:c r="A303" s="18">
        <x:v>2022</x:v>
      </x:c>
      <x:c r="B303" t="s">
        <x:v>639</x:v>
      </x:c>
      <x:c r="C303" t="s">
        <x:v>78</x:v>
      </x:c>
      <x:c r="D303" t="s">
        <x:v>640</x:v>
      </x:c>
      <x:c r="E303" s="18">
        <x:v>441602</x:v>
      </x:c>
      <x:c r="F303" t="s">
        <x:v>641</x:v>
      </x:c>
      <x:c r="G303" t="s">
        <x:v>642</x:v>
      </x:c>
      <x:c r="H303" s="18">
        <x:v>4411</x:v>
      </x:c>
      <x:c r="I303" t="s">
        <x:v>102</x:v>
      </x:c>
      <x:c r="J303" t="s">
        <x:v>78</x:v>
      </x:c>
      <x:c r="K303" t="s">
        <x:v>109</x:v>
      </x:c>
      <x:c r="L303" s="20">
        <x:v>60</x:v>
      </x:c>
      <x:c r="M303" t="s">
        <x:v>110</x:v>
      </x:c>
      <x:c r="N303" s="18">
        <x:v>1795</x:v>
      </x:c>
      <x:c r="O303" t="s">
        <x:v>88</x:v>
      </x:c>
      <x:c r="P303" s="18">
        <x:v>1</x:v>
      </x:c>
      <x:c r="Q303" s="19" t="s">
        <x:v>121</x:v>
      </x:c>
      <x:c r="R303" s="18">
        <x:v>1205443.21</x:v>
      </x:c>
      <x:c r="S303" t="s">
        <x:v>112</x:v>
      </x:c>
      <x:c r="T303" s="19">
        <x:f t="shared" si="289"/>
        <x:v>1205443.21</x:v>
      </x:c>
      <x:c r="U303" s="20">
        <x:v>0.62</x:v>
      </x:c>
      <x:c r="V303" t="s">
        <x:v>113</x:v>
      </x:c>
      <x:c r="W303" s="20">
        <x:v>15.86</x:v>
      </x:c>
      <x:c r="X303" s="21">
        <x:f t="shared" si="290"/>
        <x:v>12705.371433399998</x:v>
      </x:c>
      <x:c r="Y303" s="21">
        <x:f t="shared" si="296"/>
        <x:v>8691.2455441000002</x:v>
      </x:c>
      <x:c r="Z303" s="21">
        <x:f t="shared" si="291"/>
        <x:v>2410.8864199999998</x:v>
      </x:c>
      <x:c r="AA303" s="21">
        <x:f t="shared" si="297"/>
        <x:v>32979.118060784996</x:v>
      </x:c>
      <x:c r="AB303" s="21">
        <x:f t="shared" si="298"/>
        <x:v>8603.24818977</x:v>
      </x:c>
      <x:c r="AC303" s="21">
        <x:f t="shared" si="299"/>
        <x:v>17.206496379539999</x:v>
      </x:c>
      <x:c r="AD303" s="21"/>
      <x:c r="AE303" s="21">
        <x:f t="shared" si="295"/>
        <x:v>48.217728399999999</x:v>
      </x:c>
      <x:c r="AF303" s="21"/>
      <x:c r="AG303" s="19" t="s">
        <x:v>78</x:v>
      </x:c>
      <x:c r="AH303" t="s">
        <x:v>78</x:v>
      </x:c>
      <x:c r="AI303" t="s">
        <x:v>78</x:v>
      </x:c>
      <x:c r="AJ303" s="19"/>
      <x:c r="AK303" s="19" t="s">
        <x:v>78</x:v>
      </x:c>
      <x:c r="AL303" t="s">
        <x:v>78</x:v>
      </x:c>
      <x:c r="AM303" s="19" t="s">
        <x:v>78</x:v>
      </x:c>
      <x:c r="AN303" s="21"/>
      <x:c r="AO303" s="21"/>
      <x:c r="AP303" s="21"/>
      <x:c r="AQ303" s="21"/>
      <x:c r="AR303" s="21"/>
      <x:c r="AS303" s="21"/>
      <x:c r="AT303" s="21"/>
      <x:c r="AU303" s="21"/>
      <x:c r="AV303" s="21"/>
      <x:c r="AW303" t="s">
        <x:v>78</x:v>
      </x:c>
      <x:c r="AX303" s="19"/>
      <x:c r="AY303" s="21"/>
      <x:c r="AZ303" s="21"/>
      <x:c r="BA303" s="21"/>
      <x:c r="BB303" s="21"/>
      <x:c r="BC303" s="21"/>
      <x:c r="BD303" s="21"/>
      <x:c r="BE303" s="21"/>
      <x:c r="BF303" s="21"/>
      <x:c r="BG303" s="21"/>
      <x:c r="BH303" t="s">
        <x:v>81</x:v>
      </x:c>
      <x:c r="BI303" s="18">
        <x:v>114</x:v>
      </x:c>
      <x:c r="BJ303" s="18">
        <x:v>38</x:v>
      </x:c>
      <x:c r="BK303" s="18">
        <x:v>21.01</x:v>
      </x:c>
      <x:c r="BL303" s="18">
        <x:v>23</x:v>
      </x:c>
      <x:c r="BM303" s="18">
        <x:v>34</x:v>
      </x:c>
      <x:c r="BN303" s="18">
        <x:v>2.93</x:v>
      </x:c>
      <x:c r="BO303" s="22">
        <x:v>114.63916944444399</x:v>
      </x:c>
      <x:c r="BP303" s="22">
        <x:v>23.567480555555601</x:v>
      </x:c>
      <x:c r="BQ303" s="18">
        <x:v>210</x:v>
      </x:c>
      <x:c r="BR303" s="18">
        <x:v>906650.57</x:v>
      </x:c>
      <x:c r="BS303" s="18">
        <x:v>12735.266</x:v>
      </x:c>
      <x:c r="BT303" s="18">
        <x:v>319.11200000000002</x:v>
      </x:c>
      <x:c r="BU303" s="18">
        <x:v>2615.8119999999999</x:v>
      </x:c>
      <x:c r="BV303" s="18">
        <x:v>523.16200000000003</x:v>
      </x:c>
      <x:c r="BW303" s="18">
        <x:v>187135.41500000001</x:v>
      </x:c>
      <x:c r="BX303" s="18">
        <x:v>7.1550000000000002</x:v>
      </x:c>
      <x:c r="BY303" s="18">
        <x:v>8329.6129999999994</x:v>
      </x:c>
      <x:c r="BZ303" s="18">
        <x:v>8329.6129999999994</x:v>
      </x:c>
      <x:c r="CA303" s="23">
        <x:f t="shared" si="253"/>
        <x:v>12705.371433399998</x:v>
      </x:c>
      <x:c r="CB303" s="23">
        <x:f t="shared" si="254"/>
        <x:v>8691.2455441000002</x:v>
      </x:c>
      <x:c r="CC303" s="23">
        <x:f t="shared" si="255"/>
        <x:v>2410.8864199999998</x:v>
      </x:c>
      <x:c r="CD303" s="23">
        <x:f t="shared" si="256"/>
        <x:v>32979.118060784996</x:v>
      </x:c>
      <x:c r="CE303" s="23">
        <x:f t="shared" si="257"/>
        <x:v>8603.24818977</x:v>
      </x:c>
      <x:c r="CF303" s="23">
        <x:f t="shared" si="258"/>
        <x:v>17.206496379539999</x:v>
      </x:c>
      <x:c r="CG303" s="23">
        <x:f t="shared" si="259"/>
        <x:v>0</x:v>
      </x:c>
      <x:c r="CH303" s="23">
        <x:f t="shared" si="260"/>
        <x:v>48.217728399999999</x:v>
      </x:c>
      <x:c r="CI303" s="23">
        <x:f t="shared" si="261"/>
        <x:v>0</x:v>
      </x:c>
      <x:c r="CJ303" s="24" t="s">
        <x:v>114</x:v>
      </x:c>
      <x:c r="CK303" s="29">
        <x:v>95</x:v>
      </x:c>
      <x:c r="CL303" s="26" t="s">
        <x:v>104</x:v>
      </x:c>
      <x:c r="CM303" s="28">
        <x:v>85</x:v>
      </x:c>
      <x:c r="CN303" s="30" t="s">
        <x:v>208</x:v>
      </x:c>
      <x:c r="CO303" s="27">
        <x:v>98.7</x:v>
      </x:c>
      <x:c r="CP303" s="27">
        <x:v>97</x:v>
      </x:c>
      <x:c r="CQ303" s="26">
        <x:f t="shared" si="262"/>
        <x:v>635.26857167000048</x:v>
      </x:c>
      <x:c r="CR303" s="26">
        <x:f t="shared" si="263"/>
        <x:v>1303.6868316150003</x:v>
      </x:c>
      <x:c r="CS303" s="26">
        <x:f t="shared" si="264"/>
        <x:v>2410.8864199999998</x:v>
      </x:c>
      <x:c r="CT303" s="26">
        <x:f t="shared" si="285"/>
        <x:v>428.72853479020534</x:v>
      </x:c>
      <x:c r="CU303" s="26">
        <x:f t="shared" si="286"/>
        <x:v>258.09744569310021</x:v>
      </x:c>
      <x:c r="CV303" s="26">
        <x:f t="shared" si="287"/>
        <x:v>0.51619489138620045</x:v>
      </x:c>
      <x:c r="CW303" s="26">
        <x:f t="shared" si="288"/>
        <x:v>0</x:v>
      </x:c>
      <x:c r="CX303" s="26">
        <x:f t="shared" si="265"/>
        <x:v>48.217728399999999</x:v>
      </x:c>
      <x:c r="CY303" s="26">
        <x:f t="shared" si="266"/>
        <x:v>0</x:v>
      </x:c>
    </x:row>
    <x:row r="304">
      <x:c r="A304" s="18">
        <x:v>2022</x:v>
      </x:c>
      <x:c r="B304" t="s">
        <x:v>639</x:v>
      </x:c>
      <x:c r="C304" t="s">
        <x:v>78</x:v>
      </x:c>
      <x:c r="D304" t="s">
        <x:v>640</x:v>
      </x:c>
      <x:c r="E304" s="18">
        <x:v>441602</x:v>
      </x:c>
      <x:c r="F304" t="s">
        <x:v>641</x:v>
      </x:c>
      <x:c r="G304" t="s">
        <x:v>642</x:v>
      </x:c>
      <x:c r="H304" s="18">
        <x:v>4411</x:v>
      </x:c>
      <x:c r="I304" t="s">
        <x:v>102</x:v>
      </x:c>
      <x:c r="J304" t="s">
        <x:v>78</x:v>
      </x:c>
      <x:c r="K304" t="s">
        <x:v>109</x:v>
      </x:c>
      <x:c r="L304" s="20">
        <x:v>60</x:v>
      </x:c>
      <x:c r="M304" t="s">
        <x:v>110</x:v>
      </x:c>
      <x:c r="N304" s="18">
        <x:v>1795</x:v>
      </x:c>
      <x:c r="O304" t="s">
        <x:v>88</x:v>
      </x:c>
      <x:c r="P304" s="18">
        <x:v>1</x:v>
      </x:c>
      <x:c r="Q304" s="19" t="s">
        <x:v>121</x:v>
      </x:c>
      <x:c r="R304" s="18">
        <x:v>1051719.81</x:v>
      </x:c>
      <x:c r="S304" t="s">
        <x:v>112</x:v>
      </x:c>
      <x:c r="T304" s="19">
        <x:f t="shared" si="289"/>
        <x:v>1051719.81</x:v>
      </x:c>
      <x:c r="U304" s="20">
        <x:v>0.62</x:v>
      </x:c>
      <x:c r="V304" t="s">
        <x:v>113</x:v>
      </x:c>
      <x:c r="W304" s="20">
        <x:v>15.86</x:v>
      </x:c>
      <x:c r="X304" s="21">
        <x:f t="shared" si="290"/>
        <x:v>11085.1267974</x:v>
      </x:c>
      <x:c r="Y304" s="21">
        <x:f t="shared" si="296"/>
        <x:v>7582.8998301000001</x:v>
      </x:c>
      <x:c r="Z304" s="21">
        <x:f t="shared" si="291"/>
        <x:v>2103.4396200000001</x:v>
      </x:c>
      <x:c r="AA304" s="21">
        <x:f t="shared" si="297"/>
        <x:v>28773.476421885003</x:v>
      </x:c>
      <x:c r="AB304" s="21">
        <x:f t="shared" si="298"/>
        <x:v>7506.1242839700008</x:v>
      </x:c>
      <x:c r="AC304" s="21">
        <x:f t="shared" si="299"/>
        <x:v>15.012248567940002</x:v>
      </x:c>
      <x:c r="AD304" s="21"/>
      <x:c r="AE304" s="21">
        <x:f t="shared" si="295"/>
        <x:v>42.068792400000007</x:v>
      </x:c>
      <x:c r="AF304" s="21"/>
      <x:c r="AG304" s="19" t="s">
        <x:v>78</x:v>
      </x:c>
      <x:c r="AH304" t="s">
        <x:v>78</x:v>
      </x:c>
      <x:c r="AI304" t="s">
        <x:v>78</x:v>
      </x:c>
      <x:c r="AJ304" s="19"/>
      <x:c r="AK304" s="19" t="s">
        <x:v>78</x:v>
      </x:c>
      <x:c r="AL304" t="s">
        <x:v>78</x:v>
      </x:c>
      <x:c r="AM304" s="19" t="s">
        <x:v>78</x:v>
      </x:c>
      <x:c r="AN304" s="21"/>
      <x:c r="AO304" s="21"/>
      <x:c r="AP304" s="21"/>
      <x:c r="AQ304" s="21"/>
      <x:c r="AR304" s="21"/>
      <x:c r="AS304" s="21"/>
      <x:c r="AT304" s="21"/>
      <x:c r="AU304" s="21"/>
      <x:c r="AV304" s="21"/>
      <x:c r="AW304" t="s">
        <x:v>78</x:v>
      </x:c>
      <x:c r="AX304" s="19"/>
      <x:c r="AY304" s="21"/>
      <x:c r="AZ304" s="21"/>
      <x:c r="BA304" s="21"/>
      <x:c r="BB304" s="21"/>
      <x:c r="BC304" s="21"/>
      <x:c r="BD304" s="21"/>
      <x:c r="BE304" s="21"/>
      <x:c r="BF304" s="21"/>
      <x:c r="BG304" s="21"/>
      <x:c r="BH304" t="s">
        <x:v>79</x:v>
      </x:c>
      <x:c r="BI304" s="18">
        <x:v>114</x:v>
      </x:c>
      <x:c r="BJ304" s="18">
        <x:v>38</x:v>
      </x:c>
      <x:c r="BK304" s="18">
        <x:v>21.01</x:v>
      </x:c>
      <x:c r="BL304" s="18">
        <x:v>23</x:v>
      </x:c>
      <x:c r="BM304" s="18">
        <x:v>34</x:v>
      </x:c>
      <x:c r="BN304" s="18">
        <x:v>2.93</x:v>
      </x:c>
      <x:c r="BO304" s="22">
        <x:v>114.63916944444399</x:v>
      </x:c>
      <x:c r="BP304" s="22">
        <x:v>23.567480555555601</x:v>
      </x:c>
      <x:c r="BQ304" s="18">
        <x:v>210</x:v>
      </x:c>
      <x:c r="BR304" s="18">
        <x:v>804010.89</x:v>
      </x:c>
      <x:c r="BS304" s="18">
        <x:v>11111.209000000001</x:v>
      </x:c>
      <x:c r="BT304" s="18">
        <x:v>278.41699999999997</x:v>
      </x:c>
      <x:c r="BU304" s="18">
        <x:v>2282.232</x:v>
      </x:c>
      <x:c r="BV304" s="18">
        <x:v>456.44600000000003</x:v>
      </x:c>
      <x:c r="BW304" s="18">
        <x:v>163271.087</x:v>
      </x:c>
      <x:c r="BX304" s="18">
        <x:v>6.2430000000000003</x:v>
      </x:c>
      <x:c r="BY304" s="18">
        <x:v>7267.384</x:v>
      </x:c>
      <x:c r="BZ304" s="18">
        <x:v>7267.384</x:v>
      </x:c>
      <x:c r="CA304" s="23">
        <x:f t="shared" si="253"/>
        <x:v>11085.1267974</x:v>
      </x:c>
      <x:c r="CB304" s="23">
        <x:f t="shared" si="254"/>
        <x:v>7582.8998301000001</x:v>
      </x:c>
      <x:c r="CC304" s="23">
        <x:f t="shared" si="255"/>
        <x:v>2103.4396200000001</x:v>
      </x:c>
      <x:c r="CD304" s="23">
        <x:f t="shared" si="256"/>
        <x:v>28773.476421885003</x:v>
      </x:c>
      <x:c r="CE304" s="23">
        <x:f t="shared" si="257"/>
        <x:v>7506.1242839700008</x:v>
      </x:c>
      <x:c r="CF304" s="23">
        <x:f t="shared" si="258"/>
        <x:v>15.012248567940002</x:v>
      </x:c>
      <x:c r="CG304" s="23">
        <x:f t="shared" si="259"/>
        <x:v>0</x:v>
      </x:c>
      <x:c r="CH304" s="23">
        <x:f t="shared" si="260"/>
        <x:v>42.068792400000007</x:v>
      </x:c>
      <x:c r="CI304" s="23">
        <x:f t="shared" si="261"/>
        <x:v>0</x:v>
      </x:c>
      <x:c r="CJ304" s="24" t="s">
        <x:v>114</x:v>
      </x:c>
      <x:c r="CK304" s="29">
        <x:v>95</x:v>
      </x:c>
      <x:c r="CL304" s="26" t="s">
        <x:v>104</x:v>
      </x:c>
      <x:c r="CM304" s="28">
        <x:v>85</x:v>
      </x:c>
      <x:c r="CN304" s="30" t="s">
        <x:v>208</x:v>
      </x:c>
      <x:c r="CO304" s="27">
        <x:v>98.7</x:v>
      </x:c>
      <x:c r="CP304" s="27">
        <x:v>97</x:v>
      </x:c>
      <x:c r="CQ304" s="26">
        <x:f t="shared" si="262"/>
        <x:v>554.25633987000049</x:v>
      </x:c>
      <x:c r="CR304" s="26">
        <x:f t="shared" si="263"/>
        <x:v>1137.4349745150002</x:v>
      </x:c>
      <x:c r="CS304" s="26">
        <x:f t="shared" si="264"/>
        <x:v>2103.4396200000001</x:v>
      </x:c>
      <x:c r="CT304" s="26">
        <x:f t="shared" si="285"/>
        <x:v>374.05519348450537</x:v>
      </x:c>
      <x:c r="CU304" s="26">
        <x:f t="shared" si="286"/>
        <x:v>225.18372851910021</x:v>
      </x:c>
      <x:c r="CV304" s="26">
        <x:f t="shared" si="287"/>
        <x:v>0.45036745703820047</x:v>
      </x:c>
      <x:c r="CW304" s="26">
        <x:f t="shared" si="288"/>
        <x:v>0</x:v>
      </x:c>
      <x:c r="CX304" s="26">
        <x:f t="shared" si="265"/>
        <x:v>42.068792400000007</x:v>
      </x:c>
      <x:c r="CY304" s="26">
        <x:f t="shared" si="266"/>
        <x:v>0</x:v>
      </x:c>
    </x:row>
    <x:row r="305">
      <x:c r="A305" s="18">
        <x:v>2022</x:v>
      </x:c>
      <x:c r="B305" t="s">
        <x:v>643</x:v>
      </x:c>
      <x:c r="C305" t="s">
        <x:v>644</x:v>
      </x:c>
      <x:c r="D305" t="s">
        <x:v>645</x:v>
      </x:c>
      <x:c r="E305" s="18">
        <x:v>441602</x:v>
      </x:c>
      <x:c r="F305" t="s">
        <x:v>641</x:v>
      </x:c>
      <x:c r="G305" t="s">
        <x:v>642</x:v>
      </x:c>
      <x:c r="H305" s="18">
        <x:v>4411</x:v>
      </x:c>
      <x:c r="I305" t="s">
        <x:v>102</x:v>
      </x:c>
      <x:c r="J305" t="s">
        <x:v>78</x:v>
      </x:c>
      <x:c r="K305" t="s">
        <x:v>109</x:v>
      </x:c>
      <x:c r="L305" s="20">
        <x:v>100</x:v>
      </x:c>
      <x:c r="M305" t="s">
        <x:v>110</x:v>
      </x:c>
      <x:c r="N305" s="18">
        <x:v>2693</x:v>
      </x:c>
      <x:c r="O305" t="s">
        <x:v>88</x:v>
      </x:c>
      <x:c r="P305" s="18">
        <x:v>1</x:v>
      </x:c>
      <x:c r="Q305" s="19" t="s">
        <x:v>121</x:v>
      </x:c>
      <x:c r="R305" s="18">
        <x:v>1814275</x:v>
      </x:c>
      <x:c r="S305" t="s">
        <x:v>112</x:v>
      </x:c>
      <x:c r="T305" s="19">
        <x:f t="shared" si="289"/>
        <x:v>1814275</x:v>
      </x:c>
      <x:c r="U305" s="20">
        <x:v>0.66</x:v>
      </x:c>
      <x:c r="V305" t="s">
        <x:v>113</x:v>
      </x:c>
      <x:c r="W305" s="20">
        <x:v>14.98</x:v>
      </x:c>
      <x:c r="X305" s="21">
        <x:f t="shared" si="290"/>
        <x:v>20356.165499999999</x:v>
      </x:c>
      <x:c r="Y305" s="21">
        <x:f t="shared" si="296"/>
        <x:v>13080.92275</x:v>
      </x:c>
      <x:c r="Z305" s="21">
        <x:f t="shared" si="291"/>
        <x:v>3628.55</x:v>
      </x:c>
      <x:c r="AA305" s="21">
        <x:f t="shared" si="297"/>
        <x:v>46881.773137500008</x:v>
      </x:c>
      <x:c r="AB305" s="21">
        <x:f t="shared" si="298"/>
        <x:v>12230.027775</x:v>
      </x:c>
      <x:c r="AC305" s="21">
        <x:f t="shared" si="299"/>
        <x:v>24.46005555</x:v>
      </x:c>
      <x:c r="AD305" s="21"/>
      <x:c r="AE305" s="21">
        <x:f t="shared" si="295"/>
        <x:v>72.570999999999998</x:v>
      </x:c>
      <x:c r="AF305" s="21"/>
      <x:c r="AG305" s="19" t="s">
        <x:v>78</x:v>
      </x:c>
      <x:c r="AH305" t="s">
        <x:v>78</x:v>
      </x:c>
      <x:c r="AI305" t="s">
        <x:v>78</x:v>
      </x:c>
      <x:c r="AJ305" s="19"/>
      <x:c r="AK305" s="19" t="s">
        <x:v>78</x:v>
      </x:c>
      <x:c r="AL305" t="s">
        <x:v>78</x:v>
      </x:c>
      <x:c r="AM305" s="19" t="s">
        <x:v>78</x:v>
      </x:c>
      <x:c r="AN305" s="21"/>
      <x:c r="AO305" s="21"/>
      <x:c r="AP305" s="21"/>
      <x:c r="AQ305" s="21"/>
      <x:c r="AR305" s="21"/>
      <x:c r="AS305" s="21"/>
      <x:c r="AT305" s="21"/>
      <x:c r="AU305" s="21"/>
      <x:c r="AV305" s="21"/>
      <x:c r="AW305" t="s">
        <x:v>78</x:v>
      </x:c>
      <x:c r="AX305" s="19"/>
      <x:c r="AY305" s="21"/>
      <x:c r="AZ305" s="21"/>
      <x:c r="BA305" s="21"/>
      <x:c r="BB305" s="21"/>
      <x:c r="BC305" s="21"/>
      <x:c r="BD305" s="21"/>
      <x:c r="BE305" s="21"/>
      <x:c r="BF305" s="21"/>
      <x:c r="BG305" s="21"/>
      <x:c r="BH305" t="s">
        <x:v>81</x:v>
      </x:c>
      <x:c r="BI305" s="18">
        <x:v>114</x:v>
      </x:c>
      <x:c r="BJ305" s="18">
        <x:v>38</x:v>
      </x:c>
      <x:c r="BK305" s="18">
        <x:v>13.49</x:v>
      </x:c>
      <x:c r="BL305" s="18">
        <x:v>23</x:v>
      </x:c>
      <x:c r="BM305" s="18">
        <x:v>33</x:v>
      </x:c>
      <x:c r="BN305" s="18">
        <x:v>57.24</x:v>
      </x:c>
      <x:c r="BO305" s="22">
        <x:v>114.637080555556</x:v>
      </x:c>
      <x:c r="BP305" s="22">
        <x:v>23.565899999999999</x:v>
      </x:c>
      <x:c r="BQ305" s="18">
        <x:v>240</x:v>
      </x:c>
      <x:c r="BR305" s="18">
        <x:v>1143304.1299999999</x:v>
      </x:c>
      <x:c r="BS305" s="18">
        <x:v>20668.221000000001</x:v>
      </x:c>
      <x:c r="BT305" s="18">
        <x:v>513.16600000000005</x:v>
      </x:c>
      <x:c r="BU305" s="18">
        <x:v>3229.41</x:v>
      </x:c>
      <x:c r="BV305" s="18">
        <x:v>549</x:v>
      </x:c>
      <x:c r="BW305" s="18">
        <x:v>266744.50799999997</x:v>
      </x:c>
      <x:c r="BX305" s="18">
        <x:v>10.462</x:v>
      </x:c>
      <x:c r="BY305" s="18">
        <x:v>12536.64</x:v>
      </x:c>
      <x:c r="BZ305" s="18">
        <x:v>12536.64</x:v>
      </x:c>
      <x:c r="CA305" s="23">
        <x:f t="shared" si="253"/>
        <x:v>20356.165499999999</x:v>
      </x:c>
      <x:c r="CB305" s="23">
        <x:f t="shared" si="254"/>
        <x:v>13080.92275</x:v>
      </x:c>
      <x:c r="CC305" s="23">
        <x:f t="shared" si="255"/>
        <x:v>3628.55</x:v>
      </x:c>
      <x:c r="CD305" s="23">
        <x:f t="shared" si="256"/>
        <x:v>46881.773137500008</x:v>
      </x:c>
      <x:c r="CE305" s="23">
        <x:f t="shared" si="257"/>
        <x:v>12230.027775</x:v>
      </x:c>
      <x:c r="CF305" s="23">
        <x:f t="shared" si="258"/>
        <x:v>24.46005555</x:v>
      </x:c>
      <x:c r="CG305" s="23">
        <x:f t="shared" si="259"/>
        <x:v>0</x:v>
      </x:c>
      <x:c r="CH305" s="23">
        <x:f t="shared" si="260"/>
        <x:v>72.570999999999998</x:v>
      </x:c>
      <x:c r="CI305" s="23">
        <x:f t="shared" si="261"/>
        <x:v>0</x:v>
      </x:c>
      <x:c r="CJ305" s="24" t="s">
        <x:v>646</x:v>
      </x:c>
      <x:c r="CK305" s="25">
        <x:v>98.2</x:v>
      </x:c>
      <x:c r="CL305" s="26" t="s">
        <x:v>647</x:v>
      </x:c>
      <x:c r="CM305" s="26">
        <x:v>86</x:v>
      </x:c>
      <x:c r="CN305" s="27" t="s">
        <x:v>648</x:v>
      </x:c>
      <x:c r="CO305" s="27">
        <x:v>99.4</x:v>
      </x:c>
      <x:c r="CP305" s="27">
        <x:v>98.3</x:v>
      </x:c>
      <x:c r="CQ305" s="26">
        <x:f t="shared" si="262"/>
        <x:v>366.41097900000034</x:v>
      </x:c>
      <x:c r="CR305" s="26">
        <x:f t="shared" si="263"/>
        <x:v>1831.3291850000001</x:v>
      </x:c>
      <x:c r="CS305" s="26">
        <x:f t="shared" si="264"/>
        <x:v>3628.55</x:v>
      </x:c>
      <x:c r="CT305" s="26">
        <x:f t="shared" si="285"/>
        <x:v>281.29063882499509</x:v>
      </x:c>
      <x:c r="CU305" s="26">
        <x:f t="shared" si="286"/>
        <x:v>207.91047217500019</x:v>
      </x:c>
      <x:c r="CV305" s="26">
        <x:f t="shared" si="287"/>
        <x:v>0.41582094435000039</x:v>
      </x:c>
      <x:c r="CW305" s="26">
        <x:f t="shared" si="288"/>
        <x:v>0</x:v>
      </x:c>
      <x:c r="CX305" s="26">
        <x:f t="shared" si="265"/>
        <x:v>72.570999999999998</x:v>
      </x:c>
      <x:c r="CY305" s="26">
        <x:f t="shared" si="266"/>
        <x:v>0</x:v>
      </x:c>
    </x:row>
    <x:row r="306">
      <x:c r="A306" s="18">
        <x:v>2022</x:v>
      </x:c>
      <x:c r="B306" t="s">
        <x:v>643</x:v>
      </x:c>
      <x:c r="C306" t="s">
        <x:v>644</x:v>
      </x:c>
      <x:c r="D306" t="s">
        <x:v>645</x:v>
      </x:c>
      <x:c r="E306" s="18">
        <x:v>441602</x:v>
      </x:c>
      <x:c r="F306" t="s">
        <x:v>641</x:v>
      </x:c>
      <x:c r="G306" t="s">
        <x:v>642</x:v>
      </x:c>
      <x:c r="H306" s="18">
        <x:v>4411</x:v>
      </x:c>
      <x:c r="I306" t="s">
        <x:v>102</x:v>
      </x:c>
      <x:c r="J306" t="s">
        <x:v>78</x:v>
      </x:c>
      <x:c r="K306" t="s">
        <x:v>109</x:v>
      </x:c>
      <x:c r="L306" s="20">
        <x:v>100</x:v>
      </x:c>
      <x:c r="M306" t="s">
        <x:v>110</x:v>
      </x:c>
      <x:c r="N306" s="18">
        <x:v>2693</x:v>
      </x:c>
      <x:c r="O306" t="s">
        <x:v>88</x:v>
      </x:c>
      <x:c r="P306" s="18">
        <x:v>1</x:v>
      </x:c>
      <x:c r="Q306" s="19" t="s">
        <x:v>121</x:v>
      </x:c>
      <x:c r="R306" s="18">
        <x:v>1942183</x:v>
      </x:c>
      <x:c r="S306" t="s">
        <x:v>112</x:v>
      </x:c>
      <x:c r="T306" s="19">
        <x:f t="shared" si="289"/>
        <x:v>1942183</x:v>
      </x:c>
      <x:c r="U306" s="20">
        <x:v>0.66</x:v>
      </x:c>
      <x:c r="V306" t="s">
        <x:v>113</x:v>
      </x:c>
      <x:c r="W306" s="20">
        <x:v>14.98</x:v>
      </x:c>
      <x:c r="X306" s="21">
        <x:f t="shared" si="290"/>
        <x:v>21791.293259999999</x:v>
      </x:c>
      <x:c r="Y306" s="21">
        <x:f t="shared" si="296"/>
        <x:v>14003.139429999999</x:v>
      </x:c>
      <x:c r="Z306" s="21">
        <x:f t="shared" si="291"/>
        <x:v>3884.366</x:v>
      </x:c>
      <x:c r="AA306" s="21">
        <x:f t="shared" si="297"/>
        <x:v>50186.979811500001</x:v>
      </x:c>
      <x:c r="AB306" s="21">
        <x:f t="shared" si="298"/>
        <x:v>13092.255603000001</x:v>
      </x:c>
      <x:c r="AC306" s="21">
        <x:f t="shared" si="299"/>
        <x:v>26.184511206000003</x:v>
      </x:c>
      <x:c r="AD306" s="21"/>
      <x:c r="AE306" s="21">
        <x:f t="shared" si="295"/>
        <x:v>77.687320000000014</x:v>
      </x:c>
      <x:c r="AF306" s="21"/>
      <x:c r="AG306" s="19" t="s">
        <x:v>78</x:v>
      </x:c>
      <x:c r="AH306" t="s">
        <x:v>78</x:v>
      </x:c>
      <x:c r="AI306" t="s">
        <x:v>78</x:v>
      </x:c>
      <x:c r="AJ306" s="19"/>
      <x:c r="AK306" s="19" t="s">
        <x:v>78</x:v>
      </x:c>
      <x:c r="AL306" t="s">
        <x:v>78</x:v>
      </x:c>
      <x:c r="AM306" s="19" t="s">
        <x:v>78</x:v>
      </x:c>
      <x:c r="AN306" s="21"/>
      <x:c r="AO306" s="21"/>
      <x:c r="AP306" s="21"/>
      <x:c r="AQ306" s="21"/>
      <x:c r="AR306" s="21"/>
      <x:c r="AS306" s="21"/>
      <x:c r="AT306" s="21"/>
      <x:c r="AU306" s="21"/>
      <x:c r="AV306" s="21"/>
      <x:c r="AW306" t="s">
        <x:v>78</x:v>
      </x:c>
      <x:c r="AX306" s="19"/>
      <x:c r="AY306" s="21"/>
      <x:c r="AZ306" s="21"/>
      <x:c r="BA306" s="21"/>
      <x:c r="BB306" s="21"/>
      <x:c r="BC306" s="21"/>
      <x:c r="BD306" s="21"/>
      <x:c r="BE306" s="21"/>
      <x:c r="BF306" s="21"/>
      <x:c r="BG306" s="21"/>
      <x:c r="BH306" t="s">
        <x:v>79</x:v>
      </x:c>
      <x:c r="BI306" s="18">
        <x:v>114</x:v>
      </x:c>
      <x:c r="BJ306" s="18">
        <x:v>38</x:v>
      </x:c>
      <x:c r="BK306" s="18">
        <x:v>13.49</x:v>
      </x:c>
      <x:c r="BL306" s="18">
        <x:v>23</x:v>
      </x:c>
      <x:c r="BM306" s="18">
        <x:v>33</x:v>
      </x:c>
      <x:c r="BN306" s="18">
        <x:v>57.24</x:v>
      </x:c>
      <x:c r="BO306" s="22">
        <x:v>114.637080555556</x:v>
      </x:c>
      <x:c r="BP306" s="22">
        <x:v>23.565899999999999</x:v>
      </x:c>
      <x:c r="BQ306" s="18">
        <x:v>240</x:v>
      </x:c>
      <x:c r="BR306" s="18">
        <x:v>1178485.51</x:v>
      </x:c>
      <x:c r="BS306" s="18">
        <x:v>22125.348999999998</x:v>
      </x:c>
      <x:c r="BT306" s="18">
        <x:v>549.34500000000003</x:v>
      </x:c>
      <x:c r="BU306" s="18">
        <x:v>3457.0859999999998</x:v>
      </x:c>
      <x:c r="BV306" s="18">
        <x:v>587.70500000000004</x:v>
      </x:c>
      <x:c r="BW306" s="18">
        <x:v>285550.23200000002</x:v>
      </x:c>
      <x:c r="BX306" s="18">
        <x:v>11.2</x:v>
      </x:c>
      <x:c r="BY306" s="18">
        <x:v>13420.485000000001</x:v>
      </x:c>
      <x:c r="BZ306" s="18">
        <x:v>13420.485000000001</x:v>
      </x:c>
      <x:c r="CA306" s="23">
        <x:f t="shared" si="253"/>
        <x:v>21791.293259999999</x:v>
      </x:c>
      <x:c r="CB306" s="23">
        <x:f t="shared" si="254"/>
        <x:v>14003.139429999999</x:v>
      </x:c>
      <x:c r="CC306" s="23">
        <x:f t="shared" si="255"/>
        <x:v>3884.366</x:v>
      </x:c>
      <x:c r="CD306" s="23">
        <x:f t="shared" si="256"/>
        <x:v>50186.979811500001</x:v>
      </x:c>
      <x:c r="CE306" s="23">
        <x:f t="shared" si="257"/>
        <x:v>13092.255603000001</x:v>
      </x:c>
      <x:c r="CF306" s="23">
        <x:f t="shared" si="258"/>
        <x:v>26.184511206000003</x:v>
      </x:c>
      <x:c r="CG306" s="23">
        <x:f t="shared" si="259"/>
        <x:v>0</x:v>
      </x:c>
      <x:c r="CH306" s="23">
        <x:f t="shared" si="260"/>
        <x:v>77.687320000000014</x:v>
      </x:c>
      <x:c r="CI306" s="23">
        <x:f t="shared" si="261"/>
        <x:v>0</x:v>
      </x:c>
      <x:c r="CJ306" s="24" t="s">
        <x:v>646</x:v>
      </x:c>
      <x:c r="CK306" s="25">
        <x:v>98.2</x:v>
      </x:c>
      <x:c r="CL306" s="26" t="s">
        <x:v>647</x:v>
      </x:c>
      <x:c r="CM306" s="26">
        <x:v>86</x:v>
      </x:c>
      <x:c r="CN306" s="27" t="s">
        <x:v>648</x:v>
      </x:c>
      <x:c r="CO306" s="27">
        <x:v>99.4</x:v>
      </x:c>
      <x:c r="CP306" s="27">
        <x:v>98.3</x:v>
      </x:c>
      <x:c r="CQ306" s="26">
        <x:f t="shared" si="262"/>
        <x:v>392.24327868000034</x:v>
      </x:c>
      <x:c r="CR306" s="26">
        <x:f t="shared" si="263"/>
        <x:v>1960.4395202000001</x:v>
      </x:c>
      <x:c r="CS306" s="26">
        <x:f t="shared" si="264"/>
        <x:v>3884.366</x:v>
      </x:c>
      <x:c r="CT306" s="26">
        <x:f t="shared" si="285"/>
        <x:v>301.12187886899471</x:v>
      </x:c>
      <x:c r="CU306" s="26">
        <x:f t="shared" si="286"/>
        <x:v>222.56834525100021</x:v>
      </x:c>
      <x:c r="CV306" s="26">
        <x:f t="shared" si="287"/>
        <x:v>0.44513669050200044</x:v>
      </x:c>
      <x:c r="CW306" s="26">
        <x:f t="shared" si="288"/>
        <x:v>0</x:v>
      </x:c>
      <x:c r="CX306" s="26">
        <x:f t="shared" si="265"/>
        <x:v>77.687320000000014</x:v>
      </x:c>
      <x:c r="CY306" s="26">
        <x:f t="shared" si="266"/>
        <x:v>0</x:v>
      </x:c>
    </x:row>
    <x:row r="307" s="8" customFormat="1">
      <x:c r="A307" s="31">
        <x:v>2022</x:v>
      </x:c>
      <x:c r="B307" s="8" t="s">
        <x:v>649</x:v>
      </x:c>
      <x:c r="C307" s="8" t="s">
        <x:v>650</x:v>
      </x:c>
      <x:c r="D307" s="8" t="s">
        <x:v>651</x:v>
      </x:c>
      <x:c r="E307" s="31">
        <x:v>441622</x:v>
      </x:c>
      <x:c r="F307" s="8" t="s">
        <x:v>652</x:v>
      </x:c>
      <x:c r="G307" t="s">
        <x:v>642</x:v>
      </x:c>
      <x:c r="H307" s="31">
        <x:v>2921</x:v>
      </x:c>
      <x:c r="I307" s="8" t="s">
        <x:v>653</x:v>
      </x:c>
      <x:c r="J307" s="8" t="s">
        <x:v>78</x:v>
      </x:c>
      <x:c r="K307" s="8" t="s">
        <x:v>72</x:v>
      </x:c>
      <x:c r="L307" s="31">
        <x:v>120</x:v>
      </x:c>
      <x:c r="M307" s="8" t="s">
        <x:v>136</x:v>
      </x:c>
      <x:c r="N307" s="31">
        <x:v>2.4300000000000002</x:v>
      </x:c>
      <x:c r="O307" s="8" t="s">
        <x:v>88</x:v>
      </x:c>
      <x:c r="P307" s="31">
        <x:v>15</x:v>
      </x:c>
      <x:c r="Q307" s="32" t="s">
        <x:v>96</x:v>
      </x:c>
      <x:c r="R307" s="31">
        <x:v>40</x:v>
      </x:c>
      <x:c r="S307" s="8" t="s">
        <x:v>76</x:v>
      </x:c>
      <x:c r="T307" s="32">
        <x:f t="shared" si="289"/>
        <x:v>40</x:v>
      </x:c>
      <x:c r="U307" s="19">
        <x:v>12.72</x:v>
      </x:c>
      <x:c r="V307" s="8" t="s">
        <x:v>77</x:v>
      </x:c>
      <x:c r="W307" s="32" t="s">
        <x:v>78</x:v>
      </x:c>
      <x:c r="X307" s="33" t="n">
        <x:f>2*U307*T307*10000/1000000000</x:f>
        <x:v>0.010176</x:v>
      </x:c>
      <x:c r="Y307" s="21" t="n">
        <x:f>4.1*T307*10000/1000000</x:f>
        <x:v>1.64</x:v>
      </x:c>
      <x:c r="Z307" s="21" t="n">
        <x:f>1.3*T307*10000/1000000</x:f>
        <x:v>0.52</x:v>
      </x:c>
      <x:c r="AA307" s="21" t="n">
        <x:f>0.03*T307*10000/1000000</x:f>
        <x:v>0.012</x:v>
      </x:c>
      <x:c r="AB307" s="21" t="n">
        <x:f>0.03*T307*10000/1000000</x:f>
        <x:v>0.012</x:v>
      </x:c>
      <x:c r="AC307" s="33"/>
      <x:c r="AD307" s="33"/>
      <x:c r="AE307" s="21" t="n">
        <x:f>0.02*T307*10000/1000000</x:f>
        <x:v>0.008</x:v>
      </x:c>
      <x:c r="AF307" s="33"/>
      <x:c r="AG307" s="32" t="s">
        <x:v>78</x:v>
      </x:c>
      <x:c r="AH307" s="8" t="s">
        <x:v>78</x:v>
      </x:c>
      <x:c r="AI307" s="8" t="s">
        <x:v>78</x:v>
      </x:c>
      <x:c r="AJ307" s="32"/>
      <x:c r="AK307" s="32" t="s">
        <x:v>78</x:v>
      </x:c>
      <x:c r="AL307" s="8" t="s">
        <x:v>78</x:v>
      </x:c>
      <x:c r="AM307" s="32" t="s">
        <x:v>78</x:v>
      </x:c>
      <x:c r="AN307" s="33"/>
      <x:c r="AO307" s="33"/>
      <x:c r="AP307" s="33"/>
      <x:c r="AQ307" s="33"/>
      <x:c r="AR307" s="33"/>
      <x:c r="AS307" s="33"/>
      <x:c r="AT307" s="33"/>
      <x:c r="AU307" s="33"/>
      <x:c r="AV307" s="33"/>
      <x:c r="AW307" s="8" t="s">
        <x:v>78</x:v>
      </x:c>
      <x:c r="AX307" s="32"/>
      <x:c r="AY307" s="33"/>
      <x:c r="AZ307" s="33"/>
      <x:c r="BA307" s="33"/>
      <x:c r="BB307" s="33"/>
      <x:c r="BC307" s="33"/>
      <x:c r="BD307" s="33"/>
      <x:c r="BE307" s="33"/>
      <x:c r="BF307" s="33"/>
      <x:c r="BG307" s="33"/>
      <x:c r="BH307" s="8" t="s">
        <x:v>654</x:v>
      </x:c>
      <x:c r="BI307" s="31">
        <x:v>115</x:v>
      </x:c>
      <x:c r="BJ307" s="31">
        <x:v>21</x:v>
      </x:c>
      <x:c r="BK307" s="31">
        <x:v>51</x:v>
      </x:c>
      <x:c r="BL307" s="31">
        <x:v>24</x:v>
      </x:c>
      <x:c r="BM307" s="31">
        <x:v>3</x:v>
      </x:c>
      <x:c r="BN307" s="31">
        <x:v>23</x:v>
      </x:c>
      <x:c r="BO307" s="22">
        <x:v>115.364166666667</x:v>
      </x:c>
      <x:c r="BP307" s="22">
        <x:v>24.0563888888889</x:v>
      </x:c>
      <x:c r="BQ307" s="31">
        <x:v>6</x:v>
      </x:c>
      <x:c r="BR307" s="8" t="s">
        <x:v>78</x:v>
      </x:c>
      <x:c r="BS307" s="8" t="s">
        <x:v>78</x:v>
      </x:c>
      <x:c r="BT307" s="8" t="s">
        <x:v>78</x:v>
      </x:c>
      <x:c r="BU307" s="8" t="s">
        <x:v>78</x:v>
      </x:c>
      <x:c r="BV307" s="8" t="s">
        <x:v>78</x:v>
      </x:c>
      <x:c r="BW307" s="8" t="s">
        <x:v>78</x:v>
      </x:c>
      <x:c r="BX307" s="8" t="s">
        <x:v>78</x:v>
      </x:c>
      <x:c r="BY307" s="31">
        <x:v>67.2</x:v>
      </x:c>
      <x:c r="BZ307" s="31">
        <x:v>67.2</x:v>
      </x:c>
      <x:c r="CA307" s="23">
        <x:f t="shared" si="253"/>
        <x:v>1.0175999999999999E-2</x:v>
      </x:c>
      <x:c r="CB307" s="23">
        <x:f t="shared" si="254"/>
        <x:v>1.64</x:v>
      </x:c>
      <x:c r="CC307" s="23">
        <x:f t="shared" si="255"/>
        <x:v>0.52</x:v>
      </x:c>
      <x:c r="CD307" s="23">
        <x:f t="shared" si="256"/>
        <x:v>1.2E-2</x:v>
      </x:c>
      <x:c r="CE307" s="23">
        <x:f t="shared" si="257"/>
        <x:v>1.2E-2</x:v>
      </x:c>
      <x:c r="CF307" s="23">
        <x:f t="shared" si="258"/>
        <x:v>0</x:v>
      </x:c>
      <x:c r="CG307" s="23">
        <x:f t="shared" si="259"/>
        <x:v>0</x:v>
      </x:c>
      <x:c r="CH307" s="23">
        <x:f t="shared" si="260"/>
        <x:v>8.0000000000000002E-3</x:v>
      </x:c>
      <x:c r="CI307" s="23">
        <x:f t="shared" si="261"/>
        <x:v>0</x:v>
      </x:c>
      <x:c r="CJ307" s="25" t="s">
        <x:v>78</x:v>
      </x:c>
      <x:c r="CK307" s="25">
        <x:v>0</x:v>
      </x:c>
      <x:c r="CL307" s="34" t="s">
        <x:v>78</x:v>
      </x:c>
      <x:c r="CM307" s="26">
        <x:v>42</x:v>
      </x:c>
      <x:c r="CN307" s="35" t="s">
        <x:v>78</x:v>
      </x:c>
      <x:c r="CO307" s="27">
        <x:v>0</x:v>
      </x:c>
      <x:c r="CP307" s="27">
        <x:v>0</x:v>
      </x:c>
      <x:c r="CQ307" s="26">
        <x:f t="shared" si="262"/>
        <x:v>1.0175999999999999E-2</x:v>
      </x:c>
      <x:c r="CR307" s="26">
        <x:f t="shared" si="263"/>
        <x:v>0.95120000000000005</x:v>
      </x:c>
      <x:c r="CS307" s="26">
        <x:f t="shared" si="264"/>
        <x:v>0.52</x:v>
      </x:c>
      <x:c r="CT307" s="26">
        <x:f t="shared" si="285"/>
        <x:v>1.2E-2</x:v>
      </x:c>
      <x:c r="CU307" s="26">
        <x:f t="shared" si="286"/>
        <x:v>1.2E-2</x:v>
      </x:c>
      <x:c r="CV307" s="26">
        <x:f t="shared" si="287"/>
        <x:v>0</x:v>
      </x:c>
      <x:c r="CW307" s="26">
        <x:f t="shared" si="288"/>
        <x:v>0</x:v>
      </x:c>
      <x:c r="CX307" s="26">
        <x:f t="shared" si="265"/>
        <x:v>8.0000000000000002E-3</x:v>
      </x:c>
      <x:c r="CY307" s="26">
        <x:f t="shared" si="266"/>
        <x:v>0</x:v>
      </x:c>
    </x:row>
    <x:row r="308">
      <x:c r="A308" s="18">
        <x:v>2022</x:v>
      </x:c>
      <x:c r="B308" t="s">
        <x:v>655</x:v>
      </x:c>
      <x:c r="C308" t="s">
        <x:v>656</x:v>
      </x:c>
      <x:c r="D308" t="s">
        <x:v>657</x:v>
      </x:c>
      <x:c r="E308" s="18">
        <x:v>441625</x:v>
      </x:c>
      <x:c r="F308" t="s">
        <x:v>658</x:v>
      </x:c>
      <x:c r="G308" t="s">
        <x:v>642</x:v>
      </x:c>
      <x:c r="H308" s="18">
        <x:v>3041</x:v>
      </x:c>
      <x:c r="I308" t="s">
        <x:v>659</x:v>
      </x:c>
      <x:c r="J308" t="s">
        <x:v>78</x:v>
      </x:c>
      <x:c r="K308" t="s">
        <x:v>194</x:v>
      </x:c>
      <x:c r="L308" s="18">
        <x:v>2.7</x:v>
      </x:c>
      <x:c r="M308" t="s">
        <x:v>78</x:v>
      </x:c>
      <x:c r="N308" t="s">
        <x:v>78</x:v>
      </x:c>
      <x:c r="O308" t="s">
        <x:v>74</x:v>
      </x:c>
      <x:c r="P308" s="18">
        <x:v>22</x:v>
      </x:c>
      <x:c r="Q308" s="19" t="s">
        <x:v>368</x:v>
      </x:c>
      <x:c r="R308" s="18">
        <x:v>4024.81</x:v>
      </x:c>
      <x:c r="S308" t="s">
        <x:v>112</x:v>
      </x:c>
      <x:c r="T308" s="19" t="n">
        <x:f t="shared" ref="T308:T309" si="300">R308</x:f>
        <x:v>4024.81</x:v>
      </x:c>
      <x:c r="U308" s="20">
        <x:v>0.8</x:v>
      </x:c>
      <x:c r="V308" t="s">
        <x:v>113</x:v>
      </x:c>
      <x:c r="W308" s="19" t="s">
        <x:v>78</x:v>
      </x:c>
      <x:c r="X308" s="21" t="n">
        <x:f>2*U308/100*T308</x:f>
        <x:v>64.39696</x:v>
      </x:c>
      <x:c r="Y308" s="21" t="n">
        <x:f>10.06*T308/1000</x:f>
        <x:v>40.489588600000005</x:v>
      </x:c>
      <x:c r="Z308" s="21" t="n">
        <x:f>0.6*T308/1000</x:f>
        <x:v>2.414886</x:v>
      </x:c>
      <x:c r="AA308" s="21" t="n">
        <x:f>0.85*T308/1000</x:f>
        <x:v>3.4210884999999998</x:v>
      </x:c>
      <x:c r="AB308" s="21" t="n">
        <x:f>0.62*T308/1000</x:f>
        <x:v>2.4953822</x:v>
      </x:c>
      <x:c r="AC308" s="21" t="n">
        <x:f>0.04*T308/1000</x:f>
        <x:v>0.1609924</x:v>
      </x:c>
      <x:c r="AD308" s="21" t="n">
        <x:f>0.05*T308/1000</x:f>
        <x:v>0.2012405</x:v>
      </x:c>
      <x:c r="AE308" s="21" t="n">
        <x:f>0.19*T308/1000</x:f>
        <x:v>0.7647139</x:v>
      </x:c>
      <x:c r="AF308" s="21"/>
      <x:c r="AG308" s="19" t="s">
        <x:v>78</x:v>
      </x:c>
      <x:c r="AH308" t="s">
        <x:v>78</x:v>
      </x:c>
      <x:c r="AI308" t="s">
        <x:v>78</x:v>
      </x:c>
      <x:c r="AJ308" s="19"/>
      <x:c r="AK308" s="19" t="s">
        <x:v>78</x:v>
      </x:c>
      <x:c r="AL308" t="s">
        <x:v>78</x:v>
      </x:c>
      <x:c r="AM308" s="19" t="s">
        <x:v>78</x:v>
      </x:c>
      <x:c r="AN308" s="21"/>
      <x:c r="AO308" s="21"/>
      <x:c r="AP308" s="21"/>
      <x:c r="AQ308" s="21"/>
      <x:c r="AR308" s="21"/>
      <x:c r="AS308" s="21"/>
      <x:c r="AT308" s="21"/>
      <x:c r="AU308" s="21"/>
      <x:c r="AV308" s="21"/>
      <x:c r="AW308" t="s">
        <x:v>78</x:v>
      </x:c>
      <x:c r="AX308" s="19"/>
      <x:c r="AY308" s="21"/>
      <x:c r="AZ308" s="21"/>
      <x:c r="BA308" s="21"/>
      <x:c r="BB308" s="21"/>
      <x:c r="BC308" s="21"/>
      <x:c r="BD308" s="21"/>
      <x:c r="BE308" s="21"/>
      <x:c r="BF308" s="21"/>
      <x:c r="BG308" s="21"/>
      <x:c r="BH308" t="s">
        <x:v>660</x:v>
      </x:c>
      <x:c r="BI308" s="18">
        <x:v>115</x:v>
      </x:c>
      <x:c r="BJ308" s="18">
        <x:v>5</x:v>
      </x:c>
      <x:c r="BK308" s="18">
        <x:v>36.130000000000003</x:v>
      </x:c>
      <x:c r="BL308" s="18">
        <x:v>23</x:v>
      </x:c>
      <x:c r="BM308" s="18">
        <x:v>58</x:v>
      </x:c>
      <x:c r="BN308" s="18">
        <x:v>14.23</x:v>
      </x:c>
      <x:c r="BO308" s="22">
        <x:v>115.09336944444399</x:v>
      </x:c>
      <x:c r="BP308" s="22">
        <x:v>23.970619444444399</x:v>
      </x:c>
      <x:c r="BQ308" s="18">
        <x:v>99</x:v>
      </x:c>
      <x:c r="BR308" s="18">
        <x:v>47818.635999999999</x:v>
      </x:c>
      <x:c r="BS308" s="18">
        <x:v>1643.722</x:v>
      </x:c>
      <x:c r="BT308" s="18">
        <x:v>91.548000000000002</x:v>
      </x:c>
      <x:c r="BU308" s="18">
        <x:v>1119.646</x:v>
      </x:c>
      <x:c r="BV308" s="18">
        <x:v>200.63499999999999</x:v>
      </x:c>
      <x:c r="BW308" s="18">
        <x:v>419.476</x:v>
      </x:c>
      <x:c r="BX308" s="18">
        <x:v>5.1520000000000001</x:v>
      </x:c>
      <x:c r="BY308" t="s">
        <x:v>78</x:v>
      </x:c>
      <x:c r="BZ308" t="s">
        <x:v>78</x:v>
      </x:c>
      <x:c r="CA308" s="23">
        <x:f t="shared" si="253"/>
        <x:v>64.396960000000007</x:v>
      </x:c>
      <x:c r="CB308" s="23">
        <x:f t="shared" si="254"/>
        <x:v>40.489588600000005</x:v>
      </x:c>
      <x:c r="CC308" s="23">
        <x:f t="shared" si="255"/>
        <x:v>2.4148860000000001</x:v>
      </x:c>
      <x:c r="CD308" s="23">
        <x:f t="shared" si="256"/>
        <x:v>3.4210884999999998</x:v>
      </x:c>
      <x:c r="CE308" s="23">
        <x:f t="shared" si="257"/>
        <x:v>2.4953821999999999</x:v>
      </x:c>
      <x:c r="CF308" s="23">
        <x:f t="shared" si="258"/>
        <x:v>0.16099240000000001</x:v>
      </x:c>
      <x:c r="CG308" s="23">
        <x:f t="shared" si="259"/>
        <x:v>0.20124049999999999</x:v>
      </x:c>
      <x:c r="CH308" s="23">
        <x:f t="shared" si="260"/>
        <x:v>0.76471389999999995</x:v>
      </x:c>
      <x:c r="CI308" s="23">
        <x:f t="shared" si="261"/>
        <x:v>0</x:v>
      </x:c>
      <x:c r="CJ308" s="24" t="s">
        <x:v>78</x:v>
      </x:c>
      <x:c r="CK308" s="25">
        <x:v>0</x:v>
      </x:c>
      <x:c r="CL308" s="26" t="s">
        <x:v>78</x:v>
      </x:c>
      <x:c r="CM308" s="26" t="n">
        <x:f>(1-BV308/BU308)*100</x:f>
        <x:v>82.08049687133254</x:v>
      </x:c>
      <x:c r="CN308" s="27" t="s">
        <x:v>78</x:v>
      </x:c>
      <x:c r="CO308" s="27">
        <x:v>0</x:v>
      </x:c>
      <x:c r="CP308" s="27">
        <x:v>0</x:v>
      </x:c>
      <x:c r="CQ308" s="26">
        <x:f t="shared" si="262"/>
        <x:v>64.396960000000007</x:v>
      </x:c>
      <x:c r="CR308" s="26">
        <x:f t="shared" si="263"/>
        <x:v>7.2555330959615834</x:v>
      </x:c>
      <x:c r="CS308" s="26">
        <x:f t="shared" si="264"/>
        <x:v>2.4148860000000001</x:v>
      </x:c>
      <x:c r="CT308" s="26">
        <x:f t="shared" si="285"/>
        <x:v>3.4210884999999998</x:v>
      </x:c>
      <x:c r="CU308" s="26">
        <x:f t="shared" si="286"/>
        <x:v>2.4953821999999999</x:v>
      </x:c>
      <x:c r="CV308" s="26">
        <x:f t="shared" si="287"/>
        <x:v>0.16099240000000001</x:v>
      </x:c>
      <x:c r="CW308" s="26">
        <x:f t="shared" si="288"/>
        <x:v>0.20124049999999999</x:v>
      </x:c>
      <x:c r="CX308" s="26">
        <x:f t="shared" si="265"/>
        <x:v>0.76471389999999995</x:v>
      </x:c>
      <x:c r="CY308" s="26">
        <x:f t="shared" si="266"/>
        <x:v>0</x:v>
      </x:c>
    </x:row>
    <x:row r="309">
      <x:c r="A309" s="18">
        <x:v>2022</x:v>
      </x:c>
      <x:c r="B309" t="s">
        <x:v>655</x:v>
      </x:c>
      <x:c r="C309" t="s">
        <x:v>656</x:v>
      </x:c>
      <x:c r="D309" t="s">
        <x:v>657</x:v>
      </x:c>
      <x:c r="E309" s="18">
        <x:v>441625</x:v>
      </x:c>
      <x:c r="F309" t="s">
        <x:v>658</x:v>
      </x:c>
      <x:c r="G309" t="s">
        <x:v>642</x:v>
      </x:c>
      <x:c r="H309" s="18">
        <x:v>3041</x:v>
      </x:c>
      <x:c r="I309" t="s">
        <x:v>659</x:v>
      </x:c>
      <x:c r="J309" t="s">
        <x:v>78</x:v>
      </x:c>
      <x:c r="K309" t="s">
        <x:v>194</x:v>
      </x:c>
      <x:c r="L309" s="18">
        <x:v>1.8</x:v>
      </x:c>
      <x:c r="M309" t="s">
        <x:v>78</x:v>
      </x:c>
      <x:c r="N309" t="s">
        <x:v>78</x:v>
      </x:c>
      <x:c r="O309" t="s">
        <x:v>74</x:v>
      </x:c>
      <x:c r="P309" s="18">
        <x:v>22</x:v>
      </x:c>
      <x:c r="Q309" s="19" t="s">
        <x:v>368</x:v>
      </x:c>
      <x:c r="R309" s="18">
        <x:v>4964.9799999999996</x:v>
      </x:c>
      <x:c r="S309" t="s">
        <x:v>112</x:v>
      </x:c>
      <x:c r="T309" s="19">
        <x:f t="shared" si="300"/>
        <x:v>4964.9799999999996</x:v>
      </x:c>
      <x:c r="U309" s="20">
        <x:v>0.8</x:v>
      </x:c>
      <x:c r="V309" t="s">
        <x:v>113</x:v>
      </x:c>
      <x:c r="W309" s="19" t="s">
        <x:v>78</x:v>
      </x:c>
      <x:c r="X309" s="21" t="n">
        <x:f>2*U309/100*T309</x:f>
        <x:v>79.43968</x:v>
      </x:c>
      <x:c r="Y309" s="21" t="n">
        <x:f>10.06*T309/1000</x:f>
        <x:v>49.9476988</x:v>
      </x:c>
      <x:c r="Z309" s="21" t="n">
        <x:f>0.6*T309/1000</x:f>
        <x:v>2.9789879999999997</x:v>
      </x:c>
      <x:c r="AA309" s="21" t="n">
        <x:f>0.85*T309/1000</x:f>
        <x:v>4.2202329999999995</x:v>
      </x:c>
      <x:c r="AB309" s="21" t="n">
        <x:f>0.62*T309/1000</x:f>
        <x:v>3.0782875999999995</x:v>
      </x:c>
      <x:c r="AC309" s="21" t="n">
        <x:f>0.04*T309/1000</x:f>
        <x:v>0.1985992</x:v>
      </x:c>
      <x:c r="AD309" s="21" t="n">
        <x:f>0.05*T309/1000</x:f>
        <x:v>0.248249</x:v>
      </x:c>
      <x:c r="AE309" s="21" t="n">
        <x:f>0.19*T309/1000</x:f>
        <x:v>0.9433461999999999</x:v>
      </x:c>
      <x:c r="AF309" s="21"/>
      <x:c r="AG309" s="19" t="s">
        <x:v>78</x:v>
      </x:c>
      <x:c r="AH309" t="s">
        <x:v>78</x:v>
      </x:c>
      <x:c r="AI309" t="s">
        <x:v>78</x:v>
      </x:c>
      <x:c r="AJ309" s="19"/>
      <x:c r="AK309" s="19" t="s">
        <x:v>78</x:v>
      </x:c>
      <x:c r="AL309" t="s">
        <x:v>78</x:v>
      </x:c>
      <x:c r="AM309" s="19" t="s">
        <x:v>78</x:v>
      </x:c>
      <x:c r="AN309" s="21"/>
      <x:c r="AO309" s="21"/>
      <x:c r="AP309" s="21"/>
      <x:c r="AQ309" s="21"/>
      <x:c r="AR309" s="21"/>
      <x:c r="AS309" s="21"/>
      <x:c r="AT309" s="21"/>
      <x:c r="AU309" s="21"/>
      <x:c r="AV309" s="21"/>
      <x:c r="AW309" t="s">
        <x:v>78</x:v>
      </x:c>
      <x:c r="AX309" s="19"/>
      <x:c r="AY309" s="21"/>
      <x:c r="AZ309" s="21"/>
      <x:c r="BA309" s="21"/>
      <x:c r="BB309" s="21"/>
      <x:c r="BC309" s="21"/>
      <x:c r="BD309" s="21"/>
      <x:c r="BE309" s="21"/>
      <x:c r="BF309" s="21"/>
      <x:c r="BG309" s="21"/>
      <x:c r="BH309" t="s">
        <x:v>661</x:v>
      </x:c>
      <x:c r="BI309" s="18">
        <x:v>115</x:v>
      </x:c>
      <x:c r="BJ309" s="18">
        <x:v>5</x:v>
      </x:c>
      <x:c r="BK309" s="18">
        <x:v>39.590000000000003</x:v>
      </x:c>
      <x:c r="BL309" s="18">
        <x:v>23</x:v>
      </x:c>
      <x:c r="BM309" s="18">
        <x:v>58</x:v>
      </x:c>
      <x:c r="BN309" s="18">
        <x:v>11.86</x:v>
      </x:c>
      <x:c r="BO309" s="22">
        <x:v>115.094330555556</x:v>
      </x:c>
      <x:c r="BP309" s="22">
        <x:v>23.9699611111111</x:v>
      </x:c>
      <x:c r="BQ309" s="18">
        <x:v>99</x:v>
      </x:c>
      <x:c r="BR309" s="18">
        <x:v>217915.93400000001</x:v>
      </x:c>
      <x:c r="BS309" s="18">
        <x:v>1291.568</x:v>
      </x:c>
      <x:c r="BT309" s="18">
        <x:v>58.929000000000002</x:v>
      </x:c>
      <x:c r="BU309" s="18">
        <x:v>727.81100000000004</x:v>
      </x:c>
      <x:c r="BV309" s="18">
        <x:v>208.12100000000001</x:v>
      </x:c>
      <x:c r="BW309" s="18">
        <x:v>354.47399999999999</x:v>
      </x:c>
      <x:c r="BX309" s="18">
        <x:v>3.0720000000000001</x:v>
      </x:c>
      <x:c r="BY309" t="s">
        <x:v>78</x:v>
      </x:c>
      <x:c r="BZ309" t="s">
        <x:v>78</x:v>
      </x:c>
      <x:c r="CA309" s="23">
        <x:f t="shared" si="253"/>
        <x:v>79.439679999999996</x:v>
      </x:c>
      <x:c r="CB309" s="23">
        <x:f t="shared" si="254"/>
        <x:v>49.947698799999998</x:v>
      </x:c>
      <x:c r="CC309" s="23">
        <x:f t="shared" si="255"/>
        <x:v>2.9789879999999997</x:v>
      </x:c>
      <x:c r="CD309" s="23">
        <x:f t="shared" si="256"/>
        <x:v>4.2202329999999995</x:v>
      </x:c>
      <x:c r="CE309" s="23">
        <x:f t="shared" si="257"/>
        <x:v>3.0782875999999995</x:v>
      </x:c>
      <x:c r="CF309" s="23">
        <x:f t="shared" si="258"/>
        <x:v>0.1985992</x:v>
      </x:c>
      <x:c r="CG309" s="23">
        <x:f t="shared" si="259"/>
        <x:v>0.248249</x:v>
      </x:c>
      <x:c r="CH309" s="23">
        <x:f t="shared" si="260"/>
        <x:v>0.94334619999999991</x:v>
      </x:c>
      <x:c r="CI309" s="23">
        <x:f t="shared" si="261"/>
        <x:v>0</x:v>
      </x:c>
      <x:c r="CJ309" s="24" t="s">
        <x:v>78</x:v>
      </x:c>
      <x:c r="CK309" s="25">
        <x:v>0</x:v>
      </x:c>
      <x:c r="CL309" s="26" t="s">
        <x:v>78</x:v>
      </x:c>
      <x:c r="CM309" s="26" t="n">
        <x:f>(1-BV309/BU309)*100</x:f>
        <x:v>71.40452672465791</x:v>
      </x:c>
      <x:c r="CN309" s="27" t="s">
        <x:v>78</x:v>
      </x:c>
      <x:c r="CO309" s="27">
        <x:v>0</x:v>
      </x:c>
      <x:c r="CP309" s="27">
        <x:v>0</x:v>
      </x:c>
      <x:c r="CQ309" s="26">
        <x:f t="shared" si="262"/>
        <x:v>79.439679999999996</x:v>
      </x:c>
      <x:c r="CR309" s="26">
        <x:f t="shared" si="263"/>
        <x:v>14.28278086200236</x:v>
      </x:c>
      <x:c r="CS309" s="26">
        <x:f t="shared" si="264"/>
        <x:v>2.9789879999999997</x:v>
      </x:c>
      <x:c r="CT309" s="26">
        <x:f t="shared" si="285"/>
        <x:v>4.2202329999999995</x:v>
      </x:c>
      <x:c r="CU309" s="26">
        <x:f t="shared" si="286"/>
        <x:v>3.0782875999999995</x:v>
      </x:c>
      <x:c r="CV309" s="26">
        <x:f t="shared" si="287"/>
        <x:v>0.1985992</x:v>
      </x:c>
      <x:c r="CW309" s="26">
        <x:f t="shared" si="288"/>
        <x:v>0.248249</x:v>
      </x:c>
      <x:c r="CX309" s="26">
        <x:f t="shared" si="265"/>
        <x:v>0.94334619999999991</x:v>
      </x:c>
      <x:c r="CY309" s="26">
        <x:f t="shared" si="266"/>
        <x:v>0</x:v>
      </x:c>
    </x:row>
    <x:row r="310">
      <x:c r="A310" s="18">
        <x:v>2022</x:v>
      </x:c>
      <x:c r="B310" t="s">
        <x:v>662</x:v>
      </x:c>
      <x:c r="C310" t="s">
        <x:v>663</x:v>
      </x:c>
      <x:c r="D310" t="s">
        <x:v>664</x:v>
      </x:c>
      <x:c r="E310" s="18">
        <x:v>441703</x:v>
      </x:c>
      <x:c r="F310" t="s">
        <x:v>579</x:v>
      </x:c>
      <x:c r="G310" t="s">
        <x:v>665</x:v>
      </x:c>
      <x:c r="H310" s="18">
        <x:v>1331</x:v>
      </x:c>
      <x:c r="I310" t="s">
        <x:v>666</x:v>
      </x:c>
      <x:c r="J310" t="s">
        <x:v>78</x:v>
      </x:c>
      <x:c r="K310" t="s">
        <x:v>109</x:v>
      </x:c>
      <x:c r="L310" s="20">
        <x:v>0.7</x:v>
      </x:c>
      <x:c r="M310" t="s">
        <x:v>125</x:v>
      </x:c>
      <x:c r="N310" s="18">
        <x:v>75</x:v>
      </x:c>
      <x:c r="O310" t="s">
        <x:v>74</x:v>
      </x:c>
      <x:c r="P310" s="18">
        <x:v>4</x:v>
      </x:c>
      <x:c r="Q310" s="19" t="s">
        <x:v>111</x:v>
      </x:c>
      <x:c r="R310" s="18">
        <x:v>47169</x:v>
      </x:c>
      <x:c r="S310" t="s">
        <x:v>112</x:v>
      </x:c>
      <x:c r="T310" s="19" t="n">
        <x:f t="shared" ref="T310:T322" si="301">R310</x:f>
        <x:v>47169</x:v>
      </x:c>
      <x:c r="U310" s="20">
        <x:v>0.4</x:v>
      </x:c>
      <x:c r="V310" t="s">
        <x:v>113</x:v>
      </x:c>
      <x:c r="W310" s="20">
        <x:v>16.43</x:v>
      </x:c>
      <x:c r="X310" s="21" t="n">
        <x:f t="shared" ref="X310:X316" si="302">2*U310/100*(1-0.15)*T310</x:f>
        <x:v>320.7492</x:v>
      </x:c>
      <x:c r="Y310" s="21" t="n">
        <x:f>8.96*T310/1000</x:f>
        <x:v>422.63424000000003</x:v>
      </x:c>
      <x:c r="Z310" s="21" t="n">
        <x:f t="shared" ref="Z310:Z316" si="303">2*T310/1000</x:f>
        <x:v>94.338</x:v>
      </x:c>
      <x:c r="AA310" s="21" t="n">
        <x:f>W310/100*(1-0.44)*0.29*T310</x:f>
        <x:v>1258.57835208</x:v>
      </x:c>
      <x:c r="AB310" s="21" t="n">
        <x:f>W310/100*(1-0.44)*0.07*T310</x:f>
        <x:v>303.79477464000007</x:v>
      </x:c>
      <x:c r="AC310" s="21" t="n">
        <x:f>0.002*AB310</x:f>
        <x:v>0.6075895492800002</x:v>
      </x:c>
      <x:c r="AD310" s="21"/>
      <x:c r="AE310" s="21" t="n">
        <x:f t="shared" ref="AE310:AE316" si="304">0.04*T310/1000</x:f>
        <x:v>1.88676</x:v>
      </x:c>
      <x:c r="AF310" s="21"/>
      <x:c r="AG310" s="19" t="s">
        <x:v>78</x:v>
      </x:c>
      <x:c r="AH310" t="s">
        <x:v>78</x:v>
      </x:c>
      <x:c r="AI310" t="s">
        <x:v>78</x:v>
      </x:c>
      <x:c r="AJ310" s="19"/>
      <x:c r="AK310" s="19" t="s">
        <x:v>78</x:v>
      </x:c>
      <x:c r="AL310" t="s">
        <x:v>78</x:v>
      </x:c>
      <x:c r="AM310" s="19" t="s">
        <x:v>78</x:v>
      </x:c>
      <x:c r="AN310" s="21"/>
      <x:c r="AO310" s="21"/>
      <x:c r="AP310" s="21"/>
      <x:c r="AQ310" s="21"/>
      <x:c r="AR310" s="21"/>
      <x:c r="AS310" s="21"/>
      <x:c r="AT310" s="21"/>
      <x:c r="AU310" s="21"/>
      <x:c r="AV310" s="21"/>
      <x:c r="AW310" t="s">
        <x:v>78</x:v>
      </x:c>
      <x:c r="AX310" s="19"/>
      <x:c r="AY310" s="21"/>
      <x:c r="AZ310" s="21"/>
      <x:c r="BA310" s="21"/>
      <x:c r="BB310" s="21"/>
      <x:c r="BC310" s="21"/>
      <x:c r="BD310" s="21"/>
      <x:c r="BE310" s="21"/>
      <x:c r="BF310" s="21"/>
      <x:c r="BG310" s="21"/>
      <x:c r="BH310" t="s">
        <x:v>79</x:v>
      </x:c>
      <x:c r="BI310" s="18">
        <x:v>111</x:v>
      </x:c>
      <x:c r="BJ310" s="18">
        <x:v>49</x:v>
      </x:c>
      <x:c r="BK310" s="18">
        <x:v>21.61</x:v>
      </x:c>
      <x:c r="BL310" s="18">
        <x:v>21</x:v>
      </x:c>
      <x:c r="BM310" s="18">
        <x:v>41</x:v>
      </x:c>
      <x:c r="BN310" s="18">
        <x:v>54.56</x:v>
      </x:c>
      <x:c r="BO310" s="22">
        <x:v>111.822669444444</x:v>
      </x:c>
      <x:c r="BP310" s="22">
        <x:v>21.6984888888889</x:v>
      </x:c>
      <x:c r="BQ310" s="18">
        <x:v>80</x:v>
      </x:c>
      <x:c r="BR310" s="18">
        <x:v>77217</x:v>
      </x:c>
      <x:c r="BS310" s="18">
        <x:v>84.903999999999996</x:v>
      </x:c>
      <x:c r="BT310" s="18">
        <x:v>6.3319999999999999</x:v>
      </x:c>
      <x:c r="BU310" s="18">
        <x:v>44.811</x:v>
      </x:c>
      <x:c r="BV310" s="18">
        <x:v>25.904</x:v>
      </x:c>
      <x:c r="BW310" s="18">
        <x:v>4022.181</x:v>
      </x:c>
      <x:c r="BX310" s="18">
        <x:v>5.891</x:v>
      </x:c>
      <x:c r="BY310" s="18">
        <x:v>1349.0329999999999</x:v>
      </x:c>
      <x:c r="BZ310" s="18">
        <x:v>1349.0329999999999</x:v>
      </x:c>
      <x:c r="CA310" s="23">
        <x:f t="shared" si="253"/>
        <x:v>320.74919999999997</x:v>
      </x:c>
      <x:c r="CB310" s="23">
        <x:f t="shared" si="254"/>
        <x:v>422.63424000000003</x:v>
      </x:c>
      <x:c r="CC310" s="23">
        <x:f t="shared" si="255"/>
        <x:v>94.337999999999994</x:v>
      </x:c>
      <x:c r="CD310" s="23">
        <x:f t="shared" si="256"/>
        <x:v>1258.5783520800001</x:v>
      </x:c>
      <x:c r="CE310" s="23">
        <x:f t="shared" si="257"/>
        <x:v>303.79477464000007</x:v>
      </x:c>
      <x:c r="CF310" s="23">
        <x:f t="shared" si="258"/>
        <x:v>0.6075895492800002</x:v>
      </x:c>
      <x:c r="CG310" s="23">
        <x:f t="shared" si="259"/>
        <x:v>0</x:v>
      </x:c>
      <x:c r="CH310" s="23">
        <x:f t="shared" si="260"/>
        <x:v>1.88676</x:v>
      </x:c>
      <x:c r="CI310" s="23">
        <x:f t="shared" si="261"/>
        <x:v>0</x:v>
      </x:c>
      <x:c r="CJ310" s="24" t="s">
        <x:v>78</x:v>
      </x:c>
      <x:c r="CK310" s="25">
        <x:v>0</x:v>
      </x:c>
      <x:c r="CL310" s="26" t="s">
        <x:v>78</x:v>
      </x:c>
      <x:c r="CM310" s="26" t="n">
        <x:f>(1-BV310/BU310)*100</x:f>
        <x:v>42.19276516926648</x:v>
      </x:c>
      <x:c r="CN310" s="27" t="s">
        <x:v>78</x:v>
      </x:c>
      <x:c r="CO310" s="27">
        <x:v>98.8</x:v>
      </x:c>
      <x:c r="CP310" s="27">
        <x:v>97</x:v>
      </x:c>
      <x:c r="CQ310" s="26">
        <x:f t="shared" si="262"/>
        <x:v>320.74919999999997</x:v>
      </x:c>
      <x:c r="CR310" s="26">
        <x:f t="shared" si="263"/>
        <x:v>244.31316759188593</x:v>
      </x:c>
      <x:c r="CS310" s="26">
        <x:f t="shared" si="264"/>
        <x:v>94.337999999999994</x:v>
      </x:c>
      <x:c r="CT310" s="26">
        <x:f t="shared" si="285"/>
        <x:v>15.102940224960014</x:v>
      </x:c>
      <x:c r="CU310" s="26">
        <x:f t="shared" si="286"/>
        <x:v>9.1138432392000102</x:v>
      </x:c>
      <x:c r="CV310" s="26">
        <x:f t="shared" si="287"/>
        <x:v>1.8227686478400021E-2</x:v>
      </x:c>
      <x:c r="CW310" s="26">
        <x:f t="shared" si="288"/>
        <x:v>0</x:v>
      </x:c>
      <x:c r="CX310" s="26">
        <x:f t="shared" si="265"/>
        <x:v>1.88676</x:v>
      </x:c>
      <x:c r="CY310" s="26">
        <x:f t="shared" si="266"/>
        <x:v>0</x:v>
      </x:c>
    </x:row>
    <x:row r="311">
      <x:c r="A311" s="18">
        <x:v>2022</x:v>
      </x:c>
      <x:c r="B311" t="s">
        <x:v>667</x:v>
      </x:c>
      <x:c r="C311" t="s">
        <x:v>668</x:v>
      </x:c>
      <x:c r="D311" t="s">
        <x:v>669</x:v>
      </x:c>
      <x:c r="E311" s="18">
        <x:v>441721</x:v>
      </x:c>
      <x:c r="F311" t="s">
        <x:v>670</x:v>
      </x:c>
      <x:c r="G311" t="s">
        <x:v>665</x:v>
      </x:c>
      <x:c r="H311" s="18">
        <x:v>4411</x:v>
      </x:c>
      <x:c r="I311" t="s">
        <x:v>102</x:v>
      </x:c>
      <x:c r="J311" t="s">
        <x:v>78</x:v>
      </x:c>
      <x:c r="K311" t="s">
        <x:v>109</x:v>
      </x:c>
      <x:c r="L311" s="20">
        <x:v>60</x:v>
      </x:c>
      <x:c r="M311" t="s">
        <x:v>110</x:v>
      </x:c>
      <x:c r="N311" s="18">
        <x:v>1913</x:v>
      </x:c>
      <x:c r="O311" t="s">
        <x:v>88</x:v>
      </x:c>
      <x:c r="P311" s="18">
        <x:v>4</x:v>
      </x:c>
      <x:c r="Q311" s="19" t="s">
        <x:v>111</x:v>
      </x:c>
      <x:c r="R311" s="18">
        <x:v>799951.18</x:v>
      </x:c>
      <x:c r="S311" t="s">
        <x:v>112</x:v>
      </x:c>
      <x:c r="T311" s="19">
        <x:f t="shared" si="301"/>
        <x:v>799951.18</x:v>
      </x:c>
      <x:c r="U311" s="20">
        <x:v>0.7</x:v>
      </x:c>
      <x:c r="V311" t="s">
        <x:v>113</x:v>
      </x:c>
      <x:c r="W311" s="20">
        <x:v>14.1</x:v>
      </x:c>
      <x:c r="X311" s="21">
        <x:f t="shared" si="302"/>
        <x:v>9519.4190419999995</x:v>
      </x:c>
      <x:c r="Y311" s="21" t="n">
        <x:f t="shared" ref="Y311:Y316" si="305">7.21*T311/1000</x:f>
        <x:v>5767.6480078</x:v>
      </x:c>
      <x:c r="Z311" s="21">
        <x:f t="shared" si="303"/>
        <x:v>1599.90236</x:v>
      </x:c>
      <x:c r="AA311" s="21" t="n">
        <x:f t="shared" ref="AA311:AA316" si="306">W311/100*(1-0.25)*0.23*T311</x:f>
        <x:v>19456.81257555</x:v>
      </x:c>
      <x:c r="AB311" s="21" t="n">
        <x:f t="shared" ref="AB311:AB316" si="307">W311/100*(1-0.25)*0.06*T311</x:f>
        <x:v>5075.6902371</x:v>
      </x:c>
      <x:c r="AC311" s="21" t="n">
        <x:f t="shared" ref="AC311:AC316" si="308">0.002*AB311</x:f>
        <x:v>10.1513804742</x:v>
      </x:c>
      <x:c r="AD311" s="21"/>
      <x:c r="AE311" s="21">
        <x:f t="shared" si="304"/>
        <x:v>31.998047200000006</x:v>
      </x:c>
      <x:c r="AF311" s="21"/>
      <x:c r="AG311" s="19" t="s">
        <x:v>78</x:v>
      </x:c>
      <x:c r="AH311" t="s">
        <x:v>78</x:v>
      </x:c>
      <x:c r="AI311" t="s">
        <x:v>78</x:v>
      </x:c>
      <x:c r="AJ311" s="19"/>
      <x:c r="AK311" s="19" t="s">
        <x:v>78</x:v>
      </x:c>
      <x:c r="AL311" t="s">
        <x:v>78</x:v>
      </x:c>
      <x:c r="AM311" s="19" t="s">
        <x:v>78</x:v>
      </x:c>
      <x:c r="AN311" s="21"/>
      <x:c r="AO311" s="21"/>
      <x:c r="AP311" s="21"/>
      <x:c r="AQ311" s="21"/>
      <x:c r="AR311" s="21"/>
      <x:c r="AS311" s="21"/>
      <x:c r="AT311" s="21"/>
      <x:c r="AU311" s="21"/>
      <x:c r="AV311" s="21"/>
      <x:c r="AW311" t="s">
        <x:v>78</x:v>
      </x:c>
      <x:c r="AX311" s="19"/>
      <x:c r="AY311" s="21"/>
      <x:c r="AZ311" s="21"/>
      <x:c r="BA311" s="21"/>
      <x:c r="BB311" s="21"/>
      <x:c r="BC311" s="21"/>
      <x:c r="BD311" s="21"/>
      <x:c r="BE311" s="21"/>
      <x:c r="BF311" s="21"/>
      <x:c r="BG311" s="21"/>
      <x:c r="BH311" t="s">
        <x:v>81</x:v>
      </x:c>
      <x:c r="BI311" s="18">
        <x:v>111</x:v>
      </x:c>
      <x:c r="BJ311" s="18">
        <x:v>40</x:v>
      </x:c>
      <x:c r="BK311" s="18">
        <x:v>8.2200000000000006</x:v>
      </x:c>
      <x:c r="BL311" s="18">
        <x:v>21</x:v>
      </x:c>
      <x:c r="BM311" s="18">
        <x:v>32</x:v>
      </x:c>
      <x:c r="BN311" s="18">
        <x:v>38.72</x:v>
      </x:c>
      <x:c r="BO311" s="22">
        <x:v>111.66895</x:v>
      </x:c>
      <x:c r="BP311" s="22">
        <x:v>21.544088888888901</x:v>
      </x:c>
      <x:c r="BQ311" s="18">
        <x:v>240</x:v>
      </x:c>
      <x:c r="BR311" s="18">
        <x:v>657574.92000000004</x:v>
      </x:c>
      <x:c r="BS311" s="18">
        <x:v>11186.688</x:v>
      </x:c>
      <x:c r="BT311" s="18">
        <x:v>131.12299999999999</x:v>
      </x:c>
      <x:c r="BU311" s="18">
        <x:v>1501.577</x:v>
      </x:c>
      <x:c r="BV311" s="18">
        <x:v>250.46700000000001</x:v>
      </x:c>
      <x:c r="BW311" s="18">
        <x:v>122.974</x:v>
      </x:c>
      <x:c r="BX311" s="18">
        <x:v>13.448</x:v>
      </x:c>
      <x:c r="BY311" s="18">
        <x:v>9439.4240000000009</x:v>
      </x:c>
      <x:c r="BZ311" s="18">
        <x:v>9439.4240000000009</x:v>
      </x:c>
      <x:c r="CA311" s="23">
        <x:f t="shared" si="253"/>
        <x:v>9519.4190419999995</x:v>
      </x:c>
      <x:c r="CB311" s="23">
        <x:f t="shared" si="254"/>
        <x:v>5767.6480078000004</x:v>
      </x:c>
      <x:c r="CC311" s="23">
        <x:f t="shared" si="255"/>
        <x:v>1599.90236</x:v>
      </x:c>
      <x:c r="CD311" s="23">
        <x:f t="shared" si="256"/>
        <x:v>19456.81257555</x:v>
      </x:c>
      <x:c r="CE311" s="23">
        <x:f t="shared" si="257"/>
        <x:v>5075.6902370999996</x:v>
      </x:c>
      <x:c r="CF311" s="23">
        <x:f t="shared" si="258"/>
        <x:v>10.1513804742</x:v>
      </x:c>
      <x:c r="CG311" s="23">
        <x:f t="shared" si="259"/>
        <x:v>0</x:v>
      </x:c>
      <x:c r="CH311" s="23">
        <x:f t="shared" si="260"/>
        <x:v>31.998047200000006</x:v>
      </x:c>
      <x:c r="CI311" s="23">
        <x:f t="shared" si="261"/>
        <x:v>0</x:v>
      </x:c>
      <x:c r="CJ311" s="24" t="s">
        <x:v>202</x:v>
      </x:c>
      <x:c r="CK311" s="25">
        <x:v>97.9</x:v>
      </x:c>
      <x:c r="CL311" s="26" t="s">
        <x:v>123</x:v>
      </x:c>
      <x:c r="CM311" s="26">
        <x:v>84.72</x:v>
      </x:c>
      <x:c r="CN311" s="27" t="s">
        <x:v>226</x:v>
      </x:c>
      <x:c r="CO311" s="27">
        <x:v>99.4</x:v>
      </x:c>
      <x:c r="CP311" s="27">
        <x:v>98.3</x:v>
      </x:c>
      <x:c r="CQ311" s="26">
        <x:f t="shared" si="262"/>
        <x:v>199.90779988199913</x:v>
      </x:c>
      <x:c r="CR311" s="26">
        <x:f t="shared" si="263"/>
        <x:v>881.29661559184035</x:v>
      </x:c>
      <x:c r="CS311" s="26">
        <x:f t="shared" si="264"/>
        <x:v>1599.90236</x:v>
      </x:c>
      <x:c r="CT311" s="26">
        <x:f t="shared" si="285"/>
        <x:v>116.74087545329795</x:v>
      </x:c>
      <x:c r="CU311" s="26">
        <x:f t="shared" si="286"/>
        <x:v>86.286734030700075</x:v>
      </x:c>
      <x:c r="CV311" s="26">
        <x:f t="shared" si="287"/>
        <x:v>0.17257346806140014</x:v>
      </x:c>
      <x:c r="CW311" s="26">
        <x:f t="shared" si="288"/>
        <x:v>0</x:v>
      </x:c>
      <x:c r="CX311" s="26">
        <x:f t="shared" si="265"/>
        <x:v>31.998047200000006</x:v>
      </x:c>
      <x:c r="CY311" s="26">
        <x:f t="shared" si="266"/>
        <x:v>0</x:v>
      </x:c>
    </x:row>
    <x:row r="312">
      <x:c r="A312" s="18">
        <x:v>2022</x:v>
      </x:c>
      <x:c r="B312" t="s">
        <x:v>667</x:v>
      </x:c>
      <x:c r="C312" t="s">
        <x:v>668</x:v>
      </x:c>
      <x:c r="D312" t="s">
        <x:v>669</x:v>
      </x:c>
      <x:c r="E312" s="18">
        <x:v>441721</x:v>
      </x:c>
      <x:c r="F312" t="s">
        <x:v>670</x:v>
      </x:c>
      <x:c r="G312" t="s">
        <x:v>665</x:v>
      </x:c>
      <x:c r="H312" s="18">
        <x:v>4411</x:v>
      </x:c>
      <x:c r="I312" t="s">
        <x:v>102</x:v>
      </x:c>
      <x:c r="J312" t="s">
        <x:v>78</x:v>
      </x:c>
      <x:c r="K312" t="s">
        <x:v>109</x:v>
      </x:c>
      <x:c r="L312" s="20">
        <x:v>60</x:v>
      </x:c>
      <x:c r="M312" t="s">
        <x:v>110</x:v>
      </x:c>
      <x:c r="N312" s="18">
        <x:v>1913</x:v>
      </x:c>
      <x:c r="O312" t="s">
        <x:v>88</x:v>
      </x:c>
      <x:c r="P312" s="18">
        <x:v>4</x:v>
      </x:c>
      <x:c r="Q312" s="19" t="s">
        <x:v>111</x:v>
      </x:c>
      <x:c r="R312" s="18">
        <x:v>784233.03</x:v>
      </x:c>
      <x:c r="S312" t="s">
        <x:v>112</x:v>
      </x:c>
      <x:c r="T312" s="19">
        <x:f t="shared" si="301"/>
        <x:v>784233.03</x:v>
      </x:c>
      <x:c r="U312" s="20">
        <x:v>0.7</x:v>
      </x:c>
      <x:c r="V312" t="s">
        <x:v>113</x:v>
      </x:c>
      <x:c r="W312" s="20">
        <x:v>14.1</x:v>
      </x:c>
      <x:c r="X312" s="21">
        <x:f t="shared" si="302"/>
        <x:v>9332.3730569999989</x:v>
      </x:c>
      <x:c r="Y312" s="21">
        <x:f t="shared" si="305"/>
        <x:v>5654.3201463000005</x:v>
      </x:c>
      <x:c r="Z312" s="21">
        <x:f t="shared" si="303"/>
        <x:v>1568.46606</x:v>
      </x:c>
      <x:c r="AA312" s="21">
        <x:f t="shared" si="306"/>
        <x:v>19074.507872175</x:v>
      </x:c>
      <x:c r="AB312" s="21">
        <x:f t="shared" si="307"/>
        <x:v>4975.9585753499996</x:v>
      </x:c>
      <x:c r="AC312" s="21">
        <x:f t="shared" si="308"/>
        <x:v>9.9519171506999999</x:v>
      </x:c>
      <x:c r="AD312" s="21"/>
      <x:c r="AE312" s="21">
        <x:f t="shared" si="304"/>
        <x:v>31.369321200000002</x:v>
      </x:c>
      <x:c r="AF312" s="21"/>
      <x:c r="AG312" s="19" t="s">
        <x:v>78</x:v>
      </x:c>
      <x:c r="AH312" t="s">
        <x:v>78</x:v>
      </x:c>
      <x:c r="AI312" t="s">
        <x:v>78</x:v>
      </x:c>
      <x:c r="AJ312" s="19"/>
      <x:c r="AK312" s="19" t="s">
        <x:v>78</x:v>
      </x:c>
      <x:c r="AL312" t="s">
        <x:v>78</x:v>
      </x:c>
      <x:c r="AM312" s="19" t="s">
        <x:v>78</x:v>
      </x:c>
      <x:c r="AN312" s="21"/>
      <x:c r="AO312" s="21"/>
      <x:c r="AP312" s="21"/>
      <x:c r="AQ312" s="21"/>
      <x:c r="AR312" s="21"/>
      <x:c r="AS312" s="21"/>
      <x:c r="AT312" s="21"/>
      <x:c r="AU312" s="21"/>
      <x:c r="AV312" s="21"/>
      <x:c r="AW312" t="s">
        <x:v>78</x:v>
      </x:c>
      <x:c r="AX312" s="19"/>
      <x:c r="AY312" s="21"/>
      <x:c r="AZ312" s="21"/>
      <x:c r="BA312" s="21"/>
      <x:c r="BB312" s="21"/>
      <x:c r="BC312" s="21"/>
      <x:c r="BD312" s="21"/>
      <x:c r="BE312" s="21"/>
      <x:c r="BF312" s="21"/>
      <x:c r="BG312" s="21"/>
      <x:c r="BH312" t="s">
        <x:v>79</x:v>
      </x:c>
      <x:c r="BI312" s="18">
        <x:v>111</x:v>
      </x:c>
      <x:c r="BJ312" s="18">
        <x:v>40</x:v>
      </x:c>
      <x:c r="BK312" s="18">
        <x:v>8.15</x:v>
      </x:c>
      <x:c r="BL312" s="18">
        <x:v>21</x:v>
      </x:c>
      <x:c r="BM312" s="18">
        <x:v>32</x:v>
      </x:c>
      <x:c r="BN312" s="18">
        <x:v>38.869999999999997</x:v>
      </x:c>
      <x:c r="BO312" s="22">
        <x:v>111.668930555556</x:v>
      </x:c>
      <x:c r="BP312" s="22">
        <x:v>21.544130555555601</x:v>
      </x:c>
      <x:c r="BQ312" s="18">
        <x:v>240</x:v>
      </x:c>
      <x:c r="BR312" s="18">
        <x:v>588427.93000000005</x:v>
      </x:c>
      <x:c r="BS312" s="18">
        <x:v>9885.7369999999992</x:v>
      </x:c>
      <x:c r="BT312" s="18">
        <x:v>97.835999999999999</x:v>
      </x:c>
      <x:c r="BU312" s="18">
        <x:v>1468.36</x:v>
      </x:c>
      <x:c r="BV312" s="18">
        <x:v>211.233</x:v>
      </x:c>
      <x:c r="BW312" s="18">
        <x:v>110.21299999999999</x:v>
      </x:c>
      <x:c r="BX312" s="18">
        <x:v>13.039</x:v>
      </x:c>
      <x:c r="BY312" s="18">
        <x:v>9253.9500000000007</x:v>
      </x:c>
      <x:c r="BZ312" s="18">
        <x:v>9253.9500000000007</x:v>
      </x:c>
      <x:c r="CA312" s="23">
        <x:f t="shared" si="253"/>
        <x:v>9332.3730569999989</x:v>
      </x:c>
      <x:c r="CB312" s="23">
        <x:f t="shared" si="254"/>
        <x:v>5654.3201463000005</x:v>
      </x:c>
      <x:c r="CC312" s="23">
        <x:f t="shared" si="255"/>
        <x:v>1568.46606</x:v>
      </x:c>
      <x:c r="CD312" s="23">
        <x:f t="shared" si="256"/>
        <x:v>19074.507872175</x:v>
      </x:c>
      <x:c r="CE312" s="23">
        <x:f t="shared" si="257"/>
        <x:v>4975.9585753499996</x:v>
      </x:c>
      <x:c r="CF312" s="23">
        <x:f t="shared" si="258"/>
        <x:v>9.9519171506999999</x:v>
      </x:c>
      <x:c r="CG312" s="23">
        <x:f t="shared" si="259"/>
        <x:v>0</x:v>
      </x:c>
      <x:c r="CH312" s="23">
        <x:f t="shared" si="260"/>
        <x:v>31.369321200000002</x:v>
      </x:c>
      <x:c r="CI312" s="23">
        <x:f t="shared" si="261"/>
        <x:v>0</x:v>
      </x:c>
      <x:c r="CJ312" s="24" t="s">
        <x:v>202</x:v>
      </x:c>
      <x:c r="CK312" s="25">
        <x:v>97.9</x:v>
      </x:c>
      <x:c r="CL312" s="26" t="s">
        <x:v>123</x:v>
      </x:c>
      <x:c r="CM312" s="26">
        <x:v>84.72</x:v>
      </x:c>
      <x:c r="CN312" s="27" t="s">
        <x:v>226</x:v>
      </x:c>
      <x:c r="CO312" s="27">
        <x:v>99.4</x:v>
      </x:c>
      <x:c r="CP312" s="27">
        <x:v>98.3</x:v>
      </x:c>
      <x:c r="CQ312" s="26">
        <x:f t="shared" si="262"/>
        <x:v>195.97983419699912</x:v>
      </x:c>
      <x:c r="CR312" s="26">
        <x:f t="shared" si="263"/>
        <x:v>863.98011835464035</x:v>
      </x:c>
      <x:c r="CS312" s="26">
        <x:f t="shared" si="264"/>
        <x:v>1568.46606</x:v>
      </x:c>
      <x:c r="CT312" s="26">
        <x:f t="shared" si="285"/>
        <x:v>114.44704723304798</x:v>
      </x:c>
      <x:c r="CU312" s="26">
        <x:f t="shared" si="286"/>
        <x:v>84.591295780950063</x:v>
      </x:c>
      <x:c r="CV312" s="26">
        <x:f t="shared" si="287"/>
        <x:v>0.16918259156190016</x:v>
      </x:c>
      <x:c r="CW312" s="26">
        <x:f t="shared" si="288"/>
        <x:v>0</x:v>
      </x:c>
      <x:c r="CX312" s="26">
        <x:f t="shared" si="265"/>
        <x:v>31.369321200000002</x:v>
      </x:c>
      <x:c r="CY312" s="26">
        <x:f t="shared" si="266"/>
        <x:v>0</x:v>
      </x:c>
    </x:row>
    <x:row r="313">
      <x:c r="A313" s="18">
        <x:v>2022</x:v>
      </x:c>
      <x:c r="B313" t="s">
        <x:v>667</x:v>
      </x:c>
      <x:c r="C313" t="s">
        <x:v>668</x:v>
      </x:c>
      <x:c r="D313" t="s">
        <x:v>669</x:v>
      </x:c>
      <x:c r="E313" s="18">
        <x:v>441721</x:v>
      </x:c>
      <x:c r="F313" t="s">
        <x:v>670</x:v>
      </x:c>
      <x:c r="G313" t="s">
        <x:v>665</x:v>
      </x:c>
      <x:c r="H313" s="18">
        <x:v>4411</x:v>
      </x:c>
      <x:c r="I313" t="s">
        <x:v>102</x:v>
      </x:c>
      <x:c r="J313" t="s">
        <x:v>78</x:v>
      </x:c>
      <x:c r="K313" t="s">
        <x:v>109</x:v>
      </x:c>
      <x:c r="L313" s="20">
        <x:v>66</x:v>
      </x:c>
      <x:c r="M313" t="s">
        <x:v>110</x:v>
      </x:c>
      <x:c r="N313" s="18">
        <x:v>2101</x:v>
      </x:c>
      <x:c r="O313" t="s">
        <x:v>88</x:v>
      </x:c>
      <x:c r="P313" s="18">
        <x:v>4</x:v>
      </x:c>
      <x:c r="Q313" s="19" t="s">
        <x:v>111</x:v>
      </x:c>
      <x:c r="R313" s="18">
        <x:v>862646.14</x:v>
      </x:c>
      <x:c r="S313" t="s">
        <x:v>112</x:v>
      </x:c>
      <x:c r="T313" s="19">
        <x:f t="shared" si="301"/>
        <x:v>862646.14</x:v>
      </x:c>
      <x:c r="U313" s="20">
        <x:v>0.7</x:v>
      </x:c>
      <x:c r="V313" t="s">
        <x:v>113</x:v>
      </x:c>
      <x:c r="W313" s="20">
        <x:v>14.1</x:v>
      </x:c>
      <x:c r="X313" s="21">
        <x:f t="shared" si="302"/>
        <x:v>10265.489066</x:v>
      </x:c>
      <x:c r="Y313" s="21">
        <x:f t="shared" si="305"/>
        <x:v>6219.6786694000002</x:v>
      </x:c>
      <x:c r="Z313" s="21">
        <x:f t="shared" si="303"/>
        <x:v>1725.2922800000001</x:v>
      </x:c>
      <x:c r="AA313" s="21">
        <x:f t="shared" si="306"/>
        <x:v>20981.710740149996</x:v>
      </x:c>
      <x:c r="AB313" s="21">
        <x:f t="shared" si="307"/>
        <x:v>5473.4897582999993</x:v>
      </x:c>
      <x:c r="AC313" s="21">
        <x:f t="shared" si="308"/>
        <x:v>10.946979516599999</x:v>
      </x:c>
      <x:c r="AD313" s="21"/>
      <x:c r="AE313" s="21">
        <x:f t="shared" si="304"/>
        <x:v>34.505845600000001</x:v>
      </x:c>
      <x:c r="AF313" s="21"/>
      <x:c r="AG313" s="19" t="s">
        <x:v>78</x:v>
      </x:c>
      <x:c r="AH313" t="s">
        <x:v>78</x:v>
      </x:c>
      <x:c r="AI313" t="s">
        <x:v>78</x:v>
      </x:c>
      <x:c r="AJ313" s="19"/>
      <x:c r="AK313" s="19" t="s">
        <x:v>78</x:v>
      </x:c>
      <x:c r="AL313" t="s">
        <x:v>78</x:v>
      </x:c>
      <x:c r="AM313" s="19" t="s">
        <x:v>78</x:v>
      </x:c>
      <x:c r="AN313" s="21"/>
      <x:c r="AO313" s="21"/>
      <x:c r="AP313" s="21"/>
      <x:c r="AQ313" s="21"/>
      <x:c r="AR313" s="21"/>
      <x:c r="AS313" s="21"/>
      <x:c r="AT313" s="21"/>
      <x:c r="AU313" s="21"/>
      <x:c r="AV313" s="21"/>
      <x:c r="AW313" t="s">
        <x:v>78</x:v>
      </x:c>
      <x:c r="AX313" s="19"/>
      <x:c r="AY313" s="21"/>
      <x:c r="AZ313" s="21"/>
      <x:c r="BA313" s="21"/>
      <x:c r="BB313" s="21"/>
      <x:c r="BC313" s="21"/>
      <x:c r="BD313" s="21"/>
      <x:c r="BE313" s="21"/>
      <x:c r="BF313" s="21"/>
      <x:c r="BG313" s="21"/>
      <x:c r="BH313" t="s">
        <x:v>82</x:v>
      </x:c>
      <x:c r="BI313" s="18">
        <x:v>111</x:v>
      </x:c>
      <x:c r="BJ313" s="18">
        <x:v>40</x:v>
      </x:c>
      <x:c r="BK313" s="18">
        <x:v>8.2899999999999991</x:v>
      </x:c>
      <x:c r="BL313" s="18">
        <x:v>21</x:v>
      </x:c>
      <x:c r="BM313" s="18">
        <x:v>32</x:v>
      </x:c>
      <x:c r="BN313" s="18">
        <x:v>4.92</x:v>
      </x:c>
      <x:c r="BO313" s="22">
        <x:v>111.668969444444</x:v>
      </x:c>
      <x:c r="BP313" s="22">
        <x:v>21.534700000000001</x:v>
      </x:c>
      <x:c r="BQ313" s="18">
        <x:v>240</x:v>
      </x:c>
      <x:c r="BR313" s="18">
        <x:v>706117.44</x:v>
      </x:c>
      <x:c r="BS313" s="18">
        <x:v>11624.094999999999</x:v>
      </x:c>
      <x:c r="BT313" s="18">
        <x:v>151.05600000000001</x:v>
      </x:c>
      <x:c r="BU313" s="18">
        <x:v>1593.7929999999999</x:v>
      </x:c>
      <x:c r="BV313" s="18">
        <x:v>273.18299999999999</x:v>
      </x:c>
      <x:c r="BW313" s="18">
        <x:v>144.39400000000001</x:v>
      </x:c>
      <x:c r="BX313" s="18">
        <x:v>13.462</x:v>
      </x:c>
      <x:c r="BY313" s="18">
        <x:v>10179.224</x:v>
      </x:c>
      <x:c r="BZ313" s="18">
        <x:v>10179.224</x:v>
      </x:c>
      <x:c r="CA313" s="23">
        <x:f t="shared" si="253"/>
        <x:v>10265.489066</x:v>
      </x:c>
      <x:c r="CB313" s="23">
        <x:f t="shared" si="254"/>
        <x:v>6219.6786694000002</x:v>
      </x:c>
      <x:c r="CC313" s="23">
        <x:f t="shared" si="255"/>
        <x:v>1725.2922800000001</x:v>
      </x:c>
      <x:c r="CD313" s="23">
        <x:f t="shared" si="256"/>
        <x:v>20981.710740149996</x:v>
      </x:c>
      <x:c r="CE313" s="23">
        <x:f t="shared" si="257"/>
        <x:v>5473.4897582999993</x:v>
      </x:c>
      <x:c r="CF313" s="23">
        <x:f t="shared" si="258"/>
        <x:v>10.946979516599999</x:v>
      </x:c>
      <x:c r="CG313" s="23">
        <x:f t="shared" si="259"/>
        <x:v>0</x:v>
      </x:c>
      <x:c r="CH313" s="23">
        <x:f t="shared" si="260"/>
        <x:v>34.505845600000001</x:v>
      </x:c>
      <x:c r="CI313" s="23">
        <x:f t="shared" si="261"/>
        <x:v>0</x:v>
      </x:c>
      <x:c r="CJ313" s="24" t="s">
        <x:v>202</x:v>
      </x:c>
      <x:c r="CK313" s="25">
        <x:v>97.9</x:v>
      </x:c>
      <x:c r="CL313" s="26" t="s">
        <x:v>123</x:v>
      </x:c>
      <x:c r="CM313" s="26">
        <x:v>84.72</x:v>
      </x:c>
      <x:c r="CN313" s="27" t="s">
        <x:v>226</x:v>
      </x:c>
      <x:c r="CO313" s="27">
        <x:v>99.4</x:v>
      </x:c>
      <x:c r="CP313" s="27">
        <x:v>98.3</x:v>
      </x:c>
      <x:c r="CQ313" s="26">
        <x:f t="shared" si="262"/>
        <x:v>215.57527038599906</x:v>
      </x:c>
      <x:c r="CR313" s="26">
        <x:f t="shared" si="263"/>
        <x:v>950.36690068432029</x:v>
      </x:c>
      <x:c r="CS313" s="26">
        <x:f t="shared" si="264"/>
        <x:v>1725.2922800000001</x:v>
      </x:c>
      <x:c r="CT313" s="26">
        <x:f t="shared" si="285"/>
        <x:v>125.89026444089775</x:v>
      </x:c>
      <x:c r="CU313" s="26">
        <x:f t="shared" si="286"/>
        <x:v>93.049325891100068</x:v>
      </x:c>
      <x:c r="CV313" s="26">
        <x:f t="shared" si="287"/>
        <x:v>0.18609865178220014</x:v>
      </x:c>
      <x:c r="CW313" s="26">
        <x:f t="shared" si="288"/>
        <x:v>0</x:v>
      </x:c>
      <x:c r="CX313" s="26">
        <x:f t="shared" si="265"/>
        <x:v>34.505845600000001</x:v>
      </x:c>
      <x:c r="CY313" s="26">
        <x:f t="shared" si="266"/>
        <x:v>0</x:v>
      </x:c>
    </x:row>
    <x:row r="314">
      <x:c r="A314" s="18">
        <x:v>2022</x:v>
      </x:c>
      <x:c r="B314" t="s">
        <x:v>667</x:v>
      </x:c>
      <x:c r="C314" t="s">
        <x:v>668</x:v>
      </x:c>
      <x:c r="D314" t="s">
        <x:v>669</x:v>
      </x:c>
      <x:c r="E314" s="18">
        <x:v>441721</x:v>
      </x:c>
      <x:c r="F314" t="s">
        <x:v>670</x:v>
      </x:c>
      <x:c r="G314" t="s">
        <x:v>665</x:v>
      </x:c>
      <x:c r="H314" s="18">
        <x:v>4411</x:v>
      </x:c>
      <x:c r="I314" t="s">
        <x:v>102</x:v>
      </x:c>
      <x:c r="J314" t="s">
        <x:v>78</x:v>
      </x:c>
      <x:c r="K314" t="s">
        <x:v>109</x:v>
      </x:c>
      <x:c r="L314" s="20">
        <x:v>66</x:v>
      </x:c>
      <x:c r="M314" t="s">
        <x:v>110</x:v>
      </x:c>
      <x:c r="N314" s="18">
        <x:v>2101</x:v>
      </x:c>
      <x:c r="O314" t="s">
        <x:v>88</x:v>
      </x:c>
      <x:c r="P314" s="18">
        <x:v>4</x:v>
      </x:c>
      <x:c r="Q314" s="19" t="s">
        <x:v>111</x:v>
      </x:c>
      <x:c r="R314" s="18">
        <x:v>1162716.08</x:v>
      </x:c>
      <x:c r="S314" t="s">
        <x:v>112</x:v>
      </x:c>
      <x:c r="T314" s="19">
        <x:f t="shared" si="301"/>
        <x:v>1162716.08</x:v>
      </x:c>
      <x:c r="U314" s="20">
        <x:v>0.7</x:v>
      </x:c>
      <x:c r="V314" t="s">
        <x:v>113</x:v>
      </x:c>
      <x:c r="W314" s="20">
        <x:v>14.1</x:v>
      </x:c>
      <x:c r="X314" s="21">
        <x:f t="shared" si="302"/>
        <x:v>13836.321351999999</x:v>
      </x:c>
      <x:c r="Y314" s="21">
        <x:f t="shared" si="305"/>
        <x:v>8383.1829367999999</x:v>
      </x:c>
      <x:c r="Z314" s="21">
        <x:f t="shared" si="303"/>
        <x:v>2325.4321600000003</x:v>
      </x:c>
      <x:c r="AA314" s="21">
        <x:f t="shared" si="306"/>
        <x:v>28280.161855799997</x:v>
      </x:c>
      <x:c r="AB314" s="21">
        <x:f t="shared" si="307"/>
        <x:v>7377.4335275999993</x:v>
      </x:c>
      <x:c r="AC314" s="21">
        <x:f t="shared" si="308"/>
        <x:v>14.754867055199998</x:v>
      </x:c>
      <x:c r="AD314" s="21"/>
      <x:c r="AE314" s="21">
        <x:f t="shared" si="304"/>
        <x:v>46.508643200000009</x:v>
      </x:c>
      <x:c r="AF314" s="21"/>
      <x:c r="AG314" s="19" t="s">
        <x:v>78</x:v>
      </x:c>
      <x:c r="AH314" t="s">
        <x:v>78</x:v>
      </x:c>
      <x:c r="AI314" t="s">
        <x:v>78</x:v>
      </x:c>
      <x:c r="AJ314" s="19"/>
      <x:c r="AK314" s="19" t="s">
        <x:v>78</x:v>
      </x:c>
      <x:c r="AL314" t="s">
        <x:v>78</x:v>
      </x:c>
      <x:c r="AM314" s="19" t="s">
        <x:v>78</x:v>
      </x:c>
      <x:c r="AN314" s="21"/>
      <x:c r="AO314" s="21"/>
      <x:c r="AP314" s="21"/>
      <x:c r="AQ314" s="21"/>
      <x:c r="AR314" s="21"/>
      <x:c r="AS314" s="21"/>
      <x:c r="AT314" s="21"/>
      <x:c r="AU314" s="21"/>
      <x:c r="AV314" s="21"/>
      <x:c r="AW314" t="s">
        <x:v>78</x:v>
      </x:c>
      <x:c r="AX314" s="19"/>
      <x:c r="AY314" s="21"/>
      <x:c r="AZ314" s="21"/>
      <x:c r="BA314" s="21"/>
      <x:c r="BB314" s="21"/>
      <x:c r="BC314" s="21"/>
      <x:c r="BD314" s="21"/>
      <x:c r="BE314" s="21"/>
      <x:c r="BF314" s="21"/>
      <x:c r="BG314" s="21"/>
      <x:c r="BH314" t="s">
        <x:v>83</x:v>
      </x:c>
      <x:c r="BI314" s="18">
        <x:v>111</x:v>
      </x:c>
      <x:c r="BJ314" s="18">
        <x:v>40</x:v>
      </x:c>
      <x:c r="BK314" s="18">
        <x:v>8.2200000000000006</x:v>
      </x:c>
      <x:c r="BL314" s="18">
        <x:v>21</x:v>
      </x:c>
      <x:c r="BM314" s="18">
        <x:v>32</x:v>
      </x:c>
      <x:c r="BN314" s="18">
        <x:v>45.17</x:v>
      </x:c>
      <x:c r="BO314" s="22">
        <x:v>111.66895</x:v>
      </x:c>
      <x:c r="BP314" s="22">
        <x:v>21.545880555555598</x:v>
      </x:c>
      <x:c r="BQ314" s="18">
        <x:v>240</x:v>
      </x:c>
      <x:c r="BR314" s="18">
        <x:v>876844.05</x:v>
      </x:c>
      <x:c r="BS314" s="18">
        <x:v>14465.328</x:v>
      </x:c>
      <x:c r="BT314" s="18">
        <x:v>191.36799999999999</x:v>
      </x:c>
      <x:c r="BU314" s="18">
        <x:v>2043.248</x:v>
      </x:c>
      <x:c r="BV314" s="18">
        <x:v>330.63400000000001</x:v>
      </x:c>
      <x:c r="BW314" s="18">
        <x:v>194.66</x:v>
      </x:c>
      <x:c r="BX314" s="18">
        <x:v>17.527000000000001</x:v>
      </x:c>
      <x:c r="BY314" s="18">
        <x:v>13720.05</x:v>
      </x:c>
      <x:c r="BZ314" s="18">
        <x:v>13720.05</x:v>
      </x:c>
      <x:c r="CA314" s="23">
        <x:f t="shared" si="253"/>
        <x:v>13836.321351999999</x:v>
      </x:c>
      <x:c r="CB314" s="23">
        <x:f t="shared" si="254"/>
        <x:v>8383.1829367999999</x:v>
      </x:c>
      <x:c r="CC314" s="23">
        <x:f t="shared" si="255"/>
        <x:v>2325.4321600000003</x:v>
      </x:c>
      <x:c r="CD314" s="23">
        <x:f t="shared" si="256"/>
        <x:v>28280.161855799997</x:v>
      </x:c>
      <x:c r="CE314" s="23">
        <x:f t="shared" si="257"/>
        <x:v>7377.4335275999993</x:v>
      </x:c>
      <x:c r="CF314" s="23">
        <x:f t="shared" si="258"/>
        <x:v>14.754867055199998</x:v>
      </x:c>
      <x:c r="CG314" s="23">
        <x:f t="shared" si="259"/>
        <x:v>0</x:v>
      </x:c>
      <x:c r="CH314" s="23">
        <x:f t="shared" si="260"/>
        <x:v>46.508643200000009</x:v>
      </x:c>
      <x:c r="CI314" s="23">
        <x:f t="shared" si="261"/>
        <x:v>0</x:v>
      </x:c>
      <x:c r="CJ314" s="24" t="s">
        <x:v>202</x:v>
      </x:c>
      <x:c r="CK314" s="25">
        <x:v>97.9</x:v>
      </x:c>
      <x:c r="CL314" s="26" t="s">
        <x:v>123</x:v>
      </x:c>
      <x:c r="CM314" s="26">
        <x:v>84.72</x:v>
      </x:c>
      <x:c r="CN314" s="27" t="s">
        <x:v>226</x:v>
      </x:c>
      <x:c r="CO314" s="27">
        <x:v>99.4</x:v>
      </x:c>
      <x:c r="CP314" s="27">
        <x:v>98.3</x:v>
      </x:c>
      <x:c r="CQ314" s="26">
        <x:f t="shared" si="262"/>
        <x:v>290.5627483919987</x:v>
      </x:c>
      <x:c r="CR314" s="26">
        <x:f t="shared" si="263"/>
        <x:v>1280.9503527430404</x:v>
      </x:c>
      <x:c r="CS314" s="26">
        <x:f t="shared" si="264"/>
        <x:v>2325.4321600000003</x:v>
      </x:c>
      <x:c r="CT314" s="26">
        <x:f t="shared" si="285"/>
        <x:v>169.68097113479701</x:v>
      </x:c>
      <x:c r="CU314" s="26">
        <x:f t="shared" si="286"/>
        <x:v>125.4163699692001</x:v>
      </x:c>
      <x:c r="CV314" s="26">
        <x:f t="shared" si="287"/>
        <x:v>0.25083273993840022</x:v>
      </x:c>
      <x:c r="CW314" s="26">
        <x:f t="shared" si="288"/>
        <x:v>0</x:v>
      </x:c>
      <x:c r="CX314" s="26">
        <x:f t="shared" si="265"/>
        <x:v>46.508643200000009</x:v>
      </x:c>
      <x:c r="CY314" s="26">
        <x:f t="shared" si="266"/>
        <x:v>0</x:v>
      </x:c>
    </x:row>
    <x:row r="315">
      <x:c r="A315" s="18">
        <x:v>2022</x:v>
      </x:c>
      <x:c r="B315" t="s">
        <x:v>667</x:v>
      </x:c>
      <x:c r="C315" t="s">
        <x:v>668</x:v>
      </x:c>
      <x:c r="D315" t="s">
        <x:v>669</x:v>
      </x:c>
      <x:c r="E315" s="18">
        <x:v>441721</x:v>
      </x:c>
      <x:c r="F315" t="s">
        <x:v>670</x:v>
      </x:c>
      <x:c r="G315" t="s">
        <x:v>665</x:v>
      </x:c>
      <x:c r="H315" s="18">
        <x:v>4411</x:v>
      </x:c>
      <x:c r="I315" t="s">
        <x:v>102</x:v>
      </x:c>
      <x:c r="J315" t="s">
        <x:v>78</x:v>
      </x:c>
      <x:c r="K315" t="s">
        <x:v>109</x:v>
      </x:c>
      <x:c r="L315" s="20">
        <x:v>120</x:v>
      </x:c>
      <x:c r="M315" t="s">
        <x:v>110</x:v>
      </x:c>
      <x:c r="N315" s="18">
        <x:v>3300</x:v>
      </x:c>
      <x:c r="O315" t="s">
        <x:v>88</x:v>
      </x:c>
      <x:c r="P315" s="18">
        <x:v>4</x:v>
      </x:c>
      <x:c r="Q315" s="19" t="s">
        <x:v>111</x:v>
      </x:c>
      <x:c r="R315" s="18">
        <x:v>2724062.61</x:v>
      </x:c>
      <x:c r="S315" t="s">
        <x:v>112</x:v>
      </x:c>
      <x:c r="T315" s="19">
        <x:f t="shared" si="301"/>
        <x:v>2724062.61</x:v>
      </x:c>
      <x:c r="U315" s="20">
        <x:v>0.7</x:v>
      </x:c>
      <x:c r="V315" t="s">
        <x:v>113</x:v>
      </x:c>
      <x:c r="W315" s="20">
        <x:v>14.1</x:v>
      </x:c>
      <x:c r="X315" s="21">
        <x:f t="shared" si="302"/>
        <x:v>32416.345058999996</x:v>
      </x:c>
      <x:c r="Y315" s="21">
        <x:f t="shared" si="305"/>
        <x:v>19640.491418099999</x:v>
      </x:c>
      <x:c r="Z315" s="21">
        <x:f t="shared" si="303"/>
        <x:v>5448.1252199999999</x:v>
      </x:c>
      <x:c r="AA315" s="21">
        <x:f t="shared" si="306"/>
        <x:v>66256.012831724991</x:v>
      </x:c>
      <x:c r="AB315" s="21">
        <x:f t="shared" si="307"/>
        <x:v>17284.177260449997</x:v>
      </x:c>
      <x:c r="AC315" s="21">
        <x:f t="shared" si="308"/>
        <x:v>34.568354520899994</x:v>
      </x:c>
      <x:c r="AD315" s="21"/>
      <x:c r="AE315" s="21">
        <x:f t="shared" si="304"/>
        <x:v>108.96250439999999</x:v>
      </x:c>
      <x:c r="AF315" s="21"/>
      <x:c r="AG315" s="19" t="s">
        <x:v>78</x:v>
      </x:c>
      <x:c r="AH315" t="s">
        <x:v>78</x:v>
      </x:c>
      <x:c r="AI315" t="s">
        <x:v>78</x:v>
      </x:c>
      <x:c r="AJ315" s="19"/>
      <x:c r="AK315" s="19" t="s">
        <x:v>78</x:v>
      </x:c>
      <x:c r="AL315" t="s">
        <x:v>78</x:v>
      </x:c>
      <x:c r="AM315" s="19" t="s">
        <x:v>78</x:v>
      </x:c>
      <x:c r="AN315" s="21"/>
      <x:c r="AO315" s="21"/>
      <x:c r="AP315" s="21"/>
      <x:c r="AQ315" s="21"/>
      <x:c r="AR315" s="21"/>
      <x:c r="AS315" s="21"/>
      <x:c r="AT315" s="21"/>
      <x:c r="AU315" s="21"/>
      <x:c r="AV315" s="21"/>
      <x:c r="AW315" t="s">
        <x:v>78</x:v>
      </x:c>
      <x:c r="AX315" s="19"/>
      <x:c r="AY315" s="21"/>
      <x:c r="AZ315" s="21"/>
      <x:c r="BA315" s="21"/>
      <x:c r="BB315" s="21"/>
      <x:c r="BC315" s="21"/>
      <x:c r="BD315" s="21"/>
      <x:c r="BE315" s="21"/>
      <x:c r="BF315" s="21"/>
      <x:c r="BG315" s="21"/>
      <x:c r="BH315" t="s">
        <x:v>89</x:v>
      </x:c>
      <x:c r="BI315" s="18">
        <x:v>111</x:v>
      </x:c>
      <x:c r="BJ315" s="18">
        <x:v>40</x:v>
      </x:c>
      <x:c r="BK315" s="18">
        <x:v>7</x:v>
      </x:c>
      <x:c r="BL315" s="18">
        <x:v>21</x:v>
      </x:c>
      <x:c r="BM315" s="18">
        <x:v>32</x:v>
      </x:c>
      <x:c r="BN315" s="18">
        <x:v>55.54</x:v>
      </x:c>
      <x:c r="BO315" s="22">
        <x:v>111.66861111111101</x:v>
      </x:c>
      <x:c r="BP315" s="22">
        <x:v>21.548761111111101</x:v>
      </x:c>
      <x:c r="BQ315" s="18">
        <x:v>240</x:v>
      </x:c>
      <x:c r="BR315" s="18">
        <x:v>1892293.24</x:v>
      </x:c>
      <x:c r="BS315" s="18">
        <x:v>33813.394</x:v>
      </x:c>
      <x:c r="BT315" s="18">
        <x:v>289.00599999999997</x:v>
      </x:c>
      <x:c r="BU315" s="18">
        <x:v>3461.0970000000002</x:v>
      </x:c>
      <x:c r="BV315" s="18">
        <x:v>536.70100000000002</x:v>
      </x:c>
      <x:c r="BW315" s="18">
        <x:v>439.54300000000001</x:v>
      </x:c>
      <x:c r="BX315" s="18">
        <x:v>35.636000000000003</x:v>
      </x:c>
      <x:c r="BY315" s="18">
        <x:v>32143.938999999998</x:v>
      </x:c>
      <x:c r="BZ315" s="18">
        <x:v>32143.938999999998</x:v>
      </x:c>
      <x:c r="CA315" s="23">
        <x:f t="shared" si="253"/>
        <x:v>32416.345058999996</x:v>
      </x:c>
      <x:c r="CB315" s="23">
        <x:f t="shared" si="254"/>
        <x:v>19640.491418099999</x:v>
      </x:c>
      <x:c r="CC315" s="23">
        <x:f t="shared" si="255"/>
        <x:v>5448.1252199999999</x:v>
      </x:c>
      <x:c r="CD315" s="23">
        <x:f t="shared" si="256"/>
        <x:v>66256.012831724991</x:v>
      </x:c>
      <x:c r="CE315" s="23">
        <x:f t="shared" si="257"/>
        <x:v>17284.177260449997</x:v>
      </x:c>
      <x:c r="CF315" s="23">
        <x:f t="shared" si="258"/>
        <x:v>34.568354520899994</x:v>
      </x:c>
      <x:c r="CG315" s="23">
        <x:f t="shared" si="259"/>
        <x:v>0</x:v>
      </x:c>
      <x:c r="CH315" s="23">
        <x:f t="shared" si="260"/>
        <x:v>108.96250439999999</x:v>
      </x:c>
      <x:c r="CI315" s="23">
        <x:f t="shared" si="261"/>
        <x:v>0</x:v>
      </x:c>
      <x:c r="CJ315" s="24" t="s">
        <x:v>202</x:v>
      </x:c>
      <x:c r="CK315" s="25">
        <x:v>97.9</x:v>
      </x:c>
      <x:c r="CL315" s="26" t="s">
        <x:v>123</x:v>
      </x:c>
      <x:c r="CM315" s="26">
        <x:v>84.72</x:v>
      </x:c>
      <x:c r="CN315" s="27" t="s">
        <x:v>226</x:v>
      </x:c>
      <x:c r="CO315" s="27">
        <x:v>99.4</x:v>
      </x:c>
      <x:c r="CP315" s="27">
        <x:v>98.3</x:v>
      </x:c>
      <x:c r="CQ315" s="26">
        <x:f t="shared" si="262"/>
        <x:v>680.7432462389969</x:v>
      </x:c>
      <x:c r="CR315" s="26">
        <x:f t="shared" si="263"/>
        <x:v>3001.0670886856806</x:v>
      </x:c>
      <x:c r="CS315" s="26">
        <x:f t="shared" si="264"/>
        <x:v>5448.1252199999999</x:v>
      </x:c>
      <x:c r="CT315" s="26">
        <x:f t="shared" si="285"/>
        <x:v>397.53607699034296</x:v>
      </x:c>
      <x:c r="CU315" s="26">
        <x:f t="shared" si="286"/>
        <x:v>293.83101342765019</x:v>
      </x:c>
      <x:c r="CV315" s="26">
        <x:f t="shared" si="287"/>
        <x:v>0.58766202685530045</x:v>
      </x:c>
      <x:c r="CW315" s="26">
        <x:f t="shared" si="288"/>
        <x:v>0</x:v>
      </x:c>
      <x:c r="CX315" s="26">
        <x:f t="shared" si="265"/>
        <x:v>108.96250439999999</x:v>
      </x:c>
      <x:c r="CY315" s="26">
        <x:f t="shared" si="266"/>
        <x:v>0</x:v>
      </x:c>
    </x:row>
    <x:row r="316">
      <x:c r="A316" s="18">
        <x:v>2022</x:v>
      </x:c>
      <x:c r="B316" t="s">
        <x:v>667</x:v>
      </x:c>
      <x:c r="C316" t="s">
        <x:v>668</x:v>
      </x:c>
      <x:c r="D316" t="s">
        <x:v>669</x:v>
      </x:c>
      <x:c r="E316" s="18">
        <x:v>441721</x:v>
      </x:c>
      <x:c r="F316" t="s">
        <x:v>670</x:v>
      </x:c>
      <x:c r="G316" t="s">
        <x:v>665</x:v>
      </x:c>
      <x:c r="H316" s="18">
        <x:v>4411</x:v>
      </x:c>
      <x:c r="I316" t="s">
        <x:v>102</x:v>
      </x:c>
      <x:c r="J316" t="s">
        <x:v>78</x:v>
      </x:c>
      <x:c r="K316" t="s">
        <x:v>109</x:v>
      </x:c>
      <x:c r="L316" s="20">
        <x:v>120</x:v>
      </x:c>
      <x:c r="M316" t="s">
        <x:v>110</x:v>
      </x:c>
      <x:c r="N316" s="18">
        <x:v>3300</x:v>
      </x:c>
      <x:c r="O316" t="s">
        <x:v>88</x:v>
      </x:c>
      <x:c r="P316" s="18">
        <x:v>4</x:v>
      </x:c>
      <x:c r="Q316" s="19" t="s">
        <x:v>111</x:v>
      </x:c>
      <x:c r="R316" s="18">
        <x:v>2485162.0099999998</x:v>
      </x:c>
      <x:c r="S316" t="s">
        <x:v>112</x:v>
      </x:c>
      <x:c r="T316" s="19">
        <x:f t="shared" si="301"/>
        <x:v>2485162.0099999998</x:v>
      </x:c>
      <x:c r="U316" s="20">
        <x:v>0.7</x:v>
      </x:c>
      <x:c r="V316" t="s">
        <x:v>113</x:v>
      </x:c>
      <x:c r="W316" s="20">
        <x:v>14.1</x:v>
      </x:c>
      <x:c r="X316" s="21">
        <x:f t="shared" si="302"/>
        <x:v>29573.427918999994</x:v>
      </x:c>
      <x:c r="Y316" s="21">
        <x:f t="shared" si="305"/>
        <x:v>17918.018092099999</x:v>
      </x:c>
      <x:c r="Z316" s="21">
        <x:f t="shared" si="303"/>
        <x:v>4970.3240199999991</x:v>
      </x:c>
      <x:c r="AA316" s="21">
        <x:f t="shared" si="306"/>
        <x:v>60445.352988224986</x:v>
      </x:c>
      <x:c r="AB316" s="21">
        <x:f t="shared" si="307"/>
        <x:v>15768.352953449996</x:v>
      </x:c>
      <x:c r="AC316" s="21">
        <x:f t="shared" si="308"/>
        <x:v>31.536705906899993</x:v>
      </x:c>
      <x:c r="AD316" s="21"/>
      <x:c r="AE316" s="21">
        <x:f t="shared" si="304"/>
        <x:v>99.406480400000007</x:v>
      </x:c>
      <x:c r="AF316" s="21"/>
      <x:c r="AG316" s="19" t="s">
        <x:v>78</x:v>
      </x:c>
      <x:c r="AH316" t="s">
        <x:v>78</x:v>
      </x:c>
      <x:c r="AI316" t="s">
        <x:v>78</x:v>
      </x:c>
      <x:c r="AJ316" s="19"/>
      <x:c r="AK316" s="19" t="s">
        <x:v>78</x:v>
      </x:c>
      <x:c r="AL316" t="s">
        <x:v>78</x:v>
      </x:c>
      <x:c r="AM316" s="19" t="s">
        <x:v>78</x:v>
      </x:c>
      <x:c r="AN316" s="21"/>
      <x:c r="AO316" s="21"/>
      <x:c r="AP316" s="21"/>
      <x:c r="AQ316" s="21"/>
      <x:c r="AR316" s="21"/>
      <x:c r="AS316" s="21"/>
      <x:c r="AT316" s="21"/>
      <x:c r="AU316" s="21"/>
      <x:c r="AV316" s="21"/>
      <x:c r="AW316" t="s">
        <x:v>78</x:v>
      </x:c>
      <x:c r="AX316" s="19"/>
      <x:c r="AY316" s="21"/>
      <x:c r="AZ316" s="21"/>
      <x:c r="BA316" s="21"/>
      <x:c r="BB316" s="21"/>
      <x:c r="BC316" s="21"/>
      <x:c r="BD316" s="21"/>
      <x:c r="BE316" s="21"/>
      <x:c r="BF316" s="21"/>
      <x:c r="BG316" s="21"/>
      <x:c r="BH316" t="s">
        <x:v>90</x:v>
      </x:c>
      <x:c r="BI316" s="18">
        <x:v>111</x:v>
      </x:c>
      <x:c r="BJ316" s="18">
        <x:v>40</x:v>
      </x:c>
      <x:c r="BK316" s="18">
        <x:v>7</x:v>
      </x:c>
      <x:c r="BL316" s="18">
        <x:v>21</x:v>
      </x:c>
      <x:c r="BM316" s="18">
        <x:v>32</x:v>
      </x:c>
      <x:c r="BN316" s="18">
        <x:v>56.04</x:v>
      </x:c>
      <x:c r="BO316" s="22">
        <x:v>111.66861111111101</x:v>
      </x:c>
      <x:c r="BP316" s="22">
        <x:v>21.5489</x:v>
      </x:c>
      <x:c r="BQ316" s="18">
        <x:v>240</x:v>
      </x:c>
      <x:c r="BR316" s="18">
        <x:v>1815916.6</x:v>
      </x:c>
      <x:c r="BS316" s="18">
        <x:v>30848.894</x:v>
      </x:c>
      <x:c r="BT316" s="18">
        <x:v>280.85300000000001</x:v>
      </x:c>
      <x:c r="BU316" s="18">
        <x:v>3086.0030000000002</x:v>
      </x:c>
      <x:c r="BV316" s="18">
        <x:v>576.15599999999995</x:v>
      </x:c>
      <x:c r="BW316" s="18">
        <x:v>399.39699999999999</x:v>
      </x:c>
      <x:c r="BX316" s="18">
        <x:v>32.86</x:v>
      </x:c>
      <x:c r="BY316" s="18">
        <x:v>29324.912</x:v>
      </x:c>
      <x:c r="BZ316" s="18">
        <x:v>29324.912</x:v>
      </x:c>
      <x:c r="CA316" s="23">
        <x:f t="shared" si="253"/>
        <x:v>29573.427918999994</x:v>
      </x:c>
      <x:c r="CB316" s="23">
        <x:f t="shared" si="254"/>
        <x:v>17918.018092099999</x:v>
      </x:c>
      <x:c r="CC316" s="23">
        <x:f t="shared" si="255"/>
        <x:v>4970.3240199999991</x:v>
      </x:c>
      <x:c r="CD316" s="23">
        <x:f t="shared" si="256"/>
        <x:v>60445.352988224986</x:v>
      </x:c>
      <x:c r="CE316" s="23">
        <x:f t="shared" si="257"/>
        <x:v>15768.352953449996</x:v>
      </x:c>
      <x:c r="CF316" s="23">
        <x:f t="shared" si="258"/>
        <x:v>31.536705906899993</x:v>
      </x:c>
      <x:c r="CG316" s="23">
        <x:f t="shared" si="259"/>
        <x:v>0</x:v>
      </x:c>
      <x:c r="CH316" s="23">
        <x:f t="shared" si="260"/>
        <x:v>99.406480400000007</x:v>
      </x:c>
      <x:c r="CI316" s="23">
        <x:f t="shared" si="261"/>
        <x:v>0</x:v>
      </x:c>
      <x:c r="CJ316" s="24" t="s">
        <x:v>202</x:v>
      </x:c>
      <x:c r="CK316" s="25">
        <x:v>97.9</x:v>
      </x:c>
      <x:c r="CL316" s="26" t="s">
        <x:v>123</x:v>
      </x:c>
      <x:c r="CM316" s="26">
        <x:v>84.72</x:v>
      </x:c>
      <x:c r="CN316" s="27" t="s">
        <x:v>226</x:v>
      </x:c>
      <x:c r="CO316" s="27">
        <x:v>99.4</x:v>
      </x:c>
      <x:c r="CP316" s="27">
        <x:v>98.3</x:v>
      </x:c>
      <x:c r="CQ316" s="26">
        <x:f t="shared" si="262"/>
        <x:v>621.04198629899713</x:v>
      </x:c>
      <x:c r="CR316" s="26">
        <x:f t="shared" si="263"/>
        <x:v>2737.8731644728809</x:v>
      </x:c>
      <x:c r="CS316" s="26">
        <x:f t="shared" si="264"/>
        <x:v>4970.3240199999991</x:v>
      </x:c>
      <x:c r="CT316" s="26">
        <x:f t="shared" si="285"/>
        <x:v>362.67211792934353</x:v>
      </x:c>
      <x:c r="CU316" s="26">
        <x:f t="shared" si="286"/>
        <x:v>268.06200020865015</x:v>
      </x:c>
      <x:c r="CV316" s="26">
        <x:f t="shared" si="287"/>
        <x:v>0.53612400041730035</x:v>
      </x:c>
      <x:c r="CW316" s="26">
        <x:f t="shared" si="288"/>
        <x:v>0</x:v>
      </x:c>
      <x:c r="CX316" s="26">
        <x:f t="shared" si="265"/>
        <x:v>99.406480400000007</x:v>
      </x:c>
      <x:c r="CY316" s="26">
        <x:f t="shared" si="266"/>
        <x:v>0</x:v>
      </x:c>
    </x:row>
    <x:row r="317">
      <x:c r="A317" s="18">
        <x:v>2022</x:v>
      </x:c>
      <x:c r="B317" t="s">
        <x:v>671</x:v>
      </x:c>
      <x:c r="C317" t="s">
        <x:v>672</x:v>
      </x:c>
      <x:c r="D317" t="s">
        <x:v>673</x:v>
      </x:c>
      <x:c r="E317" s="18">
        <x:v>441781</x:v>
      </x:c>
      <x:c r="F317" t="s">
        <x:v>674</x:v>
      </x:c>
      <x:c r="G317" t="s">
        <x:v>665</x:v>
      </x:c>
      <x:c r="H317" s="18">
        <x:v>3391</x:v>
      </x:c>
      <x:c r="I317" t="s">
        <x:v>675</x:v>
      </x:c>
      <x:c r="J317" t="s">
        <x:v>78</x:v>
      </x:c>
      <x:c r="K317" t="s">
        <x:v>72</x:v>
      </x:c>
      <x:c r="L317" s="18">
        <x:v>12</x:v>
      </x:c>
      <x:c r="M317" t="s">
        <x:v>136</x:v>
      </x:c>
      <x:c r="N317" s="18">
        <x:v>45</x:v>
      </x:c>
      <x:c r="O317" t="s">
        <x:v>74</x:v>
      </x:c>
      <x:c r="P317" s="18">
        <x:v>12</x:v>
      </x:c>
      <x:c r="Q317" s="19" t="s">
        <x:v>215</x:v>
      </x:c>
      <x:c r="R317" s="18">
        <x:v>1750</x:v>
      </x:c>
      <x:c r="S317" t="s">
        <x:v>76</x:v>
      </x:c>
      <x:c r="T317" s="19">
        <x:f t="shared" si="301"/>
        <x:v>1750</x:v>
      </x:c>
      <x:c r="U317" s="20">
        <x:v>0.48</x:v>
      </x:c>
      <x:c r="V317" t="s">
        <x:v>77</x:v>
      </x:c>
      <x:c r="W317" s="19" t="s">
        <x:v>78</x:v>
      </x:c>
      <x:c r="X317" s="21" t="n">
        <x:f t="shared" ref="X317:X326" si="309">2*U317*T317*10000/1000000000</x:f>
        <x:v>0.0168</x:v>
      </x:c>
      <x:c r="Y317" s="21" t="n">
        <x:f t="shared" ref="Y317:Y322" si="310">1.35*T317*10000/1000000</x:f>
        <x:v>23.625</x:v>
      </x:c>
      <x:c r="Z317" s="21" t="n">
        <x:f t="shared" ref="Z317:Z326" si="311">1.3*T317*10000/1000000</x:f>
        <x:v>22.75</x:v>
      </x:c>
      <x:c r="AA317" s="21" t="n">
        <x:f t="shared" ref="AA317:AA326" si="312">0.03*T317*10000/1000000</x:f>
        <x:v>0.525</x:v>
      </x:c>
      <x:c r="AB317" s="21" t="n">
        <x:f t="shared" ref="AB317:AB326" si="313">0.03*T317*10000/1000000</x:f>
        <x:v>0.525</x:v>
      </x:c>
      <x:c r="AC317" s="21"/>
      <x:c r="AD317" s="21"/>
      <x:c r="AE317" s="21" t="n">
        <x:f t="shared" ref="AE317:AE322" si="314">0.05*T317*10000/1000000</x:f>
        <x:v>0.875</x:v>
      </x:c>
      <x:c r="AF317" s="21"/>
      <x:c r="AG317" s="19" t="s">
        <x:v>78</x:v>
      </x:c>
      <x:c r="AH317" t="s">
        <x:v>78</x:v>
      </x:c>
      <x:c r="AI317" t="s">
        <x:v>78</x:v>
      </x:c>
      <x:c r="AJ317" s="19"/>
      <x:c r="AK317" s="19" t="s">
        <x:v>78</x:v>
      </x:c>
      <x:c r="AL317" t="s">
        <x:v>78</x:v>
      </x:c>
      <x:c r="AM317" s="19" t="s">
        <x:v>78</x:v>
      </x:c>
      <x:c r="AN317" s="21"/>
      <x:c r="AO317" s="21"/>
      <x:c r="AP317" s="21"/>
      <x:c r="AQ317" s="21"/>
      <x:c r="AR317" s="21"/>
      <x:c r="AS317" s="21"/>
      <x:c r="AT317" s="21"/>
      <x:c r="AU317" s="21"/>
      <x:c r="AV317" s="21"/>
      <x:c r="AW317" t="s">
        <x:v>78</x:v>
      </x:c>
      <x:c r="AX317" s="19"/>
      <x:c r="AY317" s="21"/>
      <x:c r="AZ317" s="21"/>
      <x:c r="BA317" s="21"/>
      <x:c r="BB317" s="21"/>
      <x:c r="BC317" s="21"/>
      <x:c r="BD317" s="21"/>
      <x:c r="BE317" s="21"/>
      <x:c r="BF317" s="21"/>
      <x:c r="BG317" s="21"/>
      <x:c r="BH317" t="s">
        <x:v>89</x:v>
      </x:c>
      <x:c r="BI317" s="18">
        <x:v>111</x:v>
      </x:c>
      <x:c r="BJ317" s="18">
        <x:v>40</x:v>
      </x:c>
      <x:c r="BK317" s="18">
        <x:v>3</x:v>
      </x:c>
      <x:c r="BL317" s="18">
        <x:v>22</x:v>
      </x:c>
      <x:c r="BM317" s="18">
        <x:v>5</x:v>
      </x:c>
      <x:c r="BN317" s="18">
        <x:v>59</x:v>
      </x:c>
      <x:c r="BO317" s="22">
        <x:v>111.6675</x:v>
      </x:c>
      <x:c r="BP317" s="22">
        <x:v>22.099722222222201</x:v>
      </x:c>
      <x:c r="BQ317" s="18">
        <x:v>44</x:v>
      </x:c>
      <x:c r="BR317" s="18">
        <x:v>10000</x:v>
      </x:c>
      <x:c r="BS317" s="18">
        <x:v>8.75</x:v>
      </x:c>
      <x:c r="BT317" s="18">
        <x:v>8.75</x:v>
      </x:c>
      <x:c r="BU317" s="18">
        <x:v>15.05</x:v>
      </x:c>
      <x:c r="BV317" s="18">
        <x:v>15.05</x:v>
      </x:c>
      <x:c r="BW317" s="18">
        <x:v>1.8180000000000001</x:v>
      </x:c>
      <x:c r="BX317" s="18">
        <x:v>1.8180000000000001</x:v>
      </x:c>
      <x:c r="BY317" s="18">
        <x:v>267.75</x:v>
      </x:c>
      <x:c r="BZ317" s="18">
        <x:v>267.75</x:v>
      </x:c>
      <x:c r="CA317" s="23">
        <x:f t="shared" si="253"/>
        <x:v>1.6799999999999999E-2</x:v>
      </x:c>
      <x:c r="CB317" s="23">
        <x:f t="shared" si="254"/>
        <x:v>23.625</x:v>
      </x:c>
      <x:c r="CC317" s="23">
        <x:f t="shared" si="255"/>
        <x:v>22.75</x:v>
      </x:c>
      <x:c r="CD317" s="23">
        <x:f t="shared" si="256"/>
        <x:v>0.52500000000000002</x:v>
      </x:c>
      <x:c r="CE317" s="23">
        <x:f t="shared" si="257"/>
        <x:v>0.52500000000000002</x:v>
      </x:c>
      <x:c r="CF317" s="23">
        <x:f t="shared" si="258"/>
        <x:v>0</x:v>
      </x:c>
      <x:c r="CG317" s="23">
        <x:f t="shared" si="259"/>
        <x:v>0</x:v>
      </x:c>
      <x:c r="CH317" s="23">
        <x:f t="shared" si="260"/>
        <x:v>0.875</x:v>
      </x:c>
      <x:c r="CI317" s="23">
        <x:f t="shared" si="261"/>
        <x:v>0</x:v>
      </x:c>
      <x:c r="CJ317" s="24" t="s">
        <x:v>78</x:v>
      </x:c>
      <x:c r="CK317" s="25">
        <x:v>0</x:v>
      </x:c>
      <x:c r="CL317" s="26" t="s">
        <x:v>78</x:v>
      </x:c>
      <x:c r="CM317" s="26" t="n">
        <x:f>(1-BV317/BU317)*100</x:f>
        <x:v>0</x:v>
      </x:c>
      <x:c r="CN317" s="27" t="s">
        <x:v>78</x:v>
      </x:c>
      <x:c r="CO317" s="27">
        <x:v>0</x:v>
      </x:c>
      <x:c r="CP317" s="27">
        <x:v>0</x:v>
      </x:c>
      <x:c r="CQ317" s="26">
        <x:f t="shared" si="262"/>
        <x:v>1.6799999999999999E-2</x:v>
      </x:c>
      <x:c r="CR317" s="26">
        <x:f t="shared" si="263"/>
        <x:v>23.625</x:v>
      </x:c>
      <x:c r="CS317" s="26">
        <x:f t="shared" si="264"/>
        <x:v>22.75</x:v>
      </x:c>
      <x:c r="CT317" s="26">
        <x:f t="shared" si="285"/>
        <x:v>0.52500000000000002</x:v>
      </x:c>
      <x:c r="CU317" s="26">
        <x:f t="shared" si="286"/>
        <x:v>0.52500000000000002</x:v>
      </x:c>
      <x:c r="CV317" s="26">
        <x:f t="shared" si="287"/>
        <x:v>0</x:v>
      </x:c>
      <x:c r="CW317" s="26">
        <x:f t="shared" si="288"/>
        <x:v>0</x:v>
      </x:c>
      <x:c r="CX317" s="26">
        <x:f t="shared" si="265"/>
        <x:v>0.875</x:v>
      </x:c>
      <x:c r="CY317" s="26">
        <x:f t="shared" si="266"/>
        <x:v>0</x:v>
      </x:c>
    </x:row>
    <x:row r="318">
      <x:c r="A318" s="18">
        <x:v>2022</x:v>
      </x:c>
      <x:c r="B318" t="s">
        <x:v>676</x:v>
      </x:c>
      <x:c r="C318" t="s">
        <x:v>677</x:v>
      </x:c>
      <x:c r="D318" t="s">
        <x:v>678</x:v>
      </x:c>
      <x:c r="E318" s="18">
        <x:v>441781</x:v>
      </x:c>
      <x:c r="F318" t="s">
        <x:v>674</x:v>
      </x:c>
      <x:c r="G318" t="s">
        <x:v>665</x:v>
      </x:c>
      <x:c r="H318" s="18">
        <x:v>3130</x:v>
      </x:c>
      <x:c r="I318" t="s">
        <x:v>679</x:v>
      </x:c>
      <x:c r="J318" t="s">
        <x:v>78</x:v>
      </x:c>
      <x:c r="K318" t="s">
        <x:v>72</x:v>
      </x:c>
      <x:c r="L318" s="18">
        <x:v>3</x:v>
      </x:c>
      <x:c r="M318" t="s">
        <x:v>136</x:v>
      </x:c>
      <x:c r="N318" s="18">
        <x:v>130</x:v>
      </x:c>
      <x:c r="O318" t="s">
        <x:v>88</x:v>
      </x:c>
      <x:c r="P318" s="18">
        <x:v>12</x:v>
      </x:c>
      <x:c r="Q318" s="19" t="s">
        <x:v>215</x:v>
      </x:c>
      <x:c r="R318" s="18">
        <x:v>39749.196000000004</x:v>
      </x:c>
      <x:c r="S318" t="s">
        <x:v>76</x:v>
      </x:c>
      <x:c r="T318" s="19">
        <x:f t="shared" si="301"/>
        <x:v>39749.196000000004</x:v>
      </x:c>
      <x:c r="U318" s="20">
        <x:v>10</x:v>
      </x:c>
      <x:c r="V318" t="s">
        <x:v>77</x:v>
      </x:c>
      <x:c r="W318" s="20">
        <x:v>0</x:v>
      </x:c>
      <x:c r="X318" s="21">
        <x:f t="shared" si="309"/>
        <x:v>7.9498392000000004</x:v>
      </x:c>
      <x:c r="Y318" s="21">
        <x:f t="shared" si="310"/>
        <x:v>536.61414600000012</x:v>
      </x:c>
      <x:c r="Z318" s="21">
        <x:f t="shared" si="311"/>
        <x:v>516.73954800000001</x:v>
      </x:c>
      <x:c r="AA318" s="21">
        <x:f t="shared" si="312"/>
        <x:v>11.924758799999999</x:v>
      </x:c>
      <x:c r="AB318" s="21">
        <x:f t="shared" si="313"/>
        <x:v>11.924758799999999</x:v>
      </x:c>
      <x:c r="AC318" s="21"/>
      <x:c r="AD318" s="21"/>
      <x:c r="AE318" s="21">
        <x:f t="shared" si="314"/>
        <x:v>19.874598000000002</x:v>
      </x:c>
      <x:c r="AF318" s="21"/>
      <x:c r="AG318" s="19" t="s">
        <x:v>78</x:v>
      </x:c>
      <x:c r="AH318" t="s">
        <x:v>78</x:v>
      </x:c>
      <x:c r="AI318" t="s">
        <x:v>78</x:v>
      </x:c>
      <x:c r="AJ318" s="19"/>
      <x:c r="AK318" s="19" t="s">
        <x:v>78</x:v>
      </x:c>
      <x:c r="AL318" t="s">
        <x:v>78</x:v>
      </x:c>
      <x:c r="AM318" s="19" t="s">
        <x:v>78</x:v>
      </x:c>
      <x:c r="AN318" s="21"/>
      <x:c r="AO318" s="21"/>
      <x:c r="AP318" s="21"/>
      <x:c r="AQ318" s="21"/>
      <x:c r="AR318" s="21"/>
      <x:c r="AS318" s="21"/>
      <x:c r="AT318" s="21"/>
      <x:c r="AU318" s="21"/>
      <x:c r="AV318" s="21"/>
      <x:c r="AW318" t="s">
        <x:v>78</x:v>
      </x:c>
      <x:c r="AX318" s="19"/>
      <x:c r="AY318" s="21"/>
      <x:c r="AZ318" s="21"/>
      <x:c r="BA318" s="21"/>
      <x:c r="BB318" s="21"/>
      <x:c r="BC318" s="21"/>
      <x:c r="BD318" s="21"/>
      <x:c r="BE318" s="21"/>
      <x:c r="BF318" s="21"/>
      <x:c r="BG318" s="21"/>
      <x:c r="BH318" t="s">
        <x:v>81</x:v>
      </x:c>
      <x:c r="BI318" s="18">
        <x:v>111</x:v>
      </x:c>
      <x:c r="BJ318" s="18">
        <x:v>38</x:v>
      </x:c>
      <x:c r="BK318" s="18">
        <x:v>36.64</x:v>
      </x:c>
      <x:c r="BL318" s="18">
        <x:v>22</x:v>
      </x:c>
      <x:c r="BM318" s="18">
        <x:v>5</x:v>
      </x:c>
      <x:c r="BN318" s="18">
        <x:v>4.8099999999999996</x:v>
      </x:c>
      <x:c r="BO318" s="22">
        <x:v>111.643511111111</x:v>
      </x:c>
      <x:c r="BP318" s="22">
        <x:v>22.084669444444401</x:v>
      </x:c>
      <x:c r="BQ318" s="18">
        <x:v>80</x:v>
      </x:c>
      <x:c r="BR318" s="18">
        <x:v>58746</x:v>
      </x:c>
      <x:c r="BS318" s="18">
        <x:v>34.863999999999997</x:v>
      </x:c>
      <x:c r="BT318" s="18">
        <x:v>34.863999999999997</x:v>
      </x:c>
      <x:c r="BU318" s="18">
        <x:v>19.89</x:v>
      </x:c>
      <x:c r="BV318" s="18">
        <x:v>19.89</x:v>
      </x:c>
      <x:c r="BW318" s="18">
        <x:v>3.7349999999999999</x:v>
      </x:c>
      <x:c r="BX318" s="18">
        <x:v>3.7349999999999999</x:v>
      </x:c>
      <x:c r="BY318" s="18">
        <x:v>6081.6270000000004</x:v>
      </x:c>
      <x:c r="BZ318" s="18">
        <x:v>6081.6270000000004</x:v>
      </x:c>
      <x:c r="CA318" s="23">
        <x:f t="shared" si="253"/>
        <x:v>7.9498392000000004</x:v>
      </x:c>
      <x:c r="CB318" s="23">
        <x:f t="shared" si="254"/>
        <x:v>536.61414600000012</x:v>
      </x:c>
      <x:c r="CC318" s="23">
        <x:f t="shared" si="255"/>
        <x:v>516.73954800000001</x:v>
      </x:c>
      <x:c r="CD318" s="23">
        <x:f t="shared" si="256"/>
        <x:v>11.924758799999999</x:v>
      </x:c>
      <x:c r="CE318" s="23">
        <x:f t="shared" si="257"/>
        <x:v>11.924758799999999</x:v>
      </x:c>
      <x:c r="CF318" s="23">
        <x:f t="shared" si="258"/>
        <x:v>0</x:v>
      </x:c>
      <x:c r="CG318" s="23">
        <x:f t="shared" si="259"/>
        <x:v>0</x:v>
      </x:c>
      <x:c r="CH318" s="23">
        <x:f t="shared" si="260"/>
        <x:v>19.874598000000002</x:v>
      </x:c>
      <x:c r="CI318" s="23">
        <x:f t="shared" si="261"/>
        <x:v>0</x:v>
      </x:c>
      <x:c r="CJ318" s="24" t="s">
        <x:v>78</x:v>
      </x:c>
      <x:c r="CK318" s="25">
        <x:v>0</x:v>
      </x:c>
      <x:c r="CL318" s="26" t="s">
        <x:v>78</x:v>
      </x:c>
      <x:c r="CM318" s="26">
        <x:v>42</x:v>
      </x:c>
      <x:c r="CN318" s="27" t="s">
        <x:v>78</x:v>
      </x:c>
      <x:c r="CO318" s="27">
        <x:v>0</x:v>
      </x:c>
      <x:c r="CP318" s="27">
        <x:v>0</x:v>
      </x:c>
      <x:c r="CQ318" s="26">
        <x:f t="shared" si="262"/>
        <x:v>7.9498392000000004</x:v>
      </x:c>
      <x:c r="CR318" s="26">
        <x:f t="shared" si="263"/>
        <x:v>311.23620468000013</x:v>
      </x:c>
      <x:c r="CS318" s="26">
        <x:f t="shared" si="264"/>
        <x:v>516.73954800000001</x:v>
      </x:c>
      <x:c r="CT318" s="26">
        <x:f t="shared" si="285"/>
        <x:v>11.924758799999999</x:v>
      </x:c>
      <x:c r="CU318" s="26">
        <x:f t="shared" si="286"/>
        <x:v>11.924758799999999</x:v>
      </x:c>
      <x:c r="CV318" s="26">
        <x:f t="shared" si="287"/>
        <x:v>0</x:v>
      </x:c>
      <x:c r="CW318" s="26">
        <x:f t="shared" si="288"/>
        <x:v>0</x:v>
      </x:c>
      <x:c r="CX318" s="26">
        <x:f t="shared" si="265"/>
        <x:v>19.874598000000002</x:v>
      </x:c>
      <x:c r="CY318" s="26">
        <x:f t="shared" si="266"/>
        <x:v>0</x:v>
      </x:c>
    </x:row>
    <x:row r="319">
      <x:c r="A319" s="18">
        <x:v>2022</x:v>
      </x:c>
      <x:c r="B319" t="s">
        <x:v>676</x:v>
      </x:c>
      <x:c r="C319" t="s">
        <x:v>677</x:v>
      </x:c>
      <x:c r="D319" t="s">
        <x:v>678</x:v>
      </x:c>
      <x:c r="E319" s="18">
        <x:v>441781</x:v>
      </x:c>
      <x:c r="F319" t="s">
        <x:v>674</x:v>
      </x:c>
      <x:c r="G319" t="s">
        <x:v>665</x:v>
      </x:c>
      <x:c r="H319" s="18">
        <x:v>3130</x:v>
      </x:c>
      <x:c r="I319" t="s">
        <x:v>679</x:v>
      </x:c>
      <x:c r="J319" t="s">
        <x:v>78</x:v>
      </x:c>
      <x:c r="K319" t="s">
        <x:v>72</x:v>
      </x:c>
      <x:c r="L319" s="18">
        <x:v>3</x:v>
      </x:c>
      <x:c r="M319" t="s">
        <x:v>136</x:v>
      </x:c>
      <x:c r="N319" s="18">
        <x:v>130</x:v>
      </x:c>
      <x:c r="O319" t="s">
        <x:v>88</x:v>
      </x:c>
      <x:c r="P319" s="18">
        <x:v>12</x:v>
      </x:c>
      <x:c r="Q319" s="19" t="s">
        <x:v>215</x:v>
      </x:c>
      <x:c r="R319" s="18">
        <x:v>36587.659</x:v>
      </x:c>
      <x:c r="S319" t="s">
        <x:v>76</x:v>
      </x:c>
      <x:c r="T319" s="19">
        <x:f t="shared" si="301"/>
        <x:v>36587.659</x:v>
      </x:c>
      <x:c r="U319" s="20">
        <x:v>10</x:v>
      </x:c>
      <x:c r="V319" t="s">
        <x:v>77</x:v>
      </x:c>
      <x:c r="W319" s="20">
        <x:v>0</x:v>
      </x:c>
      <x:c r="X319" s="21">
        <x:f t="shared" si="309"/>
        <x:v>7.3175317999999994</x:v>
      </x:c>
      <x:c r="Y319" s="21">
        <x:f t="shared" si="310"/>
        <x:v>493.93339650000001</x:v>
      </x:c>
      <x:c r="Z319" s="21">
        <x:f t="shared" si="311"/>
        <x:v>475.639567</x:v>
      </x:c>
      <x:c r="AA319" s="21">
        <x:f t="shared" si="312"/>
        <x:v>10.9762977</x:v>
      </x:c>
      <x:c r="AB319" s="21">
        <x:f t="shared" si="313"/>
        <x:v>10.9762977</x:v>
      </x:c>
      <x:c r="AC319" s="21"/>
      <x:c r="AD319" s="21"/>
      <x:c r="AE319" s="21">
        <x:f t="shared" si="314"/>
        <x:v>18.293829500000001</x:v>
      </x:c>
      <x:c r="AF319" s="21"/>
      <x:c r="AG319" s="19" t="s">
        <x:v>78</x:v>
      </x:c>
      <x:c r="AH319" t="s">
        <x:v>78</x:v>
      </x:c>
      <x:c r="AI319" t="s">
        <x:v>78</x:v>
      </x:c>
      <x:c r="AJ319" s="19"/>
      <x:c r="AK319" s="19" t="s">
        <x:v>78</x:v>
      </x:c>
      <x:c r="AL319" t="s">
        <x:v>78</x:v>
      </x:c>
      <x:c r="AM319" s="19" t="s">
        <x:v>78</x:v>
      </x:c>
      <x:c r="AN319" s="21"/>
      <x:c r="AO319" s="21"/>
      <x:c r="AP319" s="21"/>
      <x:c r="AQ319" s="21"/>
      <x:c r="AR319" s="21"/>
      <x:c r="AS319" s="21"/>
      <x:c r="AT319" s="21"/>
      <x:c r="AU319" s="21"/>
      <x:c r="AV319" s="21"/>
      <x:c r="AW319" t="s">
        <x:v>78</x:v>
      </x:c>
      <x:c r="AX319" s="19"/>
      <x:c r="AY319" s="21"/>
      <x:c r="AZ319" s="21"/>
      <x:c r="BA319" s="21"/>
      <x:c r="BB319" s="21"/>
      <x:c r="BC319" s="21"/>
      <x:c r="BD319" s="21"/>
      <x:c r="BE319" s="21"/>
      <x:c r="BF319" s="21"/>
      <x:c r="BG319" s="21"/>
      <x:c r="BH319" t="s">
        <x:v>81</x:v>
      </x:c>
      <x:c r="BI319" s="18">
        <x:v>111</x:v>
      </x:c>
      <x:c r="BJ319" s="18">
        <x:v>38</x:v>
      </x:c>
      <x:c r="BK319" s="18">
        <x:v>36.64</x:v>
      </x:c>
      <x:c r="BL319" s="18">
        <x:v>22</x:v>
      </x:c>
      <x:c r="BM319" s="18">
        <x:v>5</x:v>
      </x:c>
      <x:c r="BN319" s="18">
        <x:v>4.8099999999999996</x:v>
      </x:c>
      <x:c r="BO319" s="22">
        <x:v>111.643511111111</x:v>
      </x:c>
      <x:c r="BP319" s="22">
        <x:v>22.084669444444401</x:v>
      </x:c>
      <x:c r="BQ319" s="18">
        <x:v>80</x:v>
      </x:c>
      <x:c r="BR319" s="18">
        <x:v>58745</x:v>
      </x:c>
      <x:c r="BS319" s="18">
        <x:v>34.863999999999997</x:v>
      </x:c>
      <x:c r="BT319" s="18">
        <x:v>34.863999999999997</x:v>
      </x:c>
      <x:c r="BU319" s="18">
        <x:v>19.89</x:v>
      </x:c>
      <x:c r="BV319" s="18">
        <x:v>19.89</x:v>
      </x:c>
      <x:c r="BW319" s="18">
        <x:v>3.7349999999999999</x:v>
      </x:c>
      <x:c r="BX319" s="18">
        <x:v>3.7349999999999999</x:v>
      </x:c>
      <x:c r="BY319" s="18">
        <x:v>5597.9120000000003</x:v>
      </x:c>
      <x:c r="BZ319" s="18">
        <x:v>5597.9120000000003</x:v>
      </x:c>
      <x:c r="CA319" s="23">
        <x:f t="shared" si="253"/>
        <x:v>7.3175317999999994</x:v>
      </x:c>
      <x:c r="CB319" s="23">
        <x:f t="shared" si="254"/>
        <x:v>493.93339650000001</x:v>
      </x:c>
      <x:c r="CC319" s="23">
        <x:f t="shared" si="255"/>
        <x:v>475.639567</x:v>
      </x:c>
      <x:c r="CD319" s="23">
        <x:f t="shared" si="256"/>
        <x:v>10.9762977</x:v>
      </x:c>
      <x:c r="CE319" s="23">
        <x:f t="shared" si="257"/>
        <x:v>10.9762977</x:v>
      </x:c>
      <x:c r="CF319" s="23">
        <x:f t="shared" si="258"/>
        <x:v>0</x:v>
      </x:c>
      <x:c r="CG319" s="23">
        <x:f t="shared" si="259"/>
        <x:v>0</x:v>
      </x:c>
      <x:c r="CH319" s="23">
        <x:f t="shared" si="260"/>
        <x:v>18.293829500000001</x:v>
      </x:c>
      <x:c r="CI319" s="23">
        <x:f t="shared" si="261"/>
        <x:v>0</x:v>
      </x:c>
      <x:c r="CJ319" s="24" t="s">
        <x:v>78</x:v>
      </x:c>
      <x:c r="CK319" s="25">
        <x:v>0</x:v>
      </x:c>
      <x:c r="CL319" s="26" t="s">
        <x:v>78</x:v>
      </x:c>
      <x:c r="CM319" s="26">
        <x:v>42</x:v>
      </x:c>
      <x:c r="CN319" s="27" t="s">
        <x:v>78</x:v>
      </x:c>
      <x:c r="CO319" s="27">
        <x:v>0</x:v>
      </x:c>
      <x:c r="CP319" s="27">
        <x:v>0</x:v>
      </x:c>
      <x:c r="CQ319" s="26">
        <x:f t="shared" si="262"/>
        <x:v>7.3175317999999994</x:v>
      </x:c>
      <x:c r="CR319" s="26">
        <x:f t="shared" si="263"/>
        <x:v>286.48136997000006</x:v>
      </x:c>
      <x:c r="CS319" s="26">
        <x:f t="shared" si="264"/>
        <x:v>475.639567</x:v>
      </x:c>
      <x:c r="CT319" s="26">
        <x:f t="shared" si="285"/>
        <x:v>10.9762977</x:v>
      </x:c>
      <x:c r="CU319" s="26">
        <x:f t="shared" si="286"/>
        <x:v>10.9762977</x:v>
      </x:c>
      <x:c r="CV319" s="26">
        <x:f t="shared" si="287"/>
        <x:v>0</x:v>
      </x:c>
      <x:c r="CW319" s="26">
        <x:f t="shared" si="288"/>
        <x:v>0</x:v>
      </x:c>
      <x:c r="CX319" s="26">
        <x:f t="shared" si="265"/>
        <x:v>18.293829500000001</x:v>
      </x:c>
      <x:c r="CY319" s="26">
        <x:f t="shared" si="266"/>
        <x:v>0</x:v>
      </x:c>
    </x:row>
    <x:row r="320">
      <x:c r="A320" s="18">
        <x:v>2022</x:v>
      </x:c>
      <x:c r="B320" t="s">
        <x:v>676</x:v>
      </x:c>
      <x:c r="C320" t="s">
        <x:v>677</x:v>
      </x:c>
      <x:c r="D320" t="s">
        <x:v>678</x:v>
      </x:c>
      <x:c r="E320" s="18">
        <x:v>441781</x:v>
      </x:c>
      <x:c r="F320" t="s">
        <x:v>674</x:v>
      </x:c>
      <x:c r="G320" t="s">
        <x:v>665</x:v>
      </x:c>
      <x:c r="H320" s="18">
        <x:v>3130</x:v>
      </x:c>
      <x:c r="I320" t="s">
        <x:v>679</x:v>
      </x:c>
      <x:c r="J320" t="s">
        <x:v>78</x:v>
      </x:c>
      <x:c r="K320" t="s">
        <x:v>72</x:v>
      </x:c>
      <x:c r="L320" s="18">
        <x:v>3</x:v>
      </x:c>
      <x:c r="M320" t="s">
        <x:v>136</x:v>
      </x:c>
      <x:c r="N320" s="18">
        <x:v>130</x:v>
      </x:c>
      <x:c r="O320" t="s">
        <x:v>88</x:v>
      </x:c>
      <x:c r="P320" s="18">
        <x:v>12</x:v>
      </x:c>
      <x:c r="Q320" s="19" t="s">
        <x:v>215</x:v>
      </x:c>
      <x:c r="R320" s="18">
        <x:v>46538.96</x:v>
      </x:c>
      <x:c r="S320" t="s">
        <x:v>76</x:v>
      </x:c>
      <x:c r="T320" s="19">
        <x:f t="shared" si="301"/>
        <x:v>46538.96</x:v>
      </x:c>
      <x:c r="U320" s="20">
        <x:v>10</x:v>
      </x:c>
      <x:c r="V320" t="s">
        <x:v>77</x:v>
      </x:c>
      <x:c r="W320" s="20">
        <x:v>0</x:v>
      </x:c>
      <x:c r="X320" s="21">
        <x:f t="shared" si="309"/>
        <x:v>9.3077919999999992</x:v>
      </x:c>
      <x:c r="Y320" s="21">
        <x:f t="shared" si="310"/>
        <x:v>628.27596000000005</x:v>
      </x:c>
      <x:c r="Z320" s="21">
        <x:f t="shared" si="311"/>
        <x:v>605.00648000000001</x:v>
      </x:c>
      <x:c r="AA320" s="21">
        <x:f t="shared" si="312"/>
        <x:v>13.961688000000001</x:v>
      </x:c>
      <x:c r="AB320" s="21">
        <x:f t="shared" si="313"/>
        <x:v>13.961688000000001</x:v>
      </x:c>
      <x:c r="AC320" s="21"/>
      <x:c r="AD320" s="21"/>
      <x:c r="AE320" s="21">
        <x:f t="shared" si="314"/>
        <x:v>23.269480000000001</x:v>
      </x:c>
      <x:c r="AF320" s="21"/>
      <x:c r="AG320" s="19" t="s">
        <x:v>78</x:v>
      </x:c>
      <x:c r="AH320" t="s">
        <x:v>78</x:v>
      </x:c>
      <x:c r="AI320" t="s">
        <x:v>78</x:v>
      </x:c>
      <x:c r="AJ320" s="19"/>
      <x:c r="AK320" s="19" t="s">
        <x:v>78</x:v>
      </x:c>
      <x:c r="AL320" t="s">
        <x:v>78</x:v>
      </x:c>
      <x:c r="AM320" s="19" t="s">
        <x:v>78</x:v>
      </x:c>
      <x:c r="AN320" s="21"/>
      <x:c r="AO320" s="21"/>
      <x:c r="AP320" s="21"/>
      <x:c r="AQ320" s="21"/>
      <x:c r="AR320" s="21"/>
      <x:c r="AS320" s="21"/>
      <x:c r="AT320" s="21"/>
      <x:c r="AU320" s="21"/>
      <x:c r="AV320" s="21"/>
      <x:c r="AW320" t="s">
        <x:v>78</x:v>
      </x:c>
      <x:c r="AX320" s="19"/>
      <x:c r="AY320" s="21"/>
      <x:c r="AZ320" s="21"/>
      <x:c r="BA320" s="21"/>
      <x:c r="BB320" s="21"/>
      <x:c r="BC320" s="21"/>
      <x:c r="BD320" s="21"/>
      <x:c r="BE320" s="21"/>
      <x:c r="BF320" s="21"/>
      <x:c r="BG320" s="21"/>
      <x:c r="BH320" t="s">
        <x:v>79</x:v>
      </x:c>
      <x:c r="BI320" s="18">
        <x:v>111</x:v>
      </x:c>
      <x:c r="BJ320" s="18">
        <x:v>38</x:v>
      </x:c>
      <x:c r="BK320" s="18">
        <x:v>33.72</x:v>
      </x:c>
      <x:c r="BL320" s="18">
        <x:v>22</x:v>
      </x:c>
      <x:c r="BM320" s="18">
        <x:v>5</x:v>
      </x:c>
      <x:c r="BN320" s="18">
        <x:v>5.03</x:v>
      </x:c>
      <x:c r="BO320" s="22">
        <x:v>111.6427</x:v>
      </x:c>
      <x:c r="BP320" s="22">
        <x:v>22.084730555555598</x:v>
      </x:c>
      <x:c r="BQ320" s="18">
        <x:v>80</x:v>
      </x:c>
      <x:c r="BR320" s="18">
        <x:v>99513</x:v>
      </x:c>
      <x:c r="BS320" s="18">
        <x:v>13.398999999999999</x:v>
      </x:c>
      <x:c r="BT320" s="18">
        <x:v>13.398999999999999</x:v>
      </x:c>
      <x:c r="BU320" s="18">
        <x:v>32.061</x:v>
      </x:c>
      <x:c r="BV320" s="18">
        <x:v>32.061</x:v>
      </x:c>
      <x:c r="BW320" s="18">
        <x:v>6.1890000000000001</x:v>
      </x:c>
      <x:c r="BX320" s="18">
        <x:v>6.1890000000000001</x:v>
      </x:c>
      <x:c r="BY320" s="18">
        <x:v>7120.4610000000002</x:v>
      </x:c>
      <x:c r="BZ320" s="18">
        <x:v>7120.4610000000002</x:v>
      </x:c>
      <x:c r="CA320" s="23">
        <x:f t="shared" si="253"/>
        <x:v>9.3077919999999992</x:v>
      </x:c>
      <x:c r="CB320" s="23">
        <x:f t="shared" si="254"/>
        <x:v>628.27596000000005</x:v>
      </x:c>
      <x:c r="CC320" s="23">
        <x:f t="shared" si="255"/>
        <x:v>605.00648000000001</x:v>
      </x:c>
      <x:c r="CD320" s="23">
        <x:f t="shared" si="256"/>
        <x:v>13.961688000000001</x:v>
      </x:c>
      <x:c r="CE320" s="23">
        <x:f t="shared" si="257"/>
        <x:v>13.961688000000001</x:v>
      </x:c>
      <x:c r="CF320" s="23">
        <x:f t="shared" si="258"/>
        <x:v>0</x:v>
      </x:c>
      <x:c r="CG320" s="23">
        <x:f t="shared" si="259"/>
        <x:v>0</x:v>
      </x:c>
      <x:c r="CH320" s="23">
        <x:f t="shared" si="260"/>
        <x:v>23.269480000000001</x:v>
      </x:c>
      <x:c r="CI320" s="23">
        <x:f t="shared" si="261"/>
        <x:v>0</x:v>
      </x:c>
      <x:c r="CJ320" s="24" t="s">
        <x:v>78</x:v>
      </x:c>
      <x:c r="CK320" s="25">
        <x:v>0</x:v>
      </x:c>
      <x:c r="CL320" s="26" t="s">
        <x:v>78</x:v>
      </x:c>
      <x:c r="CM320" s="26">
        <x:v>42</x:v>
      </x:c>
      <x:c r="CN320" s="27" t="s">
        <x:v>78</x:v>
      </x:c>
      <x:c r="CO320" s="27">
        <x:v>0</x:v>
      </x:c>
      <x:c r="CP320" s="27">
        <x:v>0</x:v>
      </x:c>
      <x:c r="CQ320" s="26">
        <x:f t="shared" si="262"/>
        <x:v>9.3077919999999992</x:v>
      </x:c>
      <x:c r="CR320" s="26">
        <x:f t="shared" si="263"/>
        <x:v>364.40005680000007</x:v>
      </x:c>
      <x:c r="CS320" s="26">
        <x:f t="shared" si="264"/>
        <x:v>605.00648000000001</x:v>
      </x:c>
      <x:c r="CT320" s="26">
        <x:f t="shared" si="285"/>
        <x:v>13.961688000000001</x:v>
      </x:c>
      <x:c r="CU320" s="26">
        <x:f t="shared" si="286"/>
        <x:v>13.961688000000001</x:v>
      </x:c>
      <x:c r="CV320" s="26">
        <x:f t="shared" si="287"/>
        <x:v>0</x:v>
      </x:c>
      <x:c r="CW320" s="26">
        <x:f t="shared" si="288"/>
        <x:v>0</x:v>
      </x:c>
      <x:c r="CX320" s="26">
        <x:f t="shared" si="265"/>
        <x:v>23.269480000000001</x:v>
      </x:c>
      <x:c r="CY320" s="26">
        <x:f t="shared" si="266"/>
        <x:v>0</x:v>
      </x:c>
    </x:row>
    <x:row r="321">
      <x:c r="A321" s="18">
        <x:v>2022</x:v>
      </x:c>
      <x:c r="B321" t="s">
        <x:v>676</x:v>
      </x:c>
      <x:c r="C321" t="s">
        <x:v>677</x:v>
      </x:c>
      <x:c r="D321" t="s">
        <x:v>678</x:v>
      </x:c>
      <x:c r="E321" s="18">
        <x:v>441781</x:v>
      </x:c>
      <x:c r="F321" t="s">
        <x:v>674</x:v>
      </x:c>
      <x:c r="G321" t="s">
        <x:v>665</x:v>
      </x:c>
      <x:c r="H321" s="18">
        <x:v>3130</x:v>
      </x:c>
      <x:c r="I321" t="s">
        <x:v>679</x:v>
      </x:c>
      <x:c r="J321" t="s">
        <x:v>78</x:v>
      </x:c>
      <x:c r="K321" t="s">
        <x:v>78</x:v>
      </x:c>
      <x:c r="L321" s="18">
        <x:v>15</x:v>
      </x:c>
      <x:c r="M321" t="s">
        <x:v>136</x:v>
      </x:c>
      <x:c r="N321" s="18">
        <x:v>480</x:v>
      </x:c>
      <x:c r="O321" t="s">
        <x:v>88</x:v>
      </x:c>
      <x:c r="P321" s="18">
        <x:v>12</x:v>
      </x:c>
      <x:c r="Q321" s="19" t="s">
        <x:v>215</x:v>
      </x:c>
      <x:c r="R321" s="18">
        <x:v>136101.65</x:v>
      </x:c>
      <x:c r="S321" t="s">
        <x:v>76</x:v>
      </x:c>
      <x:c r="T321" s="19">
        <x:f t="shared" si="301"/>
        <x:v>136101.65</x:v>
      </x:c>
      <x:c r="U321" s="20">
        <x:v>10</x:v>
      </x:c>
      <x:c r="V321" t="s">
        <x:v>77</x:v>
      </x:c>
      <x:c r="W321" s="20">
        <x:v>0</x:v>
      </x:c>
      <x:c r="X321" s="21">
        <x:f t="shared" si="309"/>
        <x:v>27.220330000000001</x:v>
      </x:c>
      <x:c r="Y321" s="21">
        <x:f t="shared" si="310"/>
        <x:v>1837.3722749999999</x:v>
      </x:c>
      <x:c r="Z321" s="21">
        <x:f t="shared" si="311"/>
        <x:v>1769.3214499999999</x:v>
      </x:c>
      <x:c r="AA321" s="21">
        <x:f t="shared" si="312"/>
        <x:v>40.830494999999992</x:v>
      </x:c>
      <x:c r="AB321" s="21">
        <x:f t="shared" si="313"/>
        <x:v>40.830494999999992</x:v>
      </x:c>
      <x:c r="AC321" s="21"/>
      <x:c r="AD321" s="21"/>
      <x:c r="AE321" s="21">
        <x:f t="shared" si="314"/>
        <x:v>68.050825000000003</x:v>
      </x:c>
      <x:c r="AF321" s="21"/>
      <x:c r="AG321" s="19" t="s">
        <x:v>78</x:v>
      </x:c>
      <x:c r="AH321" t="s">
        <x:v>78</x:v>
      </x:c>
      <x:c r="AI321" t="s">
        <x:v>78</x:v>
      </x:c>
      <x:c r="AJ321" s="19"/>
      <x:c r="AK321" s="19" t="s">
        <x:v>78</x:v>
      </x:c>
      <x:c r="AL321" t="s">
        <x:v>78</x:v>
      </x:c>
      <x:c r="AM321" s="19" t="s">
        <x:v>78</x:v>
      </x:c>
      <x:c r="AN321" s="21"/>
      <x:c r="AO321" s="21"/>
      <x:c r="AP321" s="21"/>
      <x:c r="AQ321" s="21"/>
      <x:c r="AR321" s="21"/>
      <x:c r="AS321" s="21"/>
      <x:c r="AT321" s="21"/>
      <x:c r="AU321" s="21"/>
      <x:c r="AV321" s="21"/>
      <x:c r="AW321" t="s">
        <x:v>78</x:v>
      </x:c>
      <x:c r="AX321" s="19"/>
      <x:c r="AY321" s="21"/>
      <x:c r="AZ321" s="21"/>
      <x:c r="BA321" s="21"/>
      <x:c r="BB321" s="21"/>
      <x:c r="BC321" s="21"/>
      <x:c r="BD321" s="21"/>
      <x:c r="BE321" s="21"/>
      <x:c r="BF321" s="21"/>
      <x:c r="BG321" s="21"/>
      <x:c r="BH321" t="s">
        <x:v>680</x:v>
      </x:c>
      <x:c r="BI321" s="18">
        <x:v>111</x:v>
      </x:c>
      <x:c r="BJ321" s="18">
        <x:v>38</x:v>
      </x:c>
      <x:c r="BK321" s="18">
        <x:v>30.84</x:v>
      </x:c>
      <x:c r="BL321" s="18">
        <x:v>22</x:v>
      </x:c>
      <x:c r="BM321" s="18">
        <x:v>5</x:v>
      </x:c>
      <x:c r="BN321" s="18">
        <x:v>5.21</x:v>
      </x:c>
      <x:c r="BO321" s="22">
        <x:v>111.64190000000001</x:v>
      </x:c>
      <x:c r="BP321" s="22">
        <x:v>22.0847805555556</x:v>
      </x:c>
      <x:c r="BQ321" s="18">
        <x:v>57</x:v>
      </x:c>
      <x:c r="BR321" s="18">
        <x:v>220173</x:v>
      </x:c>
      <x:c r="BS321" s="18">
        <x:v>222.71799999999999</x:v>
      </x:c>
      <x:c r="BT321" s="18">
        <x:v>12.711</x:v>
      </x:c>
      <x:c r="BU321" s="18">
        <x:v>34.018999999999998</x:v>
      </x:c>
      <x:c r="BV321" s="18">
        <x:v>40.514000000000003</x:v>
      </x:c>
      <x:c r="BW321" s="18">
        <x:v>6.2839999999999998</x:v>
      </x:c>
      <x:c r="BX321" s="18">
        <x:v>3.6480000000000001</x:v>
      </x:c>
      <x:c r="BY321" t="s">
        <x:v>78</x:v>
      </x:c>
      <x:c r="BZ321" t="s">
        <x:v>78</x:v>
      </x:c>
      <x:c r="CA321" s="23">
        <x:f t="shared" si="253"/>
        <x:v>27.220330000000001</x:v>
      </x:c>
      <x:c r="CB321" s="23">
        <x:f t="shared" si="254"/>
        <x:v>1837.3722749999999</x:v>
      </x:c>
      <x:c r="CC321" s="23">
        <x:f t="shared" si="255"/>
        <x:v>1769.3214499999999</x:v>
      </x:c>
      <x:c r="CD321" s="23">
        <x:f t="shared" si="256"/>
        <x:v>40.830494999999992</x:v>
      </x:c>
      <x:c r="CE321" s="23">
        <x:f t="shared" si="257"/>
        <x:v>40.830494999999992</x:v>
      </x:c>
      <x:c r="CF321" s="23">
        <x:f t="shared" si="258"/>
        <x:v>0</x:v>
      </x:c>
      <x:c r="CG321" s="23">
        <x:f t="shared" si="259"/>
        <x:v>0</x:v>
      </x:c>
      <x:c r="CH321" s="23">
        <x:f t="shared" si="260"/>
        <x:v>68.050825000000003</x:v>
      </x:c>
      <x:c r="CI321" s="23">
        <x:f t="shared" si="261"/>
        <x:v>0</x:v>
      </x:c>
      <x:c r="CJ321" s="24" t="s">
        <x:v>78</x:v>
      </x:c>
      <x:c r="CK321" s="25">
        <x:v>0</x:v>
      </x:c>
      <x:c r="CL321" s="26" t="s">
        <x:v>78</x:v>
      </x:c>
      <x:c r="CM321" s="26">
        <x:v>42</x:v>
      </x:c>
      <x:c r="CN321" s="27" t="s">
        <x:v>78</x:v>
      </x:c>
      <x:c r="CO321" s="27">
        <x:v>0</x:v>
      </x:c>
      <x:c r="CP321" s="27">
        <x:v>0</x:v>
      </x:c>
      <x:c r="CQ321" s="26">
        <x:f t="shared" si="262"/>
        <x:v>27.220330000000001</x:v>
      </x:c>
      <x:c r="CR321" s="26">
        <x:f t="shared" si="263"/>
        <x:v>1065.6759195000002</x:v>
      </x:c>
      <x:c r="CS321" s="26">
        <x:f t="shared" si="264"/>
        <x:v>1769.3214499999999</x:v>
      </x:c>
      <x:c r="CT321" s="26">
        <x:f t="shared" si="285"/>
        <x:v>40.830494999999992</x:v>
      </x:c>
      <x:c r="CU321" s="26">
        <x:f t="shared" si="286"/>
        <x:v>40.830494999999992</x:v>
      </x:c>
      <x:c r="CV321" s="26">
        <x:f t="shared" si="287"/>
        <x:v>0</x:v>
      </x:c>
      <x:c r="CW321" s="26">
        <x:f t="shared" si="288"/>
        <x:v>0</x:v>
      </x:c>
      <x:c r="CX321" s="26">
        <x:f t="shared" si="265"/>
        <x:v>68.050825000000003</x:v>
      </x:c>
      <x:c r="CY321" s="26">
        <x:f t="shared" si="266"/>
        <x:v>0</x:v>
      </x:c>
    </x:row>
    <x:row r="322">
      <x:c r="A322" s="18">
        <x:v>2022</x:v>
      </x:c>
      <x:c r="B322" t="s">
        <x:v>681</x:v>
      </x:c>
      <x:c r="C322" t="s">
        <x:v>682</x:v>
      </x:c>
      <x:c r="D322" t="s">
        <x:v>683</x:v>
      </x:c>
      <x:c r="E322" s="18">
        <x:v>441881</x:v>
      </x:c>
      <x:c r="F322" t="s">
        <x:v>684</x:v>
      </x:c>
      <x:c r="G322" t="s">
        <x:v>685</x:v>
      </x:c>
      <x:c r="H322" s="18">
        <x:v>3120</x:v>
      </x:c>
      <x:c r="I322" t="s">
        <x:v>213</x:v>
      </x:c>
      <x:c r="J322" t="s">
        <x:v>686</x:v>
      </x:c>
      <x:c r="K322" t="s">
        <x:v>687</x:v>
      </x:c>
      <x:c r="L322" s="18">
        <x:v>31.25</x:v>
      </x:c>
      <x:c r="M322" t="s">
        <x:v>136</x:v>
      </x:c>
      <x:c r="N322" s="18">
        <x:v>18</x:v>
      </x:c>
      <x:c r="O322" t="s">
        <x:v>74</x:v>
      </x:c>
      <x:c r="P322" s="18">
        <x:v>12</x:v>
      </x:c>
      <x:c r="Q322" s="19" t="s">
        <x:v>215</x:v>
      </x:c>
      <x:c r="R322" s="18">
        <x:v>15628.523999999999</x:v>
      </x:c>
      <x:c r="S322" t="s">
        <x:v>76</x:v>
      </x:c>
      <x:c r="T322" s="19">
        <x:f t="shared" si="301"/>
        <x:v>15628.523999999999</x:v>
      </x:c>
      <x:c r="U322" s="20">
        <x:v>1.03</x:v>
      </x:c>
      <x:c r="V322" t="s">
        <x:v>77</x:v>
      </x:c>
      <x:c r="W322" s="20">
        <x:v>0</x:v>
      </x:c>
      <x:c r="X322" s="21">
        <x:f t="shared" si="309"/>
        <x:v>0.32194759439999998</x:v>
      </x:c>
      <x:c r="Y322" s="21">
        <x:f t="shared" si="310"/>
        <x:v>210.98507400000003</x:v>
      </x:c>
      <x:c r="Z322" s="21">
        <x:f t="shared" si="311"/>
        <x:v>203.17081200000001</x:v>
      </x:c>
      <x:c r="AA322" s="21">
        <x:f t="shared" si="312"/>
        <x:v>4.6885571999999991</x:v>
      </x:c>
      <x:c r="AB322" s="21">
        <x:f t="shared" si="313"/>
        <x:v>4.6885571999999991</x:v>
      </x:c>
      <x:c r="AC322" s="21"/>
      <x:c r="AD322" s="21"/>
      <x:c r="AE322" s="21">
        <x:f t="shared" si="314"/>
        <x:v>7.8142620000000003</x:v>
      </x:c>
      <x:c r="AF322" s="21"/>
      <x:c r="AG322" s="19" t="s">
        <x:v>78</x:v>
      </x:c>
      <x:c r="AH322" t="s">
        <x:v>78</x:v>
      </x:c>
      <x:c r="AI322" t="s">
        <x:v>78</x:v>
      </x:c>
      <x:c r="AJ322" s="19"/>
      <x:c r="AK322" s="19" t="s">
        <x:v>78</x:v>
      </x:c>
      <x:c r="AL322" t="s">
        <x:v>78</x:v>
      </x:c>
      <x:c r="AM322" s="19" t="s">
        <x:v>78</x:v>
      </x:c>
      <x:c r="AN322" s="21"/>
      <x:c r="AO322" s="21"/>
      <x:c r="AP322" s="21"/>
      <x:c r="AQ322" s="21"/>
      <x:c r="AR322" s="21"/>
      <x:c r="AS322" s="21"/>
      <x:c r="AT322" s="21"/>
      <x:c r="AU322" s="21"/>
      <x:c r="AV322" s="21"/>
      <x:c r="AW322" t="s">
        <x:v>78</x:v>
      </x:c>
      <x:c r="AX322" s="19"/>
      <x:c r="AY322" s="21"/>
      <x:c r="AZ322" s="21"/>
      <x:c r="BA322" s="21"/>
      <x:c r="BB322" s="21"/>
      <x:c r="BC322" s="21"/>
      <x:c r="BD322" s="21"/>
      <x:c r="BE322" s="21"/>
      <x:c r="BF322" s="21"/>
      <x:c r="BG322" s="21"/>
      <x:c r="BH322" t="s">
        <x:v>688</x:v>
      </x:c>
      <x:c r="BI322" s="18">
        <x:v>113</x:v>
      </x:c>
      <x:c r="BJ322" s="18">
        <x:v>43</x:v>
      </x:c>
      <x:c r="BK322" s="18">
        <x:v>40</x:v>
      </x:c>
      <x:c r="BL322" s="18">
        <x:v>24</x:v>
      </x:c>
      <x:c r="BM322" s="18">
        <x:v>15</x:v>
      </x:c>
      <x:c r="BN322" s="18">
        <x:v>44</x:v>
      </x:c>
      <x:c r="BO322" s="22">
        <x:v>113.727777777778</x:v>
      </x:c>
      <x:c r="BP322" s="22">
        <x:v>24.262222222222199</x:v>
      </x:c>
      <x:c r="BQ322" s="18">
        <x:v>60</x:v>
      </x:c>
      <x:c r="BR322" s="18">
        <x:v>13066.12</x:v>
      </x:c>
      <x:c r="BS322" s="18">
        <x:v>0.17799999999999999</x:v>
      </x:c>
      <x:c r="BT322" s="18">
        <x:v>0.17799999999999999</x:v>
      </x:c>
      <x:c r="BU322" s="18">
        <x:v>32.924999999999997</x:v>
      </x:c>
      <x:c r="BV322" s="18">
        <x:v>32.924999999999997</x:v>
      </x:c>
      <x:c r="BW322" s="18">
        <x:v>8.9649999999999999</x:v>
      </x:c>
      <x:c r="BX322" s="18">
        <x:v>8.9649999999999999</x:v>
      </x:c>
      <x:c r="BY322" s="18">
        <x:v>0</x:v>
      </x:c>
      <x:c r="BZ322" s="18">
        <x:v>0</x:v>
      </x:c>
      <x:c r="CA322" s="23" t="n">
        <x:f t="shared" ref="CA322:CA385" si="315">X322+AN322+AY322</x:f>
        <x:v>0.3219475944</x:v>
      </x:c>
      <x:c r="CB322" s="23" t="n">
        <x:f t="shared" ref="CB322:CB385" si="316">Y322+AO322+AZ322</x:f>
        <x:v>210.98507400000003</x:v>
      </x:c>
      <x:c r="CC322" s="23" t="n">
        <x:f t="shared" ref="CC322:CC385" si="317">Z322+AP322+BA322</x:f>
        <x:v>203.170812</x:v>
      </x:c>
      <x:c r="CD322" s="23" t="n">
        <x:f t="shared" ref="CD322:CD385" si="318">AA322+AQ322+BB322</x:f>
        <x:v>4.688557199999999</x:v>
      </x:c>
      <x:c r="CE322" s="23" t="n">
        <x:f t="shared" ref="CE322:CE385" si="319">AB322+AR322+BC322</x:f>
        <x:v>4.688557199999999</x:v>
      </x:c>
      <x:c r="CF322" s="23" t="n">
        <x:f t="shared" ref="CF322:CF385" si="320">AC322+AS322+BD322</x:f>
        <x:v>0</x:v>
      </x:c>
      <x:c r="CG322" s="23" t="n">
        <x:f t="shared" ref="CG322:CG385" si="321">AD322+AT322+BE322</x:f>
        <x:v>0</x:v>
      </x:c>
      <x:c r="CH322" s="23" t="n">
        <x:f t="shared" ref="CH322:CH385" si="322">AE322+AU322+BF322</x:f>
        <x:v>7.814262</x:v>
      </x:c>
      <x:c r="CI322" s="23" t="n">
        <x:f t="shared" ref="CI322:CI385" si="323">AF322+AV322+BG322</x:f>
        <x:v>0</x:v>
      </x:c>
      <x:c r="CJ322" s="24" t="s">
        <x:v>78</x:v>
      </x:c>
      <x:c r="CK322" s="25">
        <x:v>0</x:v>
      </x:c>
      <x:c r="CL322" s="26" t="s">
        <x:v>78</x:v>
      </x:c>
      <x:c r="CM322" s="26" t="n">
        <x:f>(1-BV322/BU322)*100</x:f>
        <x:v>0</x:v>
      </x:c>
      <x:c r="CN322" s="27" t="s">
        <x:v>78</x:v>
      </x:c>
      <x:c r="CO322" s="27">
        <x:v>0</x:v>
      </x:c>
      <x:c r="CP322" s="27">
        <x:v>0</x:v>
      </x:c>
      <x:c r="CQ322" s="26" t="n">
        <x:f t="shared" ref="CQ322:CQ385" si="324">CA322*(1-CK322/100)</x:f>
        <x:v>0.3219475944</x:v>
      </x:c>
      <x:c r="CR322" s="26" t="n">
        <x:f t="shared" ref="CR322:CR385" si="325">CB322*(1-CM322/100)</x:f>
        <x:v>210.98507400000003</x:v>
      </x:c>
      <x:c r="CS322" s="26">
        <x:f t="shared" si="264"/>
        <x:v>203.17081200000001</x:v>
      </x:c>
      <x:c r="CT322" s="26">
        <x:f t="shared" si="285"/>
        <x:v>4.6885571999999991</x:v>
      </x:c>
      <x:c r="CU322" s="26">
        <x:f t="shared" si="286"/>
        <x:v>4.6885571999999991</x:v>
      </x:c>
      <x:c r="CV322" s="26">
        <x:f t="shared" si="287"/>
        <x:v>0</x:v>
      </x:c>
      <x:c r="CW322" s="26">
        <x:f t="shared" si="288"/>
        <x:v>0</x:v>
      </x:c>
      <x:c r="CX322" s="26">
        <x:f t="shared" si="265"/>
        <x:v>7.8142620000000003</x:v>
      </x:c>
      <x:c r="CY322" s="26">
        <x:f t="shared" si="266"/>
        <x:v>0</x:v>
      </x:c>
    </x:row>
    <x:row r="323" s="8" customFormat="1">
      <x:c r="A323" s="31">
        <x:v>2022</x:v>
      </x:c>
      <x:c r="B323" s="8" t="s">
        <x:v>689</x:v>
      </x:c>
      <x:c r="C323" s="8" t="s">
        <x:v>690</x:v>
      </x:c>
      <x:c r="D323" s="8" t="s">
        <x:v>691</x:v>
      </x:c>
      <x:c r="E323" s="31">
        <x:v>441881</x:v>
      </x:c>
      <x:c r="F323" s="8" t="s">
        <x:v>684</x:v>
      </x:c>
      <x:c r="G323" t="s">
        <x:v>685</x:v>
      </x:c>
      <x:c r="H323" s="31">
        <x:v>4412</x:v>
      </x:c>
      <x:c r="I323" s="8" t="s">
        <x:v>108</x:v>
      </x:c>
      <x:c r="J323" s="8" t="s">
        <x:v>692</x:v>
      </x:c>
      <x:c r="K323" s="8" t="s">
        <x:v>72</x:v>
      </x:c>
      <x:c r="L323" s="31">
        <x:v>50.16</x:v>
      </x:c>
      <x:c r="M323" s="8" t="s">
        <x:v>73</x:v>
      </x:c>
      <x:c r="N323" s="31">
        <x:v>430</x:v>
      </x:c>
      <x:c r="O323" s="8" t="s">
        <x:v>88</x:v>
      </x:c>
      <x:c r="P323" s="31">
        <x:v>15</x:v>
      </x:c>
      <x:c r="Q323" s="32" t="s">
        <x:v>96</x:v>
      </x:c>
      <x:c r="R323" s="31">
        <x:v>26680.447</x:v>
      </x:c>
      <x:c r="S323" s="8" t="s">
        <x:v>76</x:v>
      </x:c>
      <x:c r="T323" s="32" t="n">
        <x:f t="shared" ref="T323:T326" si="326">R323</x:f>
        <x:v>26680.447</x:v>
      </x:c>
      <x:c r="U323" s="19">
        <x:v>12.72</x:v>
      </x:c>
      <x:c r="V323" s="8" t="s">
        <x:v>77</x:v>
      </x:c>
      <x:c r="W323" s="32" t="s">
        <x:v>78</x:v>
      </x:c>
      <x:c r="X323" s="33">
        <x:f t="shared" si="309"/>
        <x:v>6.7875057168000001</x:v>
      </x:c>
      <x:c r="Y323" s="21" t="n">
        <x:f>4.1*T323*10000/1000000</x:f>
        <x:v>1093.8983269999997</x:v>
      </x:c>
      <x:c r="Z323" s="21">
        <x:f t="shared" si="311"/>
        <x:v>346.84581100000008</x:v>
      </x:c>
      <x:c r="AA323" s="21">
        <x:f t="shared" si="312"/>
        <x:v>8.0041340999999999</x:v>
      </x:c>
      <x:c r="AB323" s="21">
        <x:f t="shared" si="313"/>
        <x:v>8.0041340999999999</x:v>
      </x:c>
      <x:c r="AC323" s="33"/>
      <x:c r="AD323" s="33"/>
      <x:c r="AE323" s="21" t="n">
        <x:f>0.02*T323*10000/1000000</x:f>
        <x:v>5.3360894</x:v>
      </x:c>
      <x:c r="AF323" s="33"/>
      <x:c r="AG323" s="32" t="s">
        <x:v>78</x:v>
      </x:c>
      <x:c r="AH323" s="8" t="s">
        <x:v>78</x:v>
      </x:c>
      <x:c r="AI323" s="8" t="s">
        <x:v>78</x:v>
      </x:c>
      <x:c r="AJ323" s="32"/>
      <x:c r="AK323" s="32" t="s">
        <x:v>78</x:v>
      </x:c>
      <x:c r="AL323" s="8" t="s">
        <x:v>78</x:v>
      </x:c>
      <x:c r="AM323" s="32" t="s">
        <x:v>78</x:v>
      </x:c>
      <x:c r="AN323" s="33"/>
      <x:c r="AO323" s="33"/>
      <x:c r="AP323" s="33"/>
      <x:c r="AQ323" s="33"/>
      <x:c r="AR323" s="33"/>
      <x:c r="AS323" s="33"/>
      <x:c r="AT323" s="33"/>
      <x:c r="AU323" s="33"/>
      <x:c r="AV323" s="33"/>
      <x:c r="AW323" s="8" t="s">
        <x:v>78</x:v>
      </x:c>
      <x:c r="AX323" s="32"/>
      <x:c r="AY323" s="33"/>
      <x:c r="AZ323" s="33"/>
      <x:c r="BA323" s="33"/>
      <x:c r="BB323" s="33"/>
      <x:c r="BC323" s="33"/>
      <x:c r="BD323" s="33"/>
      <x:c r="BE323" s="33"/>
      <x:c r="BF323" s="33"/>
      <x:c r="BG323" s="33"/>
      <x:c r="BH323" s="8" t="s">
        <x:v>83</x:v>
      </x:c>
      <x:c r="BI323" s="31">
        <x:v>113</x:v>
      </x:c>
      <x:c r="BJ323" s="31">
        <x:v>23</x:v>
      </x:c>
      <x:c r="BK323" s="31">
        <x:v>53.27</x:v>
      </x:c>
      <x:c r="BL323" s="31">
        <x:v>24</x:v>
      </x:c>
      <x:c r="BM323" s="31">
        <x:v>19</x:v>
      </x:c>
      <x:c r="BN323" s="31">
        <x:v>26.8</x:v>
      </x:c>
      <x:c r="BO323" s="22">
        <x:v>113.39813055555599</x:v>
      </x:c>
      <x:c r="BP323" s="22">
        <x:v>24.324111111111101</x:v>
      </x:c>
      <x:c r="BQ323" s="31">
        <x:v>90</x:v>
      </x:c>
      <x:c r="BR323" s="31">
        <x:v>655004.96200000006</x:v>
      </x:c>
      <x:c r="BS323" s="8" t="s">
        <x:v>78</x:v>
      </x:c>
      <x:c r="BT323" s="8" t="s">
        <x:v>78</x:v>
      </x:c>
      <x:c r="BU323" s="8" t="s">
        <x:v>78</x:v>
      </x:c>
      <x:c r="BV323" s="8" t="s">
        <x:v>78</x:v>
      </x:c>
      <x:c r="BW323" s="8" t="s">
        <x:v>78</x:v>
      </x:c>
      <x:c r="BX323" s="8" t="s">
        <x:v>78</x:v>
      </x:c>
      <x:c r="BY323" s="31">
        <x:v>44823.150999999998</x:v>
      </x:c>
      <x:c r="BZ323" s="31">
        <x:v>44823.150999999998</x:v>
      </x:c>
      <x:c r="CA323" s="23">
        <x:f t="shared" si="315"/>
        <x:v>6.7875057168000001</x:v>
      </x:c>
      <x:c r="CB323" s="23">
        <x:f t="shared" si="316"/>
        <x:v>1093.8983269999997</x:v>
      </x:c>
      <x:c r="CC323" s="23">
        <x:f t="shared" si="317"/>
        <x:v>346.84581100000008</x:v>
      </x:c>
      <x:c r="CD323" s="23">
        <x:f t="shared" si="318"/>
        <x:v>8.0041340999999999</x:v>
      </x:c>
      <x:c r="CE323" s="23">
        <x:f t="shared" si="319"/>
        <x:v>8.0041340999999999</x:v>
      </x:c>
      <x:c r="CF323" s="23">
        <x:f t="shared" si="320"/>
        <x:v>0</x:v>
      </x:c>
      <x:c r="CG323" s="23">
        <x:f t="shared" si="321"/>
        <x:v>0</x:v>
      </x:c>
      <x:c r="CH323" s="23">
        <x:f t="shared" si="322"/>
        <x:v>5.3360893999999996</x:v>
      </x:c>
      <x:c r="CI323" s="23">
        <x:f t="shared" si="323"/>
        <x:v>0</x:v>
      </x:c>
      <x:c r="CJ323" s="25" t="s">
        <x:v>78</x:v>
      </x:c>
      <x:c r="CK323" s="25">
        <x:v>0</x:v>
      </x:c>
      <x:c r="CL323" s="34" t="s">
        <x:v>97</x:v>
      </x:c>
      <x:c r="CM323" s="28">
        <x:v>60</x:v>
      </x:c>
      <x:c r="CN323" s="35" t="s">
        <x:v>78</x:v>
      </x:c>
      <x:c r="CO323" s="27">
        <x:v>0</x:v>
      </x:c>
      <x:c r="CP323" s="27">
        <x:v>0</x:v>
      </x:c>
      <x:c r="CQ323" s="26">
        <x:f t="shared" si="324"/>
        <x:v>6.7875057168000001</x:v>
      </x:c>
      <x:c r="CR323" s="26">
        <x:f t="shared" si="325"/>
        <x:v>437.55933079999988</x:v>
      </x:c>
      <x:c r="CS323" s="26" t="n">
        <x:f t="shared" ref="CS323:CS386" si="327">CC323</x:f>
        <x:v>346.8458110000001</x:v>
      </x:c>
      <x:c r="CT323" s="26">
        <x:f t="shared" si="285"/>
        <x:v>8.0041340999999999</x:v>
      </x:c>
      <x:c r="CU323" s="26">
        <x:f t="shared" si="286"/>
        <x:v>8.0041340999999999</x:v>
      </x:c>
      <x:c r="CV323" s="26">
        <x:f t="shared" si="287"/>
        <x:v>0</x:v>
      </x:c>
      <x:c r="CW323" s="26">
        <x:f t="shared" si="288"/>
        <x:v>0</x:v>
      </x:c>
      <x:c r="CX323" s="26" t="n">
        <x:f t="shared" ref="CX323:CX386" si="328">CH323</x:f>
        <x:v>5.3360894</x:v>
      </x:c>
      <x:c r="CY323" s="26" t="n">
        <x:f t="shared" ref="CY323:CY386" si="329">CI323</x:f>
        <x:v>0</x:v>
      </x:c>
    </x:row>
    <x:row r="324" s="8" customFormat="1">
      <x:c r="A324" s="31">
        <x:v>2022</x:v>
      </x:c>
      <x:c r="B324" s="8" t="s">
        <x:v>689</x:v>
      </x:c>
      <x:c r="C324" s="8" t="s">
        <x:v>690</x:v>
      </x:c>
      <x:c r="D324" s="8" t="s">
        <x:v>691</x:v>
      </x:c>
      <x:c r="E324" s="31">
        <x:v>441881</x:v>
      </x:c>
      <x:c r="F324" s="8" t="s">
        <x:v>684</x:v>
      </x:c>
      <x:c r="G324" t="s">
        <x:v>685</x:v>
      </x:c>
      <x:c r="H324" s="31">
        <x:v>4412</x:v>
      </x:c>
      <x:c r="I324" s="8" t="s">
        <x:v>108</x:v>
      </x:c>
      <x:c r="J324" s="8" t="s">
        <x:v>692</x:v>
      </x:c>
      <x:c r="K324" s="8" t="s">
        <x:v>72</x:v>
      </x:c>
      <x:c r="L324" s="31">
        <x:v>50.16</x:v>
      </x:c>
      <x:c r="M324" s="8" t="s">
        <x:v>73</x:v>
      </x:c>
      <x:c r="N324" s="31">
        <x:v>430</x:v>
      </x:c>
      <x:c r="O324" s="8" t="s">
        <x:v>88</x:v>
      </x:c>
      <x:c r="P324" s="31">
        <x:v>15</x:v>
      </x:c>
      <x:c r="Q324" s="32" t="s">
        <x:v>96</x:v>
      </x:c>
      <x:c r="R324" s="31">
        <x:v>32995.807999999997</x:v>
      </x:c>
      <x:c r="S324" s="8" t="s">
        <x:v>76</x:v>
      </x:c>
      <x:c r="T324" s="32">
        <x:f t="shared" si="326"/>
        <x:v>32995.807999999997</x:v>
      </x:c>
      <x:c r="U324" s="19">
        <x:v>12.72</x:v>
      </x:c>
      <x:c r="V324" s="8" t="s">
        <x:v>77</x:v>
      </x:c>
      <x:c r="W324" s="32" t="s">
        <x:v>78</x:v>
      </x:c>
      <x:c r="X324" s="33">
        <x:f t="shared" si="309"/>
        <x:v>8.3941335551999998</x:v>
      </x:c>
      <x:c r="Y324" s="21" t="n">
        <x:f>4.1*T324*10000/1000000</x:f>
        <x:v>1352.8281279999997</x:v>
      </x:c>
      <x:c r="Z324" s="21">
        <x:f t="shared" si="311"/>
        <x:v>428.94550400000003</x:v>
      </x:c>
      <x:c r="AA324" s="21">
        <x:f t="shared" si="312"/>
        <x:v>9.8987423999999979</x:v>
      </x:c>
      <x:c r="AB324" s="21">
        <x:f t="shared" si="313"/>
        <x:v>9.8987423999999979</x:v>
      </x:c>
      <x:c r="AC324" s="33"/>
      <x:c r="AD324" s="33"/>
      <x:c r="AE324" s="21" t="n">
        <x:f>0.02*T324*10000/1000000</x:f>
        <x:v>6.5991615999999995</x:v>
      </x:c>
      <x:c r="AF324" s="33"/>
      <x:c r="AG324" s="32" t="s">
        <x:v>78</x:v>
      </x:c>
      <x:c r="AH324" s="8" t="s">
        <x:v>78</x:v>
      </x:c>
      <x:c r="AI324" s="8" t="s">
        <x:v>78</x:v>
      </x:c>
      <x:c r="AJ324" s="32"/>
      <x:c r="AK324" s="32" t="s">
        <x:v>78</x:v>
      </x:c>
      <x:c r="AL324" s="8" t="s">
        <x:v>78</x:v>
      </x:c>
      <x:c r="AM324" s="32" t="s">
        <x:v>78</x:v>
      </x:c>
      <x:c r="AN324" s="33"/>
      <x:c r="AO324" s="33"/>
      <x:c r="AP324" s="33"/>
      <x:c r="AQ324" s="33"/>
      <x:c r="AR324" s="33"/>
      <x:c r="AS324" s="33"/>
      <x:c r="AT324" s="33"/>
      <x:c r="AU324" s="33"/>
      <x:c r="AV324" s="33"/>
      <x:c r="AW324" s="8" t="s">
        <x:v>78</x:v>
      </x:c>
      <x:c r="AX324" s="32"/>
      <x:c r="AY324" s="33"/>
      <x:c r="AZ324" s="33"/>
      <x:c r="BA324" s="33"/>
      <x:c r="BB324" s="33"/>
      <x:c r="BC324" s="33"/>
      <x:c r="BD324" s="33"/>
      <x:c r="BE324" s="33"/>
      <x:c r="BF324" s="33"/>
      <x:c r="BG324" s="33"/>
      <x:c r="BH324" s="8" t="s">
        <x:v>89</x:v>
      </x:c>
      <x:c r="BI324" s="31">
        <x:v>113</x:v>
      </x:c>
      <x:c r="BJ324" s="31">
        <x:v>23</x:v>
      </x:c>
      <x:c r="BK324" s="31">
        <x:v>49.85</x:v>
      </x:c>
      <x:c r="BL324" s="31">
        <x:v>24</x:v>
      </x:c>
      <x:c r="BM324" s="31">
        <x:v>19</x:v>
      </x:c>
      <x:c r="BN324" s="31">
        <x:v>28.09</x:v>
      </x:c>
      <x:c r="BO324" s="22">
        <x:v>113.39718055555601</x:v>
      </x:c>
      <x:c r="BP324" s="22">
        <x:v>24.3244694444444</x:v>
      </x:c>
      <x:c r="BQ324" s="31">
        <x:v>90</x:v>
      </x:c>
      <x:c r="BR324" s="31">
        <x:v>810047.11100000003</x:v>
      </x:c>
      <x:c r="BS324" s="8" t="s">
        <x:v>78</x:v>
      </x:c>
      <x:c r="BT324" s="8" t="s">
        <x:v>78</x:v>
      </x:c>
      <x:c r="BU324" s="8" t="s">
        <x:v>78</x:v>
      </x:c>
      <x:c r="BV324" s="8" t="s">
        <x:v>78</x:v>
      </x:c>
      <x:c r="BW324" s="8" t="s">
        <x:v>78</x:v>
      </x:c>
      <x:c r="BX324" s="8" t="s">
        <x:v>78</x:v>
      </x:c>
      <x:c r="BY324" s="31">
        <x:v>55432.957000000002</x:v>
      </x:c>
      <x:c r="BZ324" s="31">
        <x:v>55432.957000000002</x:v>
      </x:c>
      <x:c r="CA324" s="23">
        <x:f t="shared" si="315"/>
        <x:v>8.3941335551999998</x:v>
      </x:c>
      <x:c r="CB324" s="23">
        <x:f t="shared" si="316"/>
        <x:v>1352.8281279999997</x:v>
      </x:c>
      <x:c r="CC324" s="23">
        <x:f t="shared" si="317"/>
        <x:v>428.94550400000003</x:v>
      </x:c>
      <x:c r="CD324" s="23">
        <x:f t="shared" si="318"/>
        <x:v>9.8987423999999979</x:v>
      </x:c>
      <x:c r="CE324" s="23">
        <x:f t="shared" si="319"/>
        <x:v>9.8987423999999979</x:v>
      </x:c>
      <x:c r="CF324" s="23">
        <x:f t="shared" si="320"/>
        <x:v>0</x:v>
      </x:c>
      <x:c r="CG324" s="23">
        <x:f t="shared" si="321"/>
        <x:v>0</x:v>
      </x:c>
      <x:c r="CH324" s="23">
        <x:f t="shared" si="322"/>
        <x:v>6.5991615999999995</x:v>
      </x:c>
      <x:c r="CI324" s="23">
        <x:f t="shared" si="323"/>
        <x:v>0</x:v>
      </x:c>
      <x:c r="CJ324" s="25" t="s">
        <x:v>78</x:v>
      </x:c>
      <x:c r="CK324" s="25">
        <x:v>0</x:v>
      </x:c>
      <x:c r="CL324" s="34" t="s">
        <x:v>97</x:v>
      </x:c>
      <x:c r="CM324" s="28">
        <x:v>60</x:v>
      </x:c>
      <x:c r="CN324" s="35" t="s">
        <x:v>78</x:v>
      </x:c>
      <x:c r="CO324" s="27">
        <x:v>0</x:v>
      </x:c>
      <x:c r="CP324" s="27">
        <x:v>0</x:v>
      </x:c>
      <x:c r="CQ324" s="26">
        <x:f t="shared" si="324"/>
        <x:v>8.3941335551999998</x:v>
      </x:c>
      <x:c r="CR324" s="26">
        <x:f t="shared" si="325"/>
        <x:v>541.13125119999984</x:v>
      </x:c>
      <x:c r="CS324" s="26">
        <x:f t="shared" si="327"/>
        <x:v>428.94550400000003</x:v>
      </x:c>
      <x:c r="CT324" s="26">
        <x:f t="shared" si="285"/>
        <x:v>9.8987423999999979</x:v>
      </x:c>
      <x:c r="CU324" s="26">
        <x:f t="shared" si="286"/>
        <x:v>9.8987423999999979</x:v>
      </x:c>
      <x:c r="CV324" s="26">
        <x:f t="shared" si="287"/>
        <x:v>0</x:v>
      </x:c>
      <x:c r="CW324" s="26">
        <x:f t="shared" si="288"/>
        <x:v>0</x:v>
      </x:c>
      <x:c r="CX324" s="26">
        <x:f t="shared" si="328"/>
        <x:v>6.5991615999999995</x:v>
      </x:c>
      <x:c r="CY324" s="26">
        <x:f t="shared" si="329"/>
        <x:v>0</x:v>
      </x:c>
    </x:row>
    <x:row r="325" s="8" customFormat="1">
      <x:c r="A325" s="31">
        <x:v>2022</x:v>
      </x:c>
      <x:c r="B325" s="8" t="s">
        <x:v>693</x:v>
      </x:c>
      <x:c r="C325" s="8" t="s">
        <x:v>694</x:v>
      </x:c>
      <x:c r="D325" s="8" t="s">
        <x:v>695</x:v>
      </x:c>
      <x:c r="E325" s="31">
        <x:v>441913</x:v>
      </x:c>
      <x:c r="F325" s="8" t="s">
        <x:v>696</x:v>
      </x:c>
      <x:c r="G325" s="8" t="s">
        <x:v>697</x:v>
      </x:c>
      <x:c r="H325" s="31">
        <x:v>4411</x:v>
      </x:c>
      <x:c r="I325" s="8" t="s">
        <x:v>102</x:v>
      </x:c>
      <x:c r="J325" s="8" t="s">
        <x:v>78</x:v>
      </x:c>
      <x:c r="K325" s="8" t="s">
        <x:v>80</x:v>
      </x:c>
      <x:c r="L325" s="31">
        <x:v>47</x:v>
      </x:c>
      <x:c r="M325" s="8" t="s">
        <x:v>78</x:v>
      </x:c>
      <x:c r="N325" s="31">
        <x:v>416</x:v>
      </x:c>
      <x:c r="O325" s="8" t="s">
        <x:v>88</x:v>
      </x:c>
      <x:c r="P325" s="31">
        <x:v>15</x:v>
      </x:c>
      <x:c r="Q325" s="32" t="s">
        <x:v>96</x:v>
      </x:c>
      <x:c r="R325" s="31">
        <x:v>32886.703000000001</x:v>
      </x:c>
      <x:c r="S325" s="8" t="s">
        <x:v>76</x:v>
      </x:c>
      <x:c r="T325" s="32">
        <x:f t="shared" si="326"/>
        <x:v>32886.703000000001</x:v>
      </x:c>
      <x:c r="U325" s="32">
        <x:v>3.83</x:v>
      </x:c>
      <x:c r="V325" s="8" t="s">
        <x:v>77</x:v>
      </x:c>
      <x:c r="W325" s="32" t="s">
        <x:v>78</x:v>
      </x:c>
      <x:c r="X325" s="33">
        <x:f t="shared" si="309"/>
        <x:v>2.5191214498000001</x:v>
      </x:c>
      <x:c r="Y325" s="21" t="n">
        <x:f>4.1*T325*10000/1000000</x:f>
        <x:v>1348.354823</x:v>
      </x:c>
      <x:c r="Z325" s="21">
        <x:f t="shared" si="311"/>
        <x:v>427.52713899999998</x:v>
      </x:c>
      <x:c r="AA325" s="21">
        <x:f t="shared" si="312"/>
        <x:v>9.8660109000000009</x:v>
      </x:c>
      <x:c r="AB325" s="21">
        <x:f t="shared" si="313"/>
        <x:v>9.8660109000000009</x:v>
      </x:c>
      <x:c r="AC325" s="33"/>
      <x:c r="AD325" s="33"/>
      <x:c r="AE325" s="21" t="n">
        <x:f>0.02*T325*10000/1000000</x:f>
        <x:v>6.577340599999999</x:v>
      </x:c>
      <x:c r="AF325" s="33"/>
      <x:c r="AG325" s="32" t="s">
        <x:v>78</x:v>
      </x:c>
      <x:c r="AH325" s="8" t="s">
        <x:v>78</x:v>
      </x:c>
      <x:c r="AI325" s="8" t="s">
        <x:v>78</x:v>
      </x:c>
      <x:c r="AJ325" s="32"/>
      <x:c r="AK325" s="32" t="s">
        <x:v>78</x:v>
      </x:c>
      <x:c r="AL325" s="8" t="s">
        <x:v>78</x:v>
      </x:c>
      <x:c r="AM325" s="32" t="s">
        <x:v>78</x:v>
      </x:c>
      <x:c r="AN325" s="33"/>
      <x:c r="AO325" s="33"/>
      <x:c r="AP325" s="33"/>
      <x:c r="AQ325" s="33"/>
      <x:c r="AR325" s="33"/>
      <x:c r="AS325" s="33"/>
      <x:c r="AT325" s="33"/>
      <x:c r="AU325" s="33"/>
      <x:c r="AV325" s="33"/>
      <x:c r="AW325" s="8" t="s">
        <x:v>78</x:v>
      </x:c>
      <x:c r="AX325" s="32"/>
      <x:c r="AY325" s="33"/>
      <x:c r="AZ325" s="33"/>
      <x:c r="BA325" s="33"/>
      <x:c r="BB325" s="33"/>
      <x:c r="BC325" s="33"/>
      <x:c r="BD325" s="33"/>
      <x:c r="BE325" s="33"/>
      <x:c r="BF325" s="33"/>
      <x:c r="BG325" s="33"/>
      <x:c r="BH325" s="8" t="s">
        <x:v>81</x:v>
      </x:c>
      <x:c r="BI325" s="31">
        <x:v>113</x:v>
      </x:c>
      <x:c r="BJ325" s="31">
        <x:v>49</x:v>
      </x:c>
      <x:c r="BK325" s="31">
        <x:v>40.4</x:v>
      </x:c>
      <x:c r="BL325" s="31">
        <x:v>22</x:v>
      </x:c>
      <x:c r="BM325" s="31">
        <x:v>58</x:v>
      </x:c>
      <x:c r="BN325" s="31">
        <x:v>33.53</x:v>
      </x:c>
      <x:c r="BO325" s="22">
        <x:v>113.82788888888901</x:v>
      </x:c>
      <x:c r="BP325" s="22">
        <x:v>22.975980555555601</x:v>
      </x:c>
      <x:c r="BQ325" s="31">
        <x:v>60</x:v>
      </x:c>
      <x:c r="BR325" s="31">
        <x:v>873546.44</x:v>
      </x:c>
      <x:c r="BS325" s="31">
        <x:v>1.3149999999999999</x:v>
      </x:c>
      <x:c r="BT325" s="31">
        <x:v>1.3149999999999999</x:v>
      </x:c>
      <x:c r="BU325" s="31">
        <x:v>417.661</x:v>
      </x:c>
      <x:c r="BV325" s="31">
        <x:v>146.18100000000001</x:v>
      </x:c>
      <x:c r="BW325" s="31">
        <x:v>34.168999999999997</x:v>
      </x:c>
      <x:c r="BX325" s="31">
        <x:v>34.168999999999997</x:v>
      </x:c>
      <x:c r="BY325" s="8" t="s">
        <x:v>78</x:v>
      </x:c>
      <x:c r="BZ325" s="8" t="s">
        <x:v>78</x:v>
      </x:c>
      <x:c r="CA325" s="23">
        <x:f t="shared" si="315"/>
        <x:v>2.5191214498000001</x:v>
      </x:c>
      <x:c r="CB325" s="23">
        <x:f t="shared" si="316"/>
        <x:v>1348.3548229999999</x:v>
      </x:c>
      <x:c r="CC325" s="23">
        <x:f t="shared" si="317"/>
        <x:v>427.52713899999998</x:v>
      </x:c>
      <x:c r="CD325" s="23">
        <x:f t="shared" si="318"/>
        <x:v>9.8660109000000009</x:v>
      </x:c>
      <x:c r="CE325" s="23">
        <x:f t="shared" si="319"/>
        <x:v>9.8660109000000009</x:v>
      </x:c>
      <x:c r="CF325" s="23">
        <x:f t="shared" si="320"/>
        <x:v>0</x:v>
      </x:c>
      <x:c r="CG325" s="23">
        <x:f t="shared" si="321"/>
        <x:v>0</x:v>
      </x:c>
      <x:c r="CH325" s="23">
        <x:f t="shared" si="322"/>
        <x:v>6.5773405999999994</x:v>
      </x:c>
      <x:c r="CI325" s="23">
        <x:f t="shared" si="323"/>
        <x:v>0</x:v>
      </x:c>
      <x:c r="CJ325" s="25" t="s">
        <x:v>381</x:v>
      </x:c>
      <x:c r="CK325" s="25">
        <x:v>90</x:v>
      </x:c>
      <x:c r="CL325" s="34" t="s">
        <x:v>123</x:v>
      </x:c>
      <x:c r="CM325" s="26">
        <x:v>65</x:v>
      </x:c>
      <x:c r="CN325" s="35" t="s">
        <x:v>203</x:v>
      </x:c>
      <x:c r="CO325" s="35">
        <x:v>99.4</x:v>
      </x:c>
      <x:c r="CP325" s="35">
        <x:v>98.3</x:v>
      </x:c>
      <x:c r="CQ325" s="26">
        <x:f t="shared" si="324"/>
        <x:v>0.25191214497999997</x:v>
      </x:c>
      <x:c r="CR325" s="26">
        <x:f t="shared" si="325"/>
        <x:v>471.92418804999994</x:v>
      </x:c>
      <x:c r="CS325" s="26">
        <x:f t="shared" si="327"/>
        <x:v>427.52713899999998</x:v>
      </x:c>
      <x:c r="CT325" s="26">
        <x:f t="shared" si="285"/>
        <x:v>5.9196065399998964E-2</x:v>
      </x:c>
      <x:c r="CU325" s="26">
        <x:f t="shared" si="286"/>
        <x:v>0.16772218530000016</x:v>
      </x:c>
      <x:c r="CV325" s="26">
        <x:f t="shared" si="287"/>
        <x:v>0</x:v>
      </x:c>
      <x:c r="CW325" s="26">
        <x:f t="shared" si="288"/>
        <x:v>0</x:v>
      </x:c>
      <x:c r="CX325" s="26">
        <x:f t="shared" si="328"/>
        <x:v>6.5773405999999994</x:v>
      </x:c>
      <x:c r="CY325" s="26">
        <x:f t="shared" si="329"/>
        <x:v>0</x:v>
      </x:c>
    </x:row>
    <x:row r="326" s="8" customFormat="1">
      <x:c r="A326" s="31">
        <x:v>2022</x:v>
      </x:c>
      <x:c r="B326" s="8" t="s">
        <x:v>693</x:v>
      </x:c>
      <x:c r="C326" s="8" t="s">
        <x:v>694</x:v>
      </x:c>
      <x:c r="D326" s="8" t="s">
        <x:v>695</x:v>
      </x:c>
      <x:c r="E326" s="31">
        <x:v>441913</x:v>
      </x:c>
      <x:c r="F326" s="8" t="s">
        <x:v>696</x:v>
      </x:c>
      <x:c r="G326" s="8" t="s">
        <x:v>697</x:v>
      </x:c>
      <x:c r="H326" s="31">
        <x:v>4411</x:v>
      </x:c>
      <x:c r="I326" s="8" t="s">
        <x:v>102</x:v>
      </x:c>
      <x:c r="J326" s="8" t="s">
        <x:v>78</x:v>
      </x:c>
      <x:c r="K326" s="8" t="s">
        <x:v>80</x:v>
      </x:c>
      <x:c r="L326" s="31">
        <x:v>47</x:v>
      </x:c>
      <x:c r="M326" s="8" t="s">
        <x:v>78</x:v>
      </x:c>
      <x:c r="N326" s="31">
        <x:v>416</x:v>
      </x:c>
      <x:c r="O326" s="8" t="s">
        <x:v>88</x:v>
      </x:c>
      <x:c r="P326" s="31">
        <x:v>15</x:v>
      </x:c>
      <x:c r="Q326" s="32" t="s">
        <x:v>96</x:v>
      </x:c>
      <x:c r="R326" s="31">
        <x:v>20029.327000000001</x:v>
      </x:c>
      <x:c r="S326" s="8" t="s">
        <x:v>76</x:v>
      </x:c>
      <x:c r="T326" s="32">
        <x:f t="shared" si="326"/>
        <x:v>20029.327000000001</x:v>
      </x:c>
      <x:c r="U326" s="32">
        <x:v>3.83</x:v>
      </x:c>
      <x:c r="V326" s="8" t="s">
        <x:v>77</x:v>
      </x:c>
      <x:c r="W326" s="32" t="s">
        <x:v>78</x:v>
      </x:c>
      <x:c r="X326" s="33">
        <x:f t="shared" si="309"/>
        <x:v>1.5342464482</x:v>
      </x:c>
      <x:c r="Y326" s="21" t="n">
        <x:f>4.1*T326*10000/1000000</x:f>
        <x:v>821.202407</x:v>
      </x:c>
      <x:c r="Z326" s="21">
        <x:f t="shared" si="311"/>
        <x:v>260.38125100000002</x:v>
      </x:c>
      <x:c r="AA326" s="21">
        <x:f t="shared" si="312"/>
        <x:v>6.0087981000000008</x:v>
      </x:c>
      <x:c r="AB326" s="21">
        <x:f t="shared" si="313"/>
        <x:v>6.0087981000000008</x:v>
      </x:c>
      <x:c r="AC326" s="33"/>
      <x:c r="AD326" s="33"/>
      <x:c r="AE326" s="21" t="n">
        <x:f>0.02*T326*10000/1000000</x:f>
        <x:v>4.0058654</x:v>
      </x:c>
      <x:c r="AF326" s="33"/>
      <x:c r="AG326" s="32" t="s">
        <x:v>78</x:v>
      </x:c>
      <x:c r="AH326" s="8" t="s">
        <x:v>78</x:v>
      </x:c>
      <x:c r="AI326" s="8" t="s">
        <x:v>78</x:v>
      </x:c>
      <x:c r="AJ326" s="32"/>
      <x:c r="AK326" s="32" t="s">
        <x:v>78</x:v>
      </x:c>
      <x:c r="AL326" s="8" t="s">
        <x:v>78</x:v>
      </x:c>
      <x:c r="AM326" s="32" t="s">
        <x:v>78</x:v>
      </x:c>
      <x:c r="AN326" s="33"/>
      <x:c r="AO326" s="33"/>
      <x:c r="AP326" s="33"/>
      <x:c r="AQ326" s="33"/>
      <x:c r="AR326" s="33"/>
      <x:c r="AS326" s="33"/>
      <x:c r="AT326" s="33"/>
      <x:c r="AU326" s="33"/>
      <x:c r="AV326" s="33"/>
      <x:c r="AW326" s="8" t="s">
        <x:v>78</x:v>
      </x:c>
      <x:c r="AX326" s="32"/>
      <x:c r="AY326" s="33"/>
      <x:c r="AZ326" s="33"/>
      <x:c r="BA326" s="33"/>
      <x:c r="BB326" s="33"/>
      <x:c r="BC326" s="33"/>
      <x:c r="BD326" s="33"/>
      <x:c r="BE326" s="33"/>
      <x:c r="BF326" s="33"/>
      <x:c r="BG326" s="33"/>
      <x:c r="BH326" s="8" t="s">
        <x:v>79</x:v>
      </x:c>
      <x:c r="BI326" s="31">
        <x:v>113</x:v>
      </x:c>
      <x:c r="BJ326" s="31">
        <x:v>49</x:v>
      </x:c>
      <x:c r="BK326" s="31">
        <x:v>42.12</x:v>
      </x:c>
      <x:c r="BL326" s="31">
        <x:v>22</x:v>
      </x:c>
      <x:c r="BM326" s="31">
        <x:v>58</x:v>
      </x:c>
      <x:c r="BN326" s="31">
        <x:v>34.1</x:v>
      </x:c>
      <x:c r="BO326" s="22">
        <x:v>113.82836666666699</x:v>
      </x:c>
      <x:c r="BP326" s="22">
        <x:v>22.976138888888901</x:v>
      </x:c>
      <x:c r="BQ326" s="31">
        <x:v>60</x:v>
      </x:c>
      <x:c r="BR326" s="31">
        <x:v>669083.32999999996</x:v>
      </x:c>
      <x:c r="BS326" s="31">
        <x:v>1.3149999999999999</x:v>
      </x:c>
      <x:c r="BT326" s="31">
        <x:v>1.3149999999999999</x:v>
      </x:c>
      <x:c r="BU326" s="31">
        <x:v>254.37200000000001</x:v>
      </x:c>
      <x:c r="BV326" s="31">
        <x:v>89.03</x:v>
      </x:c>
      <x:c r="BW326" s="31">
        <x:v>34.168999999999997</x:v>
      </x:c>
      <x:c r="BX326" s="31">
        <x:v>34.168999999999997</x:v>
      </x:c>
      <x:c r="BY326" s="8" t="s">
        <x:v>78</x:v>
      </x:c>
      <x:c r="BZ326" s="8" t="s">
        <x:v>78</x:v>
      </x:c>
      <x:c r="CA326" s="23">
        <x:f t="shared" si="315"/>
        <x:v>1.5342464482</x:v>
      </x:c>
      <x:c r="CB326" s="23">
        <x:f t="shared" si="316"/>
        <x:v>821.20240699999999</x:v>
      </x:c>
      <x:c r="CC326" s="23">
        <x:f t="shared" si="317"/>
        <x:v>260.38125100000002</x:v>
      </x:c>
      <x:c r="CD326" s="23">
        <x:f t="shared" si="318"/>
        <x:v>6.0087981000000008</x:v>
      </x:c>
      <x:c r="CE326" s="23">
        <x:f t="shared" si="319"/>
        <x:v>6.0087981000000008</x:v>
      </x:c>
      <x:c r="CF326" s="23">
        <x:f t="shared" si="320"/>
        <x:v>0</x:v>
      </x:c>
      <x:c r="CG326" s="23">
        <x:f t="shared" si="321"/>
        <x:v>0</x:v>
      </x:c>
      <x:c r="CH326" s="23">
        <x:f t="shared" si="322"/>
        <x:v>4.0058654000000002</x:v>
      </x:c>
      <x:c r="CI326" s="23">
        <x:f t="shared" si="323"/>
        <x:v>0</x:v>
      </x:c>
      <x:c r="CJ326" s="25" t="s">
        <x:v>381</x:v>
      </x:c>
      <x:c r="CK326" s="25">
        <x:v>90</x:v>
      </x:c>
      <x:c r="CL326" s="34" t="s">
        <x:v>123</x:v>
      </x:c>
      <x:c r="CM326" s="26">
        <x:v>65</x:v>
      </x:c>
      <x:c r="CN326" s="35" t="s">
        <x:v>203</x:v>
      </x:c>
      <x:c r="CO326" s="35">
        <x:v>99.4</x:v>
      </x:c>
      <x:c r="CP326" s="35">
        <x:v>98.3</x:v>
      </x:c>
      <x:c r="CQ326" s="26">
        <x:f t="shared" si="324"/>
        <x:v>0.15342464481999996</x:v>
      </x:c>
      <x:c r="CR326" s="26">
        <x:f t="shared" si="325"/>
        <x:v>287.42084244999995</x:v>
      </x:c>
      <x:c r="CS326" s="26">
        <x:f t="shared" si="327"/>
        <x:v>260.38125100000002</x:v>
      </x:c>
      <x:c r="CT326" s="26">
        <x:f t="shared" si="285"/>
        <x:v>3.6052788599999372E-2</x:v>
      </x:c>
      <x:c r="CU326" s="26">
        <x:f t="shared" si="286"/>
        <x:v>0.10214956770000011</x:v>
      </x:c>
      <x:c r="CV326" s="26">
        <x:f t="shared" si="287"/>
        <x:v>0</x:v>
      </x:c>
      <x:c r="CW326" s="26">
        <x:f t="shared" si="288"/>
        <x:v>0</x:v>
      </x:c>
      <x:c r="CX326" s="26">
        <x:f t="shared" si="328"/>
        <x:v>4.0058654000000002</x:v>
      </x:c>
      <x:c r="CY326" s="26">
        <x:f t="shared" si="329"/>
        <x:v>0</x:v>
      </x:c>
    </x:row>
    <x:row r="327">
      <x:c r="A327" s="18">
        <x:v>2022</x:v>
      </x:c>
      <x:c r="B327" t="s">
        <x:v>698</x:v>
      </x:c>
      <x:c r="C327" t="s">
        <x:v>699</x:v>
      </x:c>
      <x:c r="D327" t="s">
        <x:v>700</x:v>
      </x:c>
      <x:c r="E327" s="18">
        <x:v>441915</x:v>
      </x:c>
      <x:c r="F327" t="s">
        <x:v>701</x:v>
      </x:c>
      <x:c r="G327" s="8" t="s">
        <x:v>697</x:v>
      </x:c>
      <x:c r="H327" s="18">
        <x:v>2221</x:v>
      </x:c>
      <x:c r="I327" t="s">
        <x:v>158</x:v>
      </x:c>
      <x:c r="J327" t="s">
        <x:v>78</x:v>
      </x:c>
      <x:c r="K327" t="s">
        <x:v>109</x:v>
      </x:c>
      <x:c r="L327" s="20">
        <x:v>25</x:v>
      </x:c>
      <x:c r="M327" t="s">
        <x:v>125</x:v>
      </x:c>
      <x:c r="N327" s="18">
        <x:v>300</x:v>
      </x:c>
      <x:c r="O327" t="s">
        <x:v>88</x:v>
      </x:c>
      <x:c r="P327" s="18">
        <x:v>5</x:v>
      </x:c>
      <x:c r="Q327" s="19" t="s">
        <x:v>238</x:v>
      </x:c>
      <x:c r="R327" s="18">
        <x:v>180053.15</x:v>
      </x:c>
      <x:c r="S327" t="s">
        <x:v>112</x:v>
      </x:c>
      <x:c r="T327" s="19" t="n">
        <x:f t="shared" ref="T327:T341" si="330">R327</x:f>
        <x:v>180053.15</x:v>
      </x:c>
      <x:c r="U327" s="20">
        <x:v>0.26</x:v>
      </x:c>
      <x:c r="V327" t="s">
        <x:v>113</x:v>
      </x:c>
      <x:c r="W327" s="20">
        <x:v>6.24</x:v>
      </x:c>
      <x:c r="X327" s="21" t="n">
        <x:f>2*U327/100*(1-0.15)*T327</x:f>
        <x:v>795.8349229999999</x:v>
      </x:c>
      <x:c r="Y327" s="21" t="n">
        <x:f>8.19*T327/1000</x:f>
        <x:v>1474.6352984999999</x:v>
      </x:c>
      <x:c r="Z327" s="21" t="n">
        <x:f>2*T327/1000</x:f>
        <x:v>360.1063</x:v>
      </x:c>
      <x:c r="AA327" s="21" t="n">
        <x:f>W327/100*(1-0.44)*0.29*T327</x:f>
        <x:v>1824.615409344</x:v>
      </x:c>
      <x:c r="AB327" s="21" t="n">
        <x:f>W327/100*(1-0.44)*0.07*T327</x:f>
        <x:v>440.424409152</x:v>
      </x:c>
      <x:c r="AC327" s="21" t="n">
        <x:f t="shared" ref="AC327:AC329" si="331">0.002*AB327</x:f>
        <x:v>0.8808488183040001</x:v>
      </x:c>
      <x:c r="AD327" s="21"/>
      <x:c r="AE327" s="21" t="n">
        <x:f>0.04*T327/1000</x:f>
        <x:v>7.202126</x:v>
      </x:c>
      <x:c r="AF327" s="21"/>
      <x:c r="AG327" s="19" t="s">
        <x:v>78</x:v>
      </x:c>
      <x:c r="AH327" t="s">
        <x:v>78</x:v>
      </x:c>
      <x:c r="AI327" t="s">
        <x:v>78</x:v>
      </x:c>
      <x:c r="AJ327" s="19"/>
      <x:c r="AK327" s="19" t="s">
        <x:v>78</x:v>
      </x:c>
      <x:c r="AL327" t="s">
        <x:v>78</x:v>
      </x:c>
      <x:c r="AM327" s="19" t="s">
        <x:v>78</x:v>
      </x:c>
      <x:c r="AN327" s="21"/>
      <x:c r="AO327" s="21"/>
      <x:c r="AP327" s="21"/>
      <x:c r="AQ327" s="21"/>
      <x:c r="AR327" s="21"/>
      <x:c r="AS327" s="21"/>
      <x:c r="AT327" s="21"/>
      <x:c r="AU327" s="21"/>
      <x:c r="AV327" s="21"/>
      <x:c r="AW327" t="s">
        <x:v>78</x:v>
      </x:c>
      <x:c r="AX327" s="19"/>
      <x:c r="AY327" s="21"/>
      <x:c r="AZ327" s="21"/>
      <x:c r="BA327" s="21"/>
      <x:c r="BB327" s="21"/>
      <x:c r="BC327" s="21"/>
      <x:c r="BD327" s="21"/>
      <x:c r="BE327" s="21"/>
      <x:c r="BF327" s="21"/>
      <x:c r="BG327" s="21"/>
      <x:c r="BH327" t="s">
        <x:v>81</x:v>
      </x:c>
      <x:c r="BI327" s="18">
        <x:v>113</x:v>
      </x:c>
      <x:c r="BJ327" s="18">
        <x:v>40</x:v>
      </x:c>
      <x:c r="BK327" s="18">
        <x:v>58.01</x:v>
      </x:c>
      <x:c r="BL327" s="18">
        <x:v>23</x:v>
      </x:c>
      <x:c r="BM327" s="18">
        <x:v>3</x:v>
      </x:c>
      <x:c r="BN327" s="18">
        <x:v>20.77</x:v>
      </x:c>
      <x:c r="BO327" s="22">
        <x:v>113.68278055555599</x:v>
      </x:c>
      <x:c r="BP327" s="22">
        <x:v>23.055769444444401</x:v>
      </x:c>
      <x:c r="BQ327" s="18">
        <x:v>83</x:v>
      </x:c>
      <x:c r="BR327" s="18">
        <x:v>302534.59000000003</x:v>
      </x:c>
      <x:c r="BS327" s="18">
        <x:v>425.32400000000001</x:v>
      </x:c>
      <x:c r="BT327" s="18">
        <x:v>5.2510000000000003</x:v>
      </x:c>
      <x:c r="BU327" s="18">
        <x:v>393.81900000000002</x:v>
      </x:c>
      <x:c r="BV327" s="18">
        <x:v>174.155</x:v>
      </x:c>
      <x:c r="BW327" s="18">
        <x:v>56047.38</x:v>
      </x:c>
      <x:c r="BX327" s="18">
        <x:v>10.677</x:v>
      </x:c>
      <x:c r="BY327" s="18">
        <x:v>1456.63</x:v>
      </x:c>
      <x:c r="BZ327" s="18">
        <x:v>1456.63</x:v>
      </x:c>
      <x:c r="CA327" s="23">
        <x:f t="shared" si="315"/>
        <x:v>795.83492299999989</x:v>
      </x:c>
      <x:c r="CB327" s="23">
        <x:f t="shared" si="316"/>
        <x:v>1474.6352984999999</x:v>
      </x:c>
      <x:c r="CC327" s="23">
        <x:f t="shared" si="317"/>
        <x:v>360.10629999999998</x:v>
      </x:c>
      <x:c r="CD327" s="23">
        <x:f t="shared" si="318"/>
        <x:v>1824.615409344</x:v>
      </x:c>
      <x:c r="CE327" s="23">
        <x:f t="shared" si="319"/>
        <x:v>440.42440915200001</x:v>
      </x:c>
      <x:c r="CF327" s="23">
        <x:f t="shared" si="320"/>
        <x:v>0.88084881830400008</x:v>
      </x:c>
      <x:c r="CG327" s="23">
        <x:f t="shared" si="321"/>
        <x:v>0</x:v>
      </x:c>
      <x:c r="CH327" s="23">
        <x:f t="shared" si="322"/>
        <x:v>7.2021259999999998</x:v>
      </x:c>
      <x:c r="CI327" s="23">
        <x:f t="shared" si="323"/>
        <x:v>0</x:v>
      </x:c>
      <x:c r="CJ327" s="24" t="s">
        <x:v>180</x:v>
      </x:c>
      <x:c r="CK327" s="29">
        <x:v>90</x:v>
      </x:c>
      <x:c r="CL327" s="26" t="s">
        <x:v>97</x:v>
      </x:c>
      <x:c r="CM327" s="28">
        <x:v>70</x:v>
      </x:c>
      <x:c r="CN327" s="30" t="s">
        <x:v>168</x:v>
      </x:c>
      <x:c r="CO327" s="27">
        <x:v>99.4</x:v>
      </x:c>
      <x:c r="CP327" s="27">
        <x:v>98.3</x:v>
      </x:c>
      <x:c r="CQ327" s="26">
        <x:f t="shared" si="324"/>
        <x:v>79.583492299999975</x:v>
      </x:c>
      <x:c r="CR327" s="26">
        <x:f t="shared" si="325"/>
        <x:v>442.39058955000002</x:v>
      </x:c>
      <x:c r="CS327" s="26">
        <x:f t="shared" si="327"/>
        <x:v>360.10629999999998</x:v>
      </x:c>
      <x:c r="CT327" s="26">
        <x:f t="shared" si="285"/>
        <x:v>10.947692456063807</x:v>
      </x:c>
      <x:c r="CU327" s="26">
        <x:f t="shared" si="286"/>
        <x:v>7.4872149555840064</x:v>
      </x:c>
      <x:c r="CV327" s="26">
        <x:f t="shared" si="287"/>
        <x:v>1.4974429911168015E-2</x:v>
      </x:c>
      <x:c r="CW327" s="26">
        <x:f t="shared" si="288"/>
        <x:v>0</x:v>
      </x:c>
      <x:c r="CX327" s="26">
        <x:f t="shared" si="328"/>
        <x:v>7.2021259999999998</x:v>
      </x:c>
      <x:c r="CY327" s="26">
        <x:f t="shared" si="329"/>
        <x:v>0</x:v>
      </x:c>
    </x:row>
    <x:row r="328">
      <x:c r="A328" s="18">
        <x:v>2022</x:v>
      </x:c>
      <x:c r="B328" t="s">
        <x:v>702</x:v>
      </x:c>
      <x:c r="C328" t="s">
        <x:v>703</x:v>
      </x:c>
      <x:c r="D328" t="s">
        <x:v>704</x:v>
      </x:c>
      <x:c r="E328" s="18">
        <x:v>441915</x:v>
      </x:c>
      <x:c r="F328" t="s">
        <x:v>701</x:v>
      </x:c>
      <x:c r="G328" s="8" t="s">
        <x:v>697</x:v>
      </x:c>
      <x:c r="H328" s="18">
        <x:v>2221</x:v>
      </x:c>
      <x:c r="I328" t="s">
        <x:v>158</x:v>
      </x:c>
      <x:c r="J328" t="s">
        <x:v>78</x:v>
      </x:c>
      <x:c r="K328" t="s">
        <x:v>109</x:v>
      </x:c>
      <x:c r="L328" s="20">
        <x:v>0.3</x:v>
      </x:c>
      <x:c r="M328" t="s">
        <x:v>125</x:v>
      </x:c>
      <x:c r="N328" s="18">
        <x:v>25</x:v>
      </x:c>
      <x:c r="O328" t="s">
        <x:v>88</x:v>
      </x:c>
      <x:c r="P328" s="18">
        <x:v>4</x:v>
      </x:c>
      <x:c r="Q328" s="19" t="s">
        <x:v>111</x:v>
      </x:c>
      <x:c r="R328" s="18">
        <x:v>15820</x:v>
      </x:c>
      <x:c r="S328" t="s">
        <x:v>112</x:v>
      </x:c>
      <x:c r="T328" s="19">
        <x:f t="shared" si="330"/>
        <x:v>15820</x:v>
      </x:c>
      <x:c r="U328" s="20">
        <x:v>0.21</x:v>
      </x:c>
      <x:c r="V328" t="s">
        <x:v>113</x:v>
      </x:c>
      <x:c r="W328" s="20">
        <x:v>6.8</x:v>
      </x:c>
      <x:c r="X328" s="21" t="n">
        <x:f>2*U328/100*(1-0.15)*T328</x:f>
        <x:v>56.477399999999996</x:v>
      </x:c>
      <x:c r="Y328" s="21" t="n">
        <x:f>8.96*T328/1000</x:f>
        <x:v>141.74720000000002</x:v>
      </x:c>
      <x:c r="Z328" s="21" t="n">
        <x:f>2*T328/1000</x:f>
        <x:v>31.64</x:v>
      </x:c>
      <x:c r="AA328" s="21" t="n">
        <x:f>W328/100*(1-0.44)*0.29*T328</x:f>
        <x:v>174.703424</x:v>
      </x:c>
      <x:c r="AB328" s="21" t="n">
        <x:f>W328/100*(1-0.44)*0.07*T328</x:f>
        <x:v>42.169792000000015</x:v>
      </x:c>
      <x:c r="AC328" s="21">
        <x:f t="shared" si="331"/>
        <x:v>8.4339584000000037E-2</x:v>
      </x:c>
      <x:c r="AD328" s="21"/>
      <x:c r="AE328" s="21" t="n">
        <x:f>0.04*T328/1000</x:f>
        <x:v>0.6328</x:v>
      </x:c>
      <x:c r="AF328" s="21"/>
      <x:c r="AG328" s="19" t="s">
        <x:v>78</x:v>
      </x:c>
      <x:c r="AH328" t="s">
        <x:v>78</x:v>
      </x:c>
      <x:c r="AI328" t="s">
        <x:v>78</x:v>
      </x:c>
      <x:c r="AJ328" s="19"/>
      <x:c r="AK328" s="19" t="s">
        <x:v>78</x:v>
      </x:c>
      <x:c r="AL328" t="s">
        <x:v>78</x:v>
      </x:c>
      <x:c r="AM328" s="19" t="s">
        <x:v>78</x:v>
      </x:c>
      <x:c r="AN328" s="21"/>
      <x:c r="AO328" s="21"/>
      <x:c r="AP328" s="21"/>
      <x:c r="AQ328" s="21"/>
      <x:c r="AR328" s="21"/>
      <x:c r="AS328" s="21"/>
      <x:c r="AT328" s="21"/>
      <x:c r="AU328" s="21"/>
      <x:c r="AV328" s="21"/>
      <x:c r="AW328" t="s">
        <x:v>78</x:v>
      </x:c>
      <x:c r="AX328" s="19"/>
      <x:c r="AY328" s="21"/>
      <x:c r="AZ328" s="21"/>
      <x:c r="BA328" s="21"/>
      <x:c r="BB328" s="21"/>
      <x:c r="BC328" s="21"/>
      <x:c r="BD328" s="21"/>
      <x:c r="BE328" s="21"/>
      <x:c r="BF328" s="21"/>
      <x:c r="BG328" s="21"/>
      <x:c r="BH328" t="s">
        <x:v>705</x:v>
      </x:c>
      <x:c r="BI328" s="18">
        <x:v>113</x:v>
      </x:c>
      <x:c r="BJ328" s="18">
        <x:v>40</x:v>
      </x:c>
      <x:c r="BK328" s="18">
        <x:v>53</x:v>
      </x:c>
      <x:c r="BL328" s="18">
        <x:v>23</x:v>
      </x:c>
      <x:c r="BM328" s="18">
        <x:v>2</x:v>
      </x:c>
      <x:c r="BN328" s="18">
        <x:v>57</x:v>
      </x:c>
      <x:c r="BO328" s="22">
        <x:v>113.681388888889</x:v>
      </x:c>
      <x:c r="BP328" s="22">
        <x:v>23.0491666666667</x:v>
      </x:c>
      <x:c r="BQ328" s="18">
        <x:v>46</x:v>
      </x:c>
      <x:c r="BR328" s="18">
        <x:v>20131.55</x:v>
      </x:c>
      <x:c r="BS328" s="18">
        <x:v>15.12</x:v>
      </x:c>
      <x:c r="BT328" s="18">
        <x:v>2.8769999999999998</x:v>
      </x:c>
      <x:c r="BU328" s="18">
        <x:v>103.25</x:v>
      </x:c>
      <x:c r="BV328" s="18">
        <x:v>20.65</x:v>
      </x:c>
      <x:c r="BW328" s="18">
        <x:v>82.8</x:v>
      </x:c>
      <x:c r="BX328" s="18">
        <x:v>0.254</x:v>
      </x:c>
      <x:c r="BY328" s="18">
        <x:v>452.452</x:v>
      </x:c>
      <x:c r="BZ328" s="18">
        <x:v>452.452</x:v>
      </x:c>
      <x:c r="CA328" s="23">
        <x:f t="shared" si="315"/>
        <x:v>56.477399999999996</x:v>
      </x:c>
      <x:c r="CB328" s="23">
        <x:f t="shared" si="316"/>
        <x:v>141.74720000000002</x:v>
      </x:c>
      <x:c r="CC328" s="23">
        <x:f t="shared" si="317"/>
        <x:v>31.64</x:v>
      </x:c>
      <x:c r="CD328" s="23">
        <x:f t="shared" si="318"/>
        <x:v>174.70342400000001</x:v>
      </x:c>
      <x:c r="CE328" s="23">
        <x:f t="shared" si="319"/>
        <x:v>42.169792000000015</x:v>
      </x:c>
      <x:c r="CF328" s="23">
        <x:f t="shared" si="320"/>
        <x:v>8.4339584000000037E-2</x:v>
      </x:c>
      <x:c r="CG328" s="23">
        <x:f t="shared" si="321"/>
        <x:v>0</x:v>
      </x:c>
      <x:c r="CH328" s="23">
        <x:f t="shared" si="322"/>
        <x:v>0.63280000000000003</x:v>
      </x:c>
      <x:c r="CI328" s="23">
        <x:f t="shared" si="323"/>
        <x:v>0</x:v>
      </x:c>
      <x:c r="CJ328" s="24" t="s">
        <x:v>624</x:v>
      </x:c>
      <x:c r="CK328" s="25">
        <x:v>90</x:v>
      </x:c>
      <x:c r="CL328" s="26" t="s">
        <x:v>127</x:v>
      </x:c>
      <x:c r="CM328" s="26">
        <x:v>80</x:v>
      </x:c>
      <x:c r="CN328" s="27" t="s">
        <x:v>233</x:v>
      </x:c>
      <x:c r="CO328" s="27">
        <x:v>99.4</x:v>
      </x:c>
      <x:c r="CP328" s="27">
        <x:v>98.3</x:v>
      </x:c>
      <x:c r="CQ328" s="26">
        <x:f t="shared" si="324"/>
        <x:v>5.647739999999998</x:v>
      </x:c>
      <x:c r="CR328" s="26">
        <x:f t="shared" si="325"/>
        <x:v>28.349439999999998</x:v>
      </x:c>
      <x:c r="CS328" s="26">
        <x:f t="shared" si="327"/>
        <x:v>31.64</x:v>
      </x:c>
      <x:c r="CT328" s="26">
        <x:f t="shared" si="285"/>
        <x:v>1.0482205439999817</x:v>
      </x:c>
      <x:c r="CU328" s="26">
        <x:f t="shared" si="286"/>
        <x:v>0.71688646400000089</x:v>
      </x:c>
      <x:c r="CV328" s="26">
        <x:f t="shared" si="287"/>
        <x:v>1.433772928000002E-3</x:v>
      </x:c>
      <x:c r="CW328" s="26">
        <x:f t="shared" si="288"/>
        <x:v>0</x:v>
      </x:c>
      <x:c r="CX328" s="26">
        <x:f t="shared" si="328"/>
        <x:v>0.63280000000000003</x:v>
      </x:c>
      <x:c r="CY328" s="26">
        <x:f t="shared" si="329"/>
        <x:v>0</x:v>
      </x:c>
    </x:row>
    <x:row r="329">
      <x:c r="A329" s="18">
        <x:v>2022</x:v>
      </x:c>
      <x:c r="B329" t="s">
        <x:v>702</x:v>
      </x:c>
      <x:c r="C329" t="s">
        <x:v>703</x:v>
      </x:c>
      <x:c r="D329" t="s">
        <x:v>704</x:v>
      </x:c>
      <x:c r="E329" s="18">
        <x:v>441915</x:v>
      </x:c>
      <x:c r="F329" t="s">
        <x:v>701</x:v>
      </x:c>
      <x:c r="G329" s="8" t="s">
        <x:v>697</x:v>
      </x:c>
      <x:c r="H329" s="18">
        <x:v>2221</x:v>
      </x:c>
      <x:c r="I329" t="s">
        <x:v>158</x:v>
      </x:c>
      <x:c r="J329" t="s">
        <x:v>78</x:v>
      </x:c>
      <x:c r="K329" t="s">
        <x:v>109</x:v>
      </x:c>
      <x:c r="L329" s="20">
        <x:v>0.3</x:v>
      </x:c>
      <x:c r="M329" t="s">
        <x:v>125</x:v>
      </x:c>
      <x:c r="N329" s="18">
        <x:v>35</x:v>
      </x:c>
      <x:c r="O329" t="s">
        <x:v>88</x:v>
      </x:c>
      <x:c r="P329" s="18">
        <x:v>4</x:v>
      </x:c>
      <x:c r="Q329" s="19" t="s">
        <x:v>111</x:v>
      </x:c>
      <x:c r="R329" s="18">
        <x:v>15820</x:v>
      </x:c>
      <x:c r="S329" t="s">
        <x:v>112</x:v>
      </x:c>
      <x:c r="T329" s="19">
        <x:f t="shared" si="330"/>
        <x:v>15820</x:v>
      </x:c>
      <x:c r="U329" s="20">
        <x:v>0.21</x:v>
      </x:c>
      <x:c r="V329" t="s">
        <x:v>113</x:v>
      </x:c>
      <x:c r="W329" s="20">
        <x:v>6.7</x:v>
      </x:c>
      <x:c r="X329" s="21" t="n">
        <x:f>2*U329/100*(1-0.15)*T329</x:f>
        <x:v>56.477399999999996</x:v>
      </x:c>
      <x:c r="Y329" s="21" t="n">
        <x:f>8.96*T329/1000</x:f>
        <x:v>141.74720000000002</x:v>
      </x:c>
      <x:c r="Z329" s="21" t="n">
        <x:f>2*T329/1000</x:f>
        <x:v>31.64</x:v>
      </x:c>
      <x:c r="AA329" s="21" t="n">
        <x:f>W329/100*(1-0.44)*0.29*T329</x:f>
        <x:v>172.13425600000002</x:v>
      </x:c>
      <x:c r="AB329" s="21" t="n">
        <x:f>W329/100*(1-0.44)*0.07*T329</x:f>
        <x:v>41.549648000000005</x:v>
      </x:c>
      <x:c r="AC329" s="21">
        <x:f t="shared" si="331"/>
        <x:v>8.3099296000000017E-2</x:v>
      </x:c>
      <x:c r="AD329" s="21"/>
      <x:c r="AE329" s="21" t="n">
        <x:f>0.04*T329/1000</x:f>
        <x:v>0.6328</x:v>
      </x:c>
      <x:c r="AF329" s="21"/>
      <x:c r="AG329" s="19" t="s">
        <x:v>78</x:v>
      </x:c>
      <x:c r="AH329" t="s">
        <x:v>78</x:v>
      </x:c>
      <x:c r="AI329" t="s">
        <x:v>78</x:v>
      </x:c>
      <x:c r="AJ329" s="19"/>
      <x:c r="AK329" s="19" t="s">
        <x:v>78</x:v>
      </x:c>
      <x:c r="AL329" t="s">
        <x:v>78</x:v>
      </x:c>
      <x:c r="AM329" s="19" t="s">
        <x:v>78</x:v>
      </x:c>
      <x:c r="AN329" s="21"/>
      <x:c r="AO329" s="21"/>
      <x:c r="AP329" s="21"/>
      <x:c r="AQ329" s="21"/>
      <x:c r="AR329" s="21"/>
      <x:c r="AS329" s="21"/>
      <x:c r="AT329" s="21"/>
      <x:c r="AU329" s="21"/>
      <x:c r="AV329" s="21"/>
      <x:c r="AW329" t="s">
        <x:v>78</x:v>
      </x:c>
      <x:c r="AX329" s="19"/>
      <x:c r="AY329" s="21"/>
      <x:c r="AZ329" s="21"/>
      <x:c r="BA329" s="21"/>
      <x:c r="BB329" s="21"/>
      <x:c r="BC329" s="21"/>
      <x:c r="BD329" s="21"/>
      <x:c r="BE329" s="21"/>
      <x:c r="BF329" s="21"/>
      <x:c r="BG329" s="21"/>
      <x:c r="BH329" t="s">
        <x:v>705</x:v>
      </x:c>
      <x:c r="BI329" s="18">
        <x:v>113</x:v>
      </x:c>
      <x:c r="BJ329" s="18">
        <x:v>40</x:v>
      </x:c>
      <x:c r="BK329" s="18">
        <x:v>53</x:v>
      </x:c>
      <x:c r="BL329" s="18">
        <x:v>23</x:v>
      </x:c>
      <x:c r="BM329" s="18">
        <x:v>2</x:v>
      </x:c>
      <x:c r="BN329" s="18">
        <x:v>57</x:v>
      </x:c>
      <x:c r="BO329" s="22">
        <x:v>113.681388888889</x:v>
      </x:c>
      <x:c r="BP329" s="22">
        <x:v>23.0491666666667</x:v>
      </x:c>
      <x:c r="BQ329" s="18">
        <x:v>46</x:v>
      </x:c>
      <x:c r="BR329" s="18">
        <x:v>20131.55</x:v>
      </x:c>
      <x:c r="BS329" s="18">
        <x:v>6.0750000000000002</x:v>
      </x:c>
      <x:c r="BT329" s="18">
        <x:v>1.7210000000000001</x:v>
      </x:c>
      <x:c r="BU329" s="18">
        <x:v>194.44499999999999</x:v>
      </x:c>
      <x:c r="BV329" s="18">
        <x:v>38.889000000000003</x:v>
      </x:c>
      <x:c r="BW329" s="18">
        <x:v>737.5</x:v>
      </x:c>
      <x:c r="BX329" s="18">
        <x:v>10.768000000000001</x:v>
      </x:c>
      <x:c r="BY329" s="18">
        <x:v>452.452</x:v>
      </x:c>
      <x:c r="BZ329" s="18">
        <x:v>452.452</x:v>
      </x:c>
      <x:c r="CA329" s="23">
        <x:f t="shared" si="315"/>
        <x:v>56.477399999999996</x:v>
      </x:c>
      <x:c r="CB329" s="23">
        <x:f t="shared" si="316"/>
        <x:v>141.74720000000002</x:v>
      </x:c>
      <x:c r="CC329" s="23">
        <x:f t="shared" si="317"/>
        <x:v>31.64</x:v>
      </x:c>
      <x:c r="CD329" s="23">
        <x:f t="shared" si="318"/>
        <x:v>172.13425600000002</x:v>
      </x:c>
      <x:c r="CE329" s="23">
        <x:f t="shared" si="319"/>
        <x:v>41.549648000000005</x:v>
      </x:c>
      <x:c r="CF329" s="23">
        <x:f t="shared" si="320"/>
        <x:v>8.3099296000000017E-2</x:v>
      </x:c>
      <x:c r="CG329" s="23">
        <x:f t="shared" si="321"/>
        <x:v>0</x:v>
      </x:c>
      <x:c r="CH329" s="23">
        <x:f t="shared" si="322"/>
        <x:v>0.63280000000000003</x:v>
      </x:c>
      <x:c r="CI329" s="23">
        <x:f t="shared" si="323"/>
        <x:v>0</x:v>
      </x:c>
      <x:c r="CJ329" s="24" t="s">
        <x:v>624</x:v>
      </x:c>
      <x:c r="CK329" s="25">
        <x:v>90</x:v>
      </x:c>
      <x:c r="CL329" s="26" t="s">
        <x:v>127</x:v>
      </x:c>
      <x:c r="CM329" s="26">
        <x:v>80</x:v>
      </x:c>
      <x:c r="CN329" s="27" t="s">
        <x:v>233</x:v>
      </x:c>
      <x:c r="CO329" s="27">
        <x:v>99.4</x:v>
      </x:c>
      <x:c r="CP329" s="27">
        <x:v>98.3</x:v>
      </x:c>
      <x:c r="CQ329" s="26">
        <x:f t="shared" si="324"/>
        <x:v>5.647739999999998</x:v>
      </x:c>
      <x:c r="CR329" s="26">
        <x:f t="shared" si="325"/>
        <x:v>28.349439999999998</x:v>
      </x:c>
      <x:c r="CS329" s="26">
        <x:f t="shared" si="327"/>
        <x:v>31.64</x:v>
      </x:c>
      <x:c r="CT329" s="26">
        <x:f t="shared" si="285"/>
        <x:v>1.0328055359999819</x:v>
      </x:c>
      <x:c r="CU329" s="26">
        <x:f t="shared" si="286"/>
        <x:v>0.70634401600000074</x:v>
      </x:c>
      <x:c r="CV329" s="26">
        <x:f t="shared" si="287"/>
        <x:v>1.4126880320000014E-3</x:v>
      </x:c>
      <x:c r="CW329" s="26">
        <x:f t="shared" si="288"/>
        <x:v>0</x:v>
      </x:c>
      <x:c r="CX329" s="26">
        <x:f t="shared" si="328"/>
        <x:v>0.63280000000000003</x:v>
      </x:c>
      <x:c r="CY329" s="26">
        <x:f t="shared" si="329"/>
        <x:v>0</x:v>
      </x:c>
    </x:row>
    <x:row r="330" s="8" customFormat="1">
      <x:c r="A330" s="31">
        <x:v>2022</x:v>
      </x:c>
      <x:c r="B330" s="8" t="s">
        <x:v>706</x:v>
      </x:c>
      <x:c r="C330" s="8" t="s">
        <x:v>707</x:v>
      </x:c>
      <x:c r="D330" s="8" t="s">
        <x:v>708</x:v>
      </x:c>
      <x:c r="E330" s="31">
        <x:v>441931</x:v>
      </x:c>
      <x:c r="F330" s="8" t="s">
        <x:v>709</x:v>
      </x:c>
      <x:c r="G330" s="8" t="s">
        <x:v>697</x:v>
      </x:c>
      <x:c r="H330" s="31">
        <x:v>4411</x:v>
      </x:c>
      <x:c r="I330" s="8" t="s">
        <x:v>102</x:v>
      </x:c>
      <x:c r="J330" s="8" t="s">
        <x:v>78</x:v>
      </x:c>
      <x:c r="K330" s="8" t="s">
        <x:v>80</x:v>
      </x:c>
      <x:c r="L330" s="31">
        <x:v>7.0000000000000001E-3</x:v>
      </x:c>
      <x:c r="M330" s="8" t="s">
        <x:v>78</x:v>
      </x:c>
      <x:c r="N330" s="31">
        <x:v>45</x:v>
      </x:c>
      <x:c r="O330" s="8" t="s">
        <x:v>88</x:v>
      </x:c>
      <x:c r="P330" s="31">
        <x:v>15</x:v>
      </x:c>
      <x:c r="Q330" s="32" t="s">
        <x:v>96</x:v>
      </x:c>
      <x:c r="R330" s="31">
        <x:v>2.4</x:v>
      </x:c>
      <x:c r="S330" s="8" t="s">
        <x:v>76</x:v>
      </x:c>
      <x:c r="T330" s="32">
        <x:f t="shared" si="330"/>
        <x:v>2.4</x:v>
      </x:c>
      <x:c r="U330" s="36">
        <x:v>0.65200000000000002</x:v>
      </x:c>
      <x:c r="V330" s="8" t="s">
        <x:v>77</x:v>
      </x:c>
      <x:c r="W330" s="32" t="s">
        <x:v>78</x:v>
      </x:c>
      <x:c r="X330" s="33" t="n">
        <x:f t="shared" ref="X330:X337" si="332">2*U330*T330*10000/1000000000</x:f>
        <x:v>0.000031296</x:v>
      </x:c>
      <x:c r="Y330" s="21" t="n">
        <x:f t="shared" ref="Y330:Y337" si="333">4.1*T330*10000/1000000</x:f>
        <x:v>0.09839999999999999</x:v>
      </x:c>
      <x:c r="Z330" s="21" t="n">
        <x:f t="shared" ref="Z330:Z337" si="334">1.3*T330*10000/1000000</x:f>
        <x:v>0.0312</x:v>
      </x:c>
      <x:c r="AA330" s="21" t="n">
        <x:f t="shared" ref="AA330:AA337" si="335">0.03*T330*10000/1000000</x:f>
        <x:v>0.00072</x:v>
      </x:c>
      <x:c r="AB330" s="21" t="n">
        <x:f t="shared" ref="AB330:AB337" si="336">0.03*T330*10000/1000000</x:f>
        <x:v>0.00072</x:v>
      </x:c>
      <x:c r="AC330" s="33"/>
      <x:c r="AD330" s="33"/>
      <x:c r="AE330" s="21" t="n">
        <x:f t="shared" ref="AE330:AE337" si="337">0.02*T330*10000/1000000</x:f>
        <x:v>0.00048</x:v>
      </x:c>
      <x:c r="AF330" s="33"/>
      <x:c r="AG330" s="32" t="s">
        <x:v>78</x:v>
      </x:c>
      <x:c r="AH330" s="8" t="s">
        <x:v>78</x:v>
      </x:c>
      <x:c r="AI330" s="8" t="s">
        <x:v>78</x:v>
      </x:c>
      <x:c r="AJ330" s="32"/>
      <x:c r="AK330" s="32" t="s">
        <x:v>78</x:v>
      </x:c>
      <x:c r="AL330" s="8" t="s">
        <x:v>78</x:v>
      </x:c>
      <x:c r="AM330" s="32" t="s">
        <x:v>78</x:v>
      </x:c>
      <x:c r="AN330" s="33"/>
      <x:c r="AO330" s="33"/>
      <x:c r="AP330" s="33"/>
      <x:c r="AQ330" s="33"/>
      <x:c r="AR330" s="33"/>
      <x:c r="AS330" s="33"/>
      <x:c r="AT330" s="33"/>
      <x:c r="AU330" s="33"/>
      <x:c r="AV330" s="33"/>
      <x:c r="AW330" s="8" t="s">
        <x:v>78</x:v>
      </x:c>
      <x:c r="AX330" s="32"/>
      <x:c r="AY330" s="33"/>
      <x:c r="AZ330" s="33"/>
      <x:c r="BA330" s="33"/>
      <x:c r="BB330" s="33"/>
      <x:c r="BC330" s="33"/>
      <x:c r="BD330" s="33"/>
      <x:c r="BE330" s="33"/>
      <x:c r="BF330" s="33"/>
      <x:c r="BG330" s="33"/>
      <x:c r="BH330" s="8" t="s">
        <x:v>81</x:v>
      </x:c>
      <x:c r="BI330" s="31">
        <x:v>113</x:v>
      </x:c>
      <x:c r="BJ330" s="31">
        <x:v>53</x:v>
      </x:c>
      <x:c r="BK330" s="31">
        <x:v>33.11</x:v>
      </x:c>
      <x:c r="BL330" s="31">
        <x:v>22</x:v>
      </x:c>
      <x:c r="BM330" s="31">
        <x:v>58</x:v>
      </x:c>
      <x:c r="BN330" s="31">
        <x:v>16.18</x:v>
      </x:c>
      <x:c r="BO330" s="22">
        <x:v>113.89253055555599</x:v>
      </x:c>
      <x:c r="BP330" s="22">
        <x:v>22.971161111111101</x:v>
      </x:c>
      <x:c r="BQ330" s="31">
        <x:v>15</x:v>
      </x:c>
      <x:c r="BR330" s="8" t="s">
        <x:v>78</x:v>
      </x:c>
      <x:c r="BS330" s="31">
        <x:v>2E-3</x:v>
      </x:c>
      <x:c r="BT330" s="31">
        <x:v>2E-3</x:v>
      </x:c>
      <x:c r="BU330" s="31">
        <x:v>0.03</x:v>
      </x:c>
      <x:c r="BV330" s="31">
        <x:v>0.03</x:v>
      </x:c>
      <x:c r="BW330" s="31">
        <x:v>2E-3</x:v>
      </x:c>
      <x:c r="BX330" s="31">
        <x:v>2E-3</x:v>
      </x:c>
      <x:c r="BY330" s="8" t="s">
        <x:v>78</x:v>
      </x:c>
      <x:c r="BZ330" s="8" t="s">
        <x:v>78</x:v>
      </x:c>
      <x:c r="CA330" s="23">
        <x:f t="shared" si="315"/>
        <x:v>3.1296E-5</x:v>
      </x:c>
      <x:c r="CB330" s="23">
        <x:f t="shared" si="316"/>
        <x:v>9.8399999999999987E-2</x:v>
      </x:c>
      <x:c r="CC330" s="23">
        <x:f t="shared" si="317"/>
        <x:v>3.1199999999999999E-2</x:v>
      </x:c>
      <x:c r="CD330" s="23">
        <x:f t="shared" si="318"/>
        <x:v>7.2000000000000005E-4</x:v>
      </x:c>
      <x:c r="CE330" s="23">
        <x:f t="shared" si="319"/>
        <x:v>7.2000000000000005E-4</x:v>
      </x:c>
      <x:c r="CF330" s="23">
        <x:f t="shared" si="320"/>
        <x:v>0</x:v>
      </x:c>
      <x:c r="CG330" s="23">
        <x:f t="shared" si="321"/>
        <x:v>0</x:v>
      </x:c>
      <x:c r="CH330" s="23">
        <x:f t="shared" si="322"/>
        <x:v>4.8000000000000001E-4</x:v>
      </x:c>
      <x:c r="CI330" s="23">
        <x:f t="shared" si="323"/>
        <x:v>0</x:v>
      </x:c>
      <x:c r="CJ330" s="25" t="s">
        <x:v>78</x:v>
      </x:c>
      <x:c r="CK330" s="25">
        <x:v>0</x:v>
      </x:c>
      <x:c r="CL330" s="34" t="s">
        <x:v>78</x:v>
      </x:c>
      <x:c r="CM330" s="26">
        <x:v>42</x:v>
      </x:c>
      <x:c r="CN330" s="35" t="s">
        <x:v>78</x:v>
      </x:c>
      <x:c r="CO330" s="27">
        <x:v>0</x:v>
      </x:c>
      <x:c r="CP330" s="27">
        <x:v>0</x:v>
      </x:c>
      <x:c r="CQ330" s="26">
        <x:f t="shared" si="324"/>
        <x:v>3.1296E-5</x:v>
      </x:c>
      <x:c r="CR330" s="26">
        <x:f t="shared" si="325"/>
        <x:v>5.7071999999999998E-2</x:v>
      </x:c>
      <x:c r="CS330" s="26">
        <x:f t="shared" si="327"/>
        <x:v>3.1199999999999999E-2</x:v>
      </x:c>
      <x:c r="CT330" s="26">
        <x:f t="shared" si="285"/>
        <x:v>7.2000000000000005E-4</x:v>
      </x:c>
      <x:c r="CU330" s="26">
        <x:f t="shared" si="286"/>
        <x:v>7.2000000000000005E-4</x:v>
      </x:c>
      <x:c r="CV330" s="26">
        <x:f t="shared" si="287"/>
        <x:v>0</x:v>
      </x:c>
      <x:c r="CW330" s="26">
        <x:f t="shared" si="288"/>
        <x:v>0</x:v>
      </x:c>
      <x:c r="CX330" s="26">
        <x:f t="shared" si="328"/>
        <x:v>4.8000000000000001E-4</x:v>
      </x:c>
      <x:c r="CY330" s="26">
        <x:f t="shared" si="329"/>
        <x:v>0</x:v>
      </x:c>
    </x:row>
    <x:row r="331" s="8" customFormat="1">
      <x:c r="A331" s="31">
        <x:v>2022</x:v>
      </x:c>
      <x:c r="B331" s="8" t="s">
        <x:v>710</x:v>
      </x:c>
      <x:c r="C331" s="8" t="s">
        <x:v>711</x:v>
      </x:c>
      <x:c r="D331" s="8" t="s">
        <x:v>712</x:v>
      </x:c>
      <x:c r="E331" s="31">
        <x:v>441958</x:v>
      </x:c>
      <x:c r="F331" s="8" t="s">
        <x:v>713</x:v>
      </x:c>
      <x:c r="G331" s="8" t="s">
        <x:v>697</x:v>
      </x:c>
      <x:c r="H331" s="31">
        <x:v>4412</x:v>
      </x:c>
      <x:c r="I331" s="8" t="s">
        <x:v>108</x:v>
      </x:c>
      <x:c r="J331" s="8" t="s">
        <x:v>78</x:v>
      </x:c>
      <x:c r="K331" s="8" t="s">
        <x:v>72</x:v>
      </x:c>
      <x:c r="L331" s="31">
        <x:v>47.252000000000002</x:v>
      </x:c>
      <x:c r="M331" s="8" t="s">
        <x:v>73</x:v>
      </x:c>
      <x:c r="N331" s="31">
        <x:v>414</x:v>
      </x:c>
      <x:c r="O331" s="8" t="s">
        <x:v>88</x:v>
      </x:c>
      <x:c r="P331" s="31">
        <x:v>15</x:v>
      </x:c>
      <x:c r="Q331" s="32" t="s">
        <x:v>96</x:v>
      </x:c>
      <x:c r="R331" s="31">
        <x:v>33622</x:v>
      </x:c>
      <x:c r="S331" s="8" t="s">
        <x:v>76</x:v>
      </x:c>
      <x:c r="T331" s="32">
        <x:f t="shared" si="330"/>
        <x:v>33622</x:v>
      </x:c>
      <x:c r="U331" s="36">
        <x:v>20</x:v>
      </x:c>
      <x:c r="V331" s="8" t="s">
        <x:v>77</x:v>
      </x:c>
      <x:c r="W331" s="32" t="s">
        <x:v>78</x:v>
      </x:c>
      <x:c r="X331" s="33">
        <x:f t="shared" si="332"/>
        <x:v>13.4488</x:v>
      </x:c>
      <x:c r="Y331" s="21">
        <x:f t="shared" si="333"/>
        <x:v>1378.5019999999997</x:v>
      </x:c>
      <x:c r="Z331" s="21">
        <x:f t="shared" si="334"/>
        <x:v>437.08600000000001</x:v>
      </x:c>
      <x:c r="AA331" s="21">
        <x:f t="shared" si="335"/>
        <x:v>10.086600000000001</x:v>
      </x:c>
      <x:c r="AB331" s="21">
        <x:f t="shared" si="336"/>
        <x:v>10.086600000000001</x:v>
      </x:c>
      <x:c r="AC331" s="33"/>
      <x:c r="AD331" s="33"/>
      <x:c r="AE331" s="21">
        <x:f t="shared" si="337"/>
        <x:v>6.724400000000001</x:v>
      </x:c>
      <x:c r="AF331" s="33"/>
      <x:c r="AG331" s="32" t="s">
        <x:v>78</x:v>
      </x:c>
      <x:c r="AH331" s="8" t="s">
        <x:v>78</x:v>
      </x:c>
      <x:c r="AI331" s="8" t="s">
        <x:v>78</x:v>
      </x:c>
      <x:c r="AJ331" s="32"/>
      <x:c r="AK331" s="32" t="s">
        <x:v>78</x:v>
      </x:c>
      <x:c r="AL331" s="8" t="s">
        <x:v>78</x:v>
      </x:c>
      <x:c r="AM331" s="32" t="s">
        <x:v>78</x:v>
      </x:c>
      <x:c r="AN331" s="33"/>
      <x:c r="AO331" s="33"/>
      <x:c r="AP331" s="33"/>
      <x:c r="AQ331" s="33"/>
      <x:c r="AR331" s="33"/>
      <x:c r="AS331" s="33"/>
      <x:c r="AT331" s="33"/>
      <x:c r="AU331" s="33"/>
      <x:c r="AV331" s="33"/>
      <x:c r="AW331" s="8" t="s">
        <x:v>78</x:v>
      </x:c>
      <x:c r="AX331" s="32"/>
      <x:c r="AY331" s="33"/>
      <x:c r="AZ331" s="33"/>
      <x:c r="BA331" s="33"/>
      <x:c r="BB331" s="33"/>
      <x:c r="BC331" s="33"/>
      <x:c r="BD331" s="33"/>
      <x:c r="BE331" s="33"/>
      <x:c r="BF331" s="33"/>
      <x:c r="BG331" s="33"/>
      <x:c r="BH331" s="8" t="s">
        <x:v>81</x:v>
      </x:c>
      <x:c r="BI331" s="31">
        <x:v>114</x:v>
      </x:c>
      <x:c r="BJ331" s="31">
        <x:v>6</x:v>
      </x:c>
      <x:c r="BK331" s="31">
        <x:v>10.26</x:v>
      </x:c>
      <x:c r="BL331" s="31">
        <x:v>22</x:v>
      </x:c>
      <x:c r="BM331" s="31">
        <x:v>58</x:v>
      </x:c>
      <x:c r="BN331" s="31">
        <x:v>57.72</x:v>
      </x:c>
      <x:c r="BO331" s="22">
        <x:v>114.10285</x:v>
      </x:c>
      <x:c r="BP331" s="22">
        <x:v>22.982700000000001</x:v>
      </x:c>
      <x:c r="BQ331" s="31">
        <x:v>60</x:v>
      </x:c>
      <x:c r="BR331" s="31">
        <x:v>785721</x:v>
      </x:c>
      <x:c r="BS331" s="31">
        <x:v>1.0349999999999999</x:v>
      </x:c>
      <x:c r="BT331" s="31">
        <x:v>1.0349999999999999</x:v>
      </x:c>
      <x:c r="BU331" s="31">
        <x:v>317.30700000000002</x:v>
      </x:c>
      <x:c r="BV331" s="31">
        <x:v>143.047</x:v>
      </x:c>
      <x:c r="BW331" s="31">
        <x:v>10.221</x:v>
      </x:c>
      <x:c r="BX331" s="31">
        <x:v>10.221</x:v>
      </x:c>
      <x:c r="BY331" s="31">
        <x:v>56484.959999999999</x:v>
      </x:c>
      <x:c r="BZ331" s="31">
        <x:v>56484.959999999999</x:v>
      </x:c>
      <x:c r="CA331" s="23">
        <x:f t="shared" si="315"/>
        <x:v>13.4488</x:v>
      </x:c>
      <x:c r="CB331" s="23">
        <x:f t="shared" si="316"/>
        <x:v>1378.5019999999997</x:v>
      </x:c>
      <x:c r="CC331" s="23">
        <x:f t="shared" si="317"/>
        <x:v>437.08600000000001</x:v>
      </x:c>
      <x:c r="CD331" s="23">
        <x:f t="shared" si="318"/>
        <x:v>10.086600000000001</x:v>
      </x:c>
      <x:c r="CE331" s="23">
        <x:f t="shared" si="319"/>
        <x:v>10.086600000000001</x:v>
      </x:c>
      <x:c r="CF331" s="23">
        <x:f t="shared" si="320"/>
        <x:v>0</x:v>
      </x:c>
      <x:c r="CG331" s="23">
        <x:f t="shared" si="321"/>
        <x:v>0</x:v>
      </x:c>
      <x:c r="CH331" s="23">
        <x:f t="shared" si="322"/>
        <x:v>6.724400000000001</x:v>
      </x:c>
      <x:c r="CI331" s="23">
        <x:f t="shared" si="323"/>
        <x:v>0</x:v>
      </x:c>
      <x:c r="CJ331" s="25" t="s">
        <x:v>78</x:v>
      </x:c>
      <x:c r="CK331" s="25">
        <x:v>0</x:v>
      </x:c>
      <x:c r="CL331" s="34" t="s">
        <x:v>97</x:v>
      </x:c>
      <x:c r="CM331" s="28">
        <x:v>60</x:v>
      </x:c>
      <x:c r="CN331" s="35" t="s">
        <x:v>78</x:v>
      </x:c>
      <x:c r="CO331" s="27">
        <x:v>0</x:v>
      </x:c>
      <x:c r="CP331" s="27">
        <x:v>0</x:v>
      </x:c>
      <x:c r="CQ331" s="26">
        <x:f t="shared" si="324"/>
        <x:v>13.4488</x:v>
      </x:c>
      <x:c r="CR331" s="26">
        <x:f t="shared" si="325"/>
        <x:v>551.40079999999989</x:v>
      </x:c>
      <x:c r="CS331" s="26">
        <x:f t="shared" si="327"/>
        <x:v>437.08600000000001</x:v>
      </x:c>
      <x:c r="CT331" s="26">
        <x:f t="shared" si="285"/>
        <x:v>10.086600000000001</x:v>
      </x:c>
      <x:c r="CU331" s="26">
        <x:f t="shared" si="286"/>
        <x:v>10.086600000000001</x:v>
      </x:c>
      <x:c r="CV331" s="26">
        <x:f t="shared" si="287"/>
        <x:v>0</x:v>
      </x:c>
      <x:c r="CW331" s="26">
        <x:f t="shared" si="288"/>
        <x:v>0</x:v>
      </x:c>
      <x:c r="CX331" s="26">
        <x:f t="shared" si="328"/>
        <x:v>6.724400000000001</x:v>
      </x:c>
      <x:c r="CY331" s="26">
        <x:f t="shared" si="329"/>
        <x:v>0</x:v>
      </x:c>
    </x:row>
    <x:row r="332" s="8" customFormat="1">
      <x:c r="A332" s="31">
        <x:v>2022</x:v>
      </x:c>
      <x:c r="B332" s="8" t="s">
        <x:v>710</x:v>
      </x:c>
      <x:c r="C332" s="8" t="s">
        <x:v>711</x:v>
      </x:c>
      <x:c r="D332" s="8" t="s">
        <x:v>712</x:v>
      </x:c>
      <x:c r="E332" s="31">
        <x:v>441958</x:v>
      </x:c>
      <x:c r="F332" s="8" t="s">
        <x:v>713</x:v>
      </x:c>
      <x:c r="G332" s="8" t="s">
        <x:v>697</x:v>
      </x:c>
      <x:c r="H332" s="31">
        <x:v>4412</x:v>
      </x:c>
      <x:c r="I332" s="8" t="s">
        <x:v>108</x:v>
      </x:c>
      <x:c r="J332" s="8" t="s">
        <x:v>78</x:v>
      </x:c>
      <x:c r="K332" s="8" t="s">
        <x:v>72</x:v>
      </x:c>
      <x:c r="L332" s="31">
        <x:v>47.252000000000002</x:v>
      </x:c>
      <x:c r="M332" s="8" t="s">
        <x:v>73</x:v>
      </x:c>
      <x:c r="N332" s="31">
        <x:v>414</x:v>
      </x:c>
      <x:c r="O332" s="8" t="s">
        <x:v>88</x:v>
      </x:c>
      <x:c r="P332" s="31">
        <x:v>15</x:v>
      </x:c>
      <x:c r="Q332" s="32" t="s">
        <x:v>96</x:v>
      </x:c>
      <x:c r="R332" s="31">
        <x:v>41533</x:v>
      </x:c>
      <x:c r="S332" s="8" t="s">
        <x:v>76</x:v>
      </x:c>
      <x:c r="T332" s="32">
        <x:f t="shared" si="330"/>
        <x:v>41533</x:v>
      </x:c>
      <x:c r="U332" s="36">
        <x:v>20</x:v>
      </x:c>
      <x:c r="V332" s="8" t="s">
        <x:v>77</x:v>
      </x:c>
      <x:c r="W332" s="32" t="s">
        <x:v>78</x:v>
      </x:c>
      <x:c r="X332" s="33">
        <x:f t="shared" si="332"/>
        <x:v>16.613199999999999</x:v>
      </x:c>
      <x:c r="Y332" s="21">
        <x:f t="shared" si="333"/>
        <x:v>1702.8530000000001</x:v>
      </x:c>
      <x:c r="Z332" s="21">
        <x:f t="shared" si="334"/>
        <x:v>539.92899999999997</x:v>
      </x:c>
      <x:c r="AA332" s="21">
        <x:f t="shared" si="335"/>
        <x:v>12.459899999999999</x:v>
      </x:c>
      <x:c r="AB332" s="21">
        <x:f t="shared" si="336"/>
        <x:v>12.459899999999999</x:v>
      </x:c>
      <x:c r="AC332" s="33"/>
      <x:c r="AD332" s="33"/>
      <x:c r="AE332" s="21">
        <x:f t="shared" si="337"/>
        <x:v>8.3065999999999995</x:v>
      </x:c>
      <x:c r="AF332" s="33"/>
      <x:c r="AG332" s="32" t="s">
        <x:v>78</x:v>
      </x:c>
      <x:c r="AH332" s="8" t="s">
        <x:v>78</x:v>
      </x:c>
      <x:c r="AI332" s="8" t="s">
        <x:v>78</x:v>
      </x:c>
      <x:c r="AJ332" s="32"/>
      <x:c r="AK332" s="32" t="s">
        <x:v>78</x:v>
      </x:c>
      <x:c r="AL332" s="8" t="s">
        <x:v>78</x:v>
      </x:c>
      <x:c r="AM332" s="32" t="s">
        <x:v>78</x:v>
      </x:c>
      <x:c r="AN332" s="33"/>
      <x:c r="AO332" s="33"/>
      <x:c r="AP332" s="33"/>
      <x:c r="AQ332" s="33"/>
      <x:c r="AR332" s="33"/>
      <x:c r="AS332" s="33"/>
      <x:c r="AT332" s="33"/>
      <x:c r="AU332" s="33"/>
      <x:c r="AV332" s="33"/>
      <x:c r="AW332" s="8" t="s">
        <x:v>78</x:v>
      </x:c>
      <x:c r="AX332" s="32"/>
      <x:c r="AY332" s="33"/>
      <x:c r="AZ332" s="33"/>
      <x:c r="BA332" s="33"/>
      <x:c r="BB332" s="33"/>
      <x:c r="BC332" s="33"/>
      <x:c r="BD332" s="33"/>
      <x:c r="BE332" s="33"/>
      <x:c r="BF332" s="33"/>
      <x:c r="BG332" s="33"/>
      <x:c r="BH332" s="8" t="s">
        <x:v>79</x:v>
      </x:c>
      <x:c r="BI332" s="31">
        <x:v>114</x:v>
      </x:c>
      <x:c r="BJ332" s="31">
        <x:v>6</x:v>
      </x:c>
      <x:c r="BK332" s="31">
        <x:v>10.26</x:v>
      </x:c>
      <x:c r="BL332" s="31">
        <x:v>22</x:v>
      </x:c>
      <x:c r="BM332" s="31">
        <x:v>59</x:v>
      </x:c>
      <x:c r="BN332" s="31">
        <x:v>1.36</x:v>
      </x:c>
      <x:c r="BO332" s="22">
        <x:v>114.10285</x:v>
      </x:c>
      <x:c r="BP332" s="22">
        <x:v>22.983711111111099</x:v>
      </x:c>
      <x:c r="BQ332" s="31">
        <x:v>60</x:v>
      </x:c>
      <x:c r="BR332" s="31">
        <x:v>952580</x:v>
      </x:c>
      <x:c r="BS332" s="31">
        <x:v>1.238</x:v>
      </x:c>
      <x:c r="BT332" s="31">
        <x:v>1.238</x:v>
      </x:c>
      <x:c r="BU332" s="31">
        <x:v>384.69200000000001</x:v>
      </x:c>
      <x:c r="BV332" s="31">
        <x:v>173.42500000000001</x:v>
      </x:c>
      <x:c r="BW332" s="31">
        <x:v>12.391</x:v>
      </x:c>
      <x:c r="BX332" s="31">
        <x:v>12.391</x:v>
      </x:c>
      <x:c r="BY332" s="31">
        <x:v>69775.44</x:v>
      </x:c>
      <x:c r="BZ332" s="31">
        <x:v>69775.44</x:v>
      </x:c>
      <x:c r="CA332" s="23">
        <x:f t="shared" si="315"/>
        <x:v>16.613199999999999</x:v>
      </x:c>
      <x:c r="CB332" s="23">
        <x:f t="shared" si="316"/>
        <x:v>1702.8530000000001</x:v>
      </x:c>
      <x:c r="CC332" s="23">
        <x:f t="shared" si="317"/>
        <x:v>539.92899999999997</x:v>
      </x:c>
      <x:c r="CD332" s="23">
        <x:f t="shared" si="318"/>
        <x:v>12.459899999999999</x:v>
      </x:c>
      <x:c r="CE332" s="23">
        <x:f t="shared" si="319"/>
        <x:v>12.459899999999999</x:v>
      </x:c>
      <x:c r="CF332" s="23">
        <x:f t="shared" si="320"/>
        <x:v>0</x:v>
      </x:c>
      <x:c r="CG332" s="23">
        <x:f t="shared" si="321"/>
        <x:v>0</x:v>
      </x:c>
      <x:c r="CH332" s="23">
        <x:f t="shared" si="322"/>
        <x:v>8.3065999999999995</x:v>
      </x:c>
      <x:c r="CI332" s="23">
        <x:f t="shared" si="323"/>
        <x:v>0</x:v>
      </x:c>
      <x:c r="CJ332" s="25" t="s">
        <x:v>78</x:v>
      </x:c>
      <x:c r="CK332" s="25">
        <x:v>0</x:v>
      </x:c>
      <x:c r="CL332" s="34" t="s">
        <x:v>97</x:v>
      </x:c>
      <x:c r="CM332" s="28">
        <x:v>60</x:v>
      </x:c>
      <x:c r="CN332" s="35" t="s">
        <x:v>78</x:v>
      </x:c>
      <x:c r="CO332" s="27">
        <x:v>0</x:v>
      </x:c>
      <x:c r="CP332" s="27">
        <x:v>0</x:v>
      </x:c>
      <x:c r="CQ332" s="26">
        <x:f t="shared" si="324"/>
        <x:v>16.613199999999999</x:v>
      </x:c>
      <x:c r="CR332" s="26">
        <x:f t="shared" si="325"/>
        <x:v>681.14120000000003</x:v>
      </x:c>
      <x:c r="CS332" s="26">
        <x:f t="shared" si="327"/>
        <x:v>539.92899999999997</x:v>
      </x:c>
      <x:c r="CT332" s="26">
        <x:f t="shared" si="285"/>
        <x:v>12.459899999999999</x:v>
      </x:c>
      <x:c r="CU332" s="26">
        <x:f t="shared" si="286"/>
        <x:v>12.459899999999999</x:v>
      </x:c>
      <x:c r="CV332" s="26">
        <x:f t="shared" si="287"/>
        <x:v>0</x:v>
      </x:c>
      <x:c r="CW332" s="26">
        <x:f t="shared" si="288"/>
        <x:v>0</x:v>
      </x:c>
      <x:c r="CX332" s="26">
        <x:f t="shared" si="328"/>
        <x:v>8.3065999999999995</x:v>
      </x:c>
      <x:c r="CY332" s="26">
        <x:f t="shared" si="329"/>
        <x:v>0</x:v>
      </x:c>
    </x:row>
    <x:row r="333" s="8" customFormat="1">
      <x:c r="A333" s="31">
        <x:v>2022</x:v>
      </x:c>
      <x:c r="B333" s="8" t="s">
        <x:v>714</x:v>
      </x:c>
      <x:c r="C333" s="8" t="s">
        <x:v>715</x:v>
      </x:c>
      <x:c r="D333" s="8" t="s">
        <x:v>716</x:v>
      </x:c>
      <x:c r="E333" s="31">
        <x:v>441962</x:v>
      </x:c>
      <x:c r="F333" s="8" t="s">
        <x:v>717</x:v>
      </x:c>
      <x:c r="G333" s="8" t="s">
        <x:v>697</x:v>
      </x:c>
      <x:c r="H333" s="31">
        <x:v>4411</x:v>
      </x:c>
      <x:c r="I333" s="8" t="s">
        <x:v>102</x:v>
      </x:c>
      <x:c r="J333" s="8" t="s">
        <x:v>78</x:v>
      </x:c>
      <x:c r="K333" s="8" t="s">
        <x:v>80</x:v>
      </x:c>
      <x:c r="L333" s="31">
        <x:v>18</x:v>
      </x:c>
      <x:c r="M333" s="8" t="s">
        <x:v>78</x:v>
      </x:c>
      <x:c r="N333" s="31">
        <x:v>226</x:v>
      </x:c>
      <x:c r="O333" s="8" t="s">
        <x:v>88</x:v>
      </x:c>
      <x:c r="P333" s="31">
        <x:v>15</x:v>
      </x:c>
      <x:c r="Q333" s="32" t="s">
        <x:v>96</x:v>
      </x:c>
      <x:c r="R333" s="31">
        <x:v>4837</x:v>
      </x:c>
      <x:c r="S333" s="8" t="s">
        <x:v>76</x:v>
      </x:c>
      <x:c r="T333" s="32">
        <x:f t="shared" si="330"/>
        <x:v>4837</x:v>
      </x:c>
      <x:c r="U333" s="32">
        <x:v>3.83</x:v>
      </x:c>
      <x:c r="V333" s="8" t="s">
        <x:v>77</x:v>
      </x:c>
      <x:c r="W333" s="32" t="s">
        <x:v>78</x:v>
      </x:c>
      <x:c r="X333" s="33">
        <x:f t="shared" si="332"/>
        <x:v>0.37051420000000002</x:v>
      </x:c>
      <x:c r="Y333" s="21">
        <x:f t="shared" si="333"/>
        <x:v>198.31699999999998</x:v>
      </x:c>
      <x:c r="Z333" s="21">
        <x:f t="shared" si="334"/>
        <x:v>62.881</x:v>
      </x:c>
      <x:c r="AA333" s="21">
        <x:f t="shared" si="335"/>
        <x:v>1.4510999999999998</x:v>
      </x:c>
      <x:c r="AB333" s="21">
        <x:f t="shared" si="336"/>
        <x:v>1.4510999999999998</x:v>
      </x:c>
      <x:c r="AC333" s="33"/>
      <x:c r="AD333" s="33"/>
      <x:c r="AE333" s="21">
        <x:f t="shared" si="337"/>
        <x:v>0.96740000000000015</x:v>
      </x:c>
      <x:c r="AF333" s="33"/>
      <x:c r="AG333" s="32" t="s">
        <x:v>78</x:v>
      </x:c>
      <x:c r="AH333" s="8" t="s">
        <x:v>78</x:v>
      </x:c>
      <x:c r="AI333" s="8" t="s">
        <x:v>78</x:v>
      </x:c>
      <x:c r="AJ333" s="32"/>
      <x:c r="AK333" s="32" t="s">
        <x:v>78</x:v>
      </x:c>
      <x:c r="AL333" s="8" t="s">
        <x:v>78</x:v>
      </x:c>
      <x:c r="AM333" s="32" t="s">
        <x:v>78</x:v>
      </x:c>
      <x:c r="AN333" s="33"/>
      <x:c r="AO333" s="33"/>
      <x:c r="AP333" s="33"/>
      <x:c r="AQ333" s="33"/>
      <x:c r="AR333" s="33"/>
      <x:c r="AS333" s="33"/>
      <x:c r="AT333" s="33"/>
      <x:c r="AU333" s="33"/>
      <x:c r="AV333" s="33"/>
      <x:c r="AW333" s="8" t="s">
        <x:v>78</x:v>
      </x:c>
      <x:c r="AX333" s="32"/>
      <x:c r="AY333" s="33"/>
      <x:c r="AZ333" s="33"/>
      <x:c r="BA333" s="33"/>
      <x:c r="BB333" s="33"/>
      <x:c r="BC333" s="33"/>
      <x:c r="BD333" s="33"/>
      <x:c r="BE333" s="33"/>
      <x:c r="BF333" s="33"/>
      <x:c r="BG333" s="33"/>
      <x:c r="BH333" s="8" t="s">
        <x:v>81</x:v>
      </x:c>
      <x:c r="BI333" s="31">
        <x:v>114</x:v>
      </x:c>
      <x:c r="BJ333" s="31">
        <x:v>5</x:v>
      </x:c>
      <x:c r="BK333" s="31">
        <x:v>39.409999999999997</x:v>
      </x:c>
      <x:c r="BL333" s="31">
        <x:v>22</x:v>
      </x:c>
      <x:c r="BM333" s="31">
        <x:v>53</x:v>
      </x:c>
      <x:c r="BN333" s="31">
        <x:v>15.97</x:v>
      </x:c>
      <x:c r="BO333" s="22">
        <x:v>114.094280555556</x:v>
      </x:c>
      <x:c r="BP333" s="22">
        <x:v>22.887769444444402</x:v>
      </x:c>
      <x:c r="BQ333" s="31">
        <x:v>60</x:v>
      </x:c>
      <x:c r="BR333" s="31">
        <x:v>133600</x:v>
      </x:c>
      <x:c r="BS333" s="31">
        <x:v>0</x:v>
      </x:c>
      <x:c r="BT333" s="31">
        <x:v>0</x:v>
      </x:c>
      <x:c r="BU333" s="31">
        <x:v>30.994</x:v>
      </x:c>
      <x:c r="BV333" s="31">
        <x:v>30.994</x:v>
      </x:c>
      <x:c r="BW333" s="31">
        <x:v>0.46899999999999997</x:v>
      </x:c>
      <x:c r="BX333" s="31">
        <x:v>0.46899999999999997</x:v>
      </x:c>
      <x:c r="BY333" s="8" t="s">
        <x:v>78</x:v>
      </x:c>
      <x:c r="BZ333" s="8" t="s">
        <x:v>78</x:v>
      </x:c>
      <x:c r="CA333" s="23">
        <x:f t="shared" si="315"/>
        <x:v>0.37051420000000002</x:v>
      </x:c>
      <x:c r="CB333" s="23">
        <x:f t="shared" si="316"/>
        <x:v>198.31699999999998</x:v>
      </x:c>
      <x:c r="CC333" s="23">
        <x:f t="shared" si="317"/>
        <x:v>62.881</x:v>
      </x:c>
      <x:c r="CD333" s="23">
        <x:f t="shared" si="318"/>
        <x:v>1.4510999999999998</x:v>
      </x:c>
      <x:c r="CE333" s="23">
        <x:f t="shared" si="319"/>
        <x:v>1.4510999999999998</x:v>
      </x:c>
      <x:c r="CF333" s="23">
        <x:f t="shared" si="320"/>
        <x:v>0</x:v>
      </x:c>
      <x:c r="CG333" s="23">
        <x:f t="shared" si="321"/>
        <x:v>0</x:v>
      </x:c>
      <x:c r="CH333" s="23">
        <x:f t="shared" si="322"/>
        <x:v>0.96740000000000015</x:v>
      </x:c>
      <x:c r="CI333" s="23">
        <x:f t="shared" si="323"/>
        <x:v>0</x:v>
      </x:c>
      <x:c r="CJ333" s="25" t="s">
        <x:v>78</x:v>
      </x:c>
      <x:c r="CK333" s="25">
        <x:v>0</x:v>
      </x:c>
      <x:c r="CL333" s="34" t="s">
        <x:v>78</x:v>
      </x:c>
      <x:c r="CM333" s="26">
        <x:v>42</x:v>
      </x:c>
      <x:c r="CN333" s="35" t="s">
        <x:v>78</x:v>
      </x:c>
      <x:c r="CO333" s="27">
        <x:v>0</x:v>
      </x:c>
      <x:c r="CP333" s="27">
        <x:v>0</x:v>
      </x:c>
      <x:c r="CQ333" s="26">
        <x:f t="shared" si="324"/>
        <x:v>0.37051420000000002</x:v>
      </x:c>
      <x:c r="CR333" s="26">
        <x:f t="shared" si="325"/>
        <x:v>115.02386</x:v>
      </x:c>
      <x:c r="CS333" s="26">
        <x:f t="shared" si="327"/>
        <x:v>62.881</x:v>
      </x:c>
      <x:c r="CT333" s="26">
        <x:f t="shared" si="285"/>
        <x:v>1.4510999999999998</x:v>
      </x:c>
      <x:c r="CU333" s="26">
        <x:f t="shared" si="286"/>
        <x:v>1.4510999999999998</x:v>
      </x:c>
      <x:c r="CV333" s="26">
        <x:f t="shared" si="287"/>
        <x:v>0</x:v>
      </x:c>
      <x:c r="CW333" s="26">
        <x:f t="shared" si="288"/>
        <x:v>0</x:v>
      </x:c>
      <x:c r="CX333" s="26">
        <x:f t="shared" si="328"/>
        <x:v>0.96740000000000015</x:v>
      </x:c>
      <x:c r="CY333" s="26">
        <x:f t="shared" si="329"/>
        <x:v>0</x:v>
      </x:c>
    </x:row>
    <x:row r="334" s="8" customFormat="1">
      <x:c r="A334" s="31">
        <x:v>2022</x:v>
      </x:c>
      <x:c r="B334" s="8" t="s">
        <x:v>714</x:v>
      </x:c>
      <x:c r="C334" s="8" t="s">
        <x:v>715</x:v>
      </x:c>
      <x:c r="D334" s="8" t="s">
        <x:v>716</x:v>
      </x:c>
      <x:c r="E334" s="31">
        <x:v>441962</x:v>
      </x:c>
      <x:c r="F334" s="8" t="s">
        <x:v>717</x:v>
      </x:c>
      <x:c r="G334" s="8" t="s">
        <x:v>697</x:v>
      </x:c>
      <x:c r="H334" s="31">
        <x:v>4411</x:v>
      </x:c>
      <x:c r="I334" s="8" t="s">
        <x:v>102</x:v>
      </x:c>
      <x:c r="J334" s="8" t="s">
        <x:v>78</x:v>
      </x:c>
      <x:c r="K334" s="8" t="s">
        <x:v>80</x:v>
      </x:c>
      <x:c r="L334" s="31">
        <x:v>18</x:v>
      </x:c>
      <x:c r="M334" s="8" t="s">
        <x:v>78</x:v>
      </x:c>
      <x:c r="N334" s="31">
        <x:v>226</x:v>
      </x:c>
      <x:c r="O334" s="8" t="s">
        <x:v>88</x:v>
      </x:c>
      <x:c r="P334" s="31">
        <x:v>15</x:v>
      </x:c>
      <x:c r="Q334" s="32" t="s">
        <x:v>96</x:v>
      </x:c>
      <x:c r="R334" s="31">
        <x:v>2485</x:v>
      </x:c>
      <x:c r="S334" s="8" t="s">
        <x:v>76</x:v>
      </x:c>
      <x:c r="T334" s="32">
        <x:f t="shared" si="330"/>
        <x:v>2485</x:v>
      </x:c>
      <x:c r="U334" s="32">
        <x:v>3.83</x:v>
      </x:c>
      <x:c r="V334" s="8" t="s">
        <x:v>77</x:v>
      </x:c>
      <x:c r="W334" s="32" t="s">
        <x:v>78</x:v>
      </x:c>
      <x:c r="X334" s="33">
        <x:f t="shared" si="332"/>
        <x:v>0.19035099999999999</x:v>
      </x:c>
      <x:c r="Y334" s="21">
        <x:f t="shared" si="333"/>
        <x:v>101.88500000000001</x:v>
      </x:c>
      <x:c r="Z334" s="21">
        <x:f t="shared" si="334"/>
        <x:v>32.305</x:v>
      </x:c>
      <x:c r="AA334" s="21">
        <x:f t="shared" si="335"/>
        <x:v>0.74550000000000005</x:v>
      </x:c>
      <x:c r="AB334" s="21">
        <x:f t="shared" si="336"/>
        <x:v>0.74550000000000005</x:v>
      </x:c>
      <x:c r="AC334" s="33"/>
      <x:c r="AD334" s="33"/>
      <x:c r="AE334" s="21">
        <x:f t="shared" si="337"/>
        <x:v>0.497</x:v>
      </x:c>
      <x:c r="AF334" s="33"/>
      <x:c r="AG334" s="32" t="s">
        <x:v>78</x:v>
      </x:c>
      <x:c r="AH334" s="8" t="s">
        <x:v>78</x:v>
      </x:c>
      <x:c r="AI334" s="8" t="s">
        <x:v>78</x:v>
      </x:c>
      <x:c r="AJ334" s="32"/>
      <x:c r="AK334" s="32" t="s">
        <x:v>78</x:v>
      </x:c>
      <x:c r="AL334" s="8" t="s">
        <x:v>78</x:v>
      </x:c>
      <x:c r="AM334" s="32" t="s">
        <x:v>78</x:v>
      </x:c>
      <x:c r="AN334" s="33"/>
      <x:c r="AO334" s="33"/>
      <x:c r="AP334" s="33"/>
      <x:c r="AQ334" s="33"/>
      <x:c r="AR334" s="33"/>
      <x:c r="AS334" s="33"/>
      <x:c r="AT334" s="33"/>
      <x:c r="AU334" s="33"/>
      <x:c r="AV334" s="33"/>
      <x:c r="AW334" s="8" t="s">
        <x:v>78</x:v>
      </x:c>
      <x:c r="AX334" s="32"/>
      <x:c r="AY334" s="33"/>
      <x:c r="AZ334" s="33"/>
      <x:c r="BA334" s="33"/>
      <x:c r="BB334" s="33"/>
      <x:c r="BC334" s="33"/>
      <x:c r="BD334" s="33"/>
      <x:c r="BE334" s="33"/>
      <x:c r="BF334" s="33"/>
      <x:c r="BG334" s="33"/>
      <x:c r="BH334" s="8" t="s">
        <x:v>79</x:v>
      </x:c>
      <x:c r="BI334" s="31">
        <x:v>114</x:v>
      </x:c>
      <x:c r="BJ334" s="31">
        <x:v>5</x:v>
      </x:c>
      <x:c r="BK334" s="31">
        <x:v>39.619999999999997</x:v>
      </x:c>
      <x:c r="BL334" s="31">
        <x:v>22</x:v>
      </x:c>
      <x:c r="BM334" s="31">
        <x:v>53</x:v>
      </x:c>
      <x:c r="BN334" s="31">
        <x:v>16.37</x:v>
      </x:c>
      <x:c r="BO334" s="22">
        <x:v>114.094338888889</x:v>
      </x:c>
      <x:c r="BP334" s="22">
        <x:v>22.887880555555601</x:v>
      </x:c>
      <x:c r="BQ334" s="31">
        <x:v>60</x:v>
      </x:c>
      <x:c r="BR334" s="31">
        <x:v>70026</x:v>
      </x:c>
      <x:c r="BS334" s="31">
        <x:v>0</x:v>
      </x:c>
      <x:c r="BT334" s="31">
        <x:v>0</x:v>
      </x:c>
      <x:c r="BU334" s="31">
        <x:v>18.484000000000002</x:v>
      </x:c>
      <x:c r="BV334" s="31">
        <x:v>18.484000000000002</x:v>
      </x:c>
      <x:c r="BW334" s="31">
        <x:v>4.7E-2</x:v>
      </x:c>
      <x:c r="BX334" s="31">
        <x:v>4.7E-2</x:v>
      </x:c>
      <x:c r="BY334" s="8" t="s">
        <x:v>78</x:v>
      </x:c>
      <x:c r="BZ334" s="8" t="s">
        <x:v>78</x:v>
      </x:c>
      <x:c r="CA334" s="23">
        <x:f t="shared" si="315"/>
        <x:v>0.19035099999999999</x:v>
      </x:c>
      <x:c r="CB334" s="23">
        <x:f t="shared" si="316"/>
        <x:v>101.88500000000001</x:v>
      </x:c>
      <x:c r="CC334" s="23">
        <x:f t="shared" si="317"/>
        <x:v>32.305</x:v>
      </x:c>
      <x:c r="CD334" s="23">
        <x:f t="shared" si="318"/>
        <x:v>0.74550000000000005</x:v>
      </x:c>
      <x:c r="CE334" s="23">
        <x:f t="shared" si="319"/>
        <x:v>0.74550000000000005</x:v>
      </x:c>
      <x:c r="CF334" s="23">
        <x:f t="shared" si="320"/>
        <x:v>0</x:v>
      </x:c>
      <x:c r="CG334" s="23">
        <x:f t="shared" si="321"/>
        <x:v>0</x:v>
      </x:c>
      <x:c r="CH334" s="23">
        <x:f t="shared" si="322"/>
        <x:v>0.497</x:v>
      </x:c>
      <x:c r="CI334" s="23">
        <x:f t="shared" si="323"/>
        <x:v>0</x:v>
      </x:c>
      <x:c r="CJ334" s="25" t="s">
        <x:v>78</x:v>
      </x:c>
      <x:c r="CK334" s="25">
        <x:v>0</x:v>
      </x:c>
      <x:c r="CL334" s="34" t="s">
        <x:v>78</x:v>
      </x:c>
      <x:c r="CM334" s="26">
        <x:v>42</x:v>
      </x:c>
      <x:c r="CN334" s="35" t="s">
        <x:v>78</x:v>
      </x:c>
      <x:c r="CO334" s="27">
        <x:v>0</x:v>
      </x:c>
      <x:c r="CP334" s="27">
        <x:v>0</x:v>
      </x:c>
      <x:c r="CQ334" s="26">
        <x:f t="shared" si="324"/>
        <x:v>0.19035099999999999</x:v>
      </x:c>
      <x:c r="CR334" s="26">
        <x:f t="shared" si="325"/>
        <x:v>59.093300000000013</x:v>
      </x:c>
      <x:c r="CS334" s="26">
        <x:f t="shared" si="327"/>
        <x:v>32.305</x:v>
      </x:c>
      <x:c r="CT334" s="26">
        <x:f t="shared" si="285"/>
        <x:v>0.74550000000000005</x:v>
      </x:c>
      <x:c r="CU334" s="26">
        <x:f t="shared" si="286"/>
        <x:v>0.74550000000000005</x:v>
      </x:c>
      <x:c r="CV334" s="26">
        <x:f t="shared" si="287"/>
        <x:v>0</x:v>
      </x:c>
      <x:c r="CW334" s="26">
        <x:f t="shared" si="288"/>
        <x:v>0</x:v>
      </x:c>
      <x:c r="CX334" s="26">
        <x:f t="shared" si="328"/>
        <x:v>0.497</x:v>
      </x:c>
      <x:c r="CY334" s="26">
        <x:f t="shared" si="329"/>
        <x:v>0</x:v>
      </x:c>
    </x:row>
    <x:row r="335" s="8" customFormat="1">
      <x:c r="A335" s="31">
        <x:v>2022</x:v>
      </x:c>
      <x:c r="B335" s="8" t="s">
        <x:v>714</x:v>
      </x:c>
      <x:c r="C335" s="8" t="s">
        <x:v>715</x:v>
      </x:c>
      <x:c r="D335" s="8" t="s">
        <x:v>716</x:v>
      </x:c>
      <x:c r="E335" s="31">
        <x:v>441962</x:v>
      </x:c>
      <x:c r="F335" s="8" t="s">
        <x:v>717</x:v>
      </x:c>
      <x:c r="G335" s="8" t="s">
        <x:v>697</x:v>
      </x:c>
      <x:c r="H335" s="31">
        <x:v>4411</x:v>
      </x:c>
      <x:c r="I335" s="8" t="s">
        <x:v>102</x:v>
      </x:c>
      <x:c r="J335" s="8" t="s">
        <x:v>78</x:v>
      </x:c>
      <x:c r="K335" s="8" t="s">
        <x:v>80</x:v>
      </x:c>
      <x:c r="L335" s="31">
        <x:v>47.5</x:v>
      </x:c>
      <x:c r="M335" s="8" t="s">
        <x:v>78</x:v>
      </x:c>
      <x:c r="N335" s="31">
        <x:v>301</x:v>
      </x:c>
      <x:c r="O335" s="8" t="s">
        <x:v>88</x:v>
      </x:c>
      <x:c r="P335" s="31">
        <x:v>15</x:v>
      </x:c>
      <x:c r="Q335" s="32" t="s">
        <x:v>96</x:v>
      </x:c>
      <x:c r="R335" s="31">
        <x:v>23462</x:v>
      </x:c>
      <x:c r="S335" s="8" t="s">
        <x:v>76</x:v>
      </x:c>
      <x:c r="T335" s="32">
        <x:f t="shared" si="330"/>
        <x:v>23462</x:v>
      </x:c>
      <x:c r="U335" s="32">
        <x:v>3.83</x:v>
      </x:c>
      <x:c r="V335" s="8" t="s">
        <x:v>77</x:v>
      </x:c>
      <x:c r="W335" s="32" t="s">
        <x:v>78</x:v>
      </x:c>
      <x:c r="X335" s="33">
        <x:f t="shared" si="332"/>
        <x:v>1.7971892000000003</x:v>
      </x:c>
      <x:c r="Y335" s="21">
        <x:f t="shared" si="333"/>
        <x:v>961.94200000000001</x:v>
      </x:c>
      <x:c r="Z335" s="21">
        <x:f t="shared" si="334"/>
        <x:v>305.00599999999997</x:v>
      </x:c>
      <x:c r="AA335" s="21">
        <x:f t="shared" si="335"/>
        <x:v>7.0385999999999997</x:v>
      </x:c>
      <x:c r="AB335" s="21">
        <x:f t="shared" si="336"/>
        <x:v>7.0385999999999997</x:v>
      </x:c>
      <x:c r="AC335" s="33"/>
      <x:c r="AD335" s="33"/>
      <x:c r="AE335" s="21">
        <x:f t="shared" si="337"/>
        <x:v>4.6924000000000001</x:v>
      </x:c>
      <x:c r="AF335" s="33"/>
      <x:c r="AG335" s="32" t="s">
        <x:v>78</x:v>
      </x:c>
      <x:c r="AH335" s="8" t="s">
        <x:v>78</x:v>
      </x:c>
      <x:c r="AI335" s="8" t="s">
        <x:v>78</x:v>
      </x:c>
      <x:c r="AJ335" s="32"/>
      <x:c r="AK335" s="32" t="s">
        <x:v>78</x:v>
      </x:c>
      <x:c r="AL335" s="8" t="s">
        <x:v>78</x:v>
      </x:c>
      <x:c r="AM335" s="32" t="s">
        <x:v>78</x:v>
      </x:c>
      <x:c r="AN335" s="33"/>
      <x:c r="AO335" s="33"/>
      <x:c r="AP335" s="33"/>
      <x:c r="AQ335" s="33"/>
      <x:c r="AR335" s="33"/>
      <x:c r="AS335" s="33"/>
      <x:c r="AT335" s="33"/>
      <x:c r="AU335" s="33"/>
      <x:c r="AV335" s="33"/>
      <x:c r="AW335" s="8" t="s">
        <x:v>78</x:v>
      </x:c>
      <x:c r="AX335" s="32"/>
      <x:c r="AY335" s="33"/>
      <x:c r="AZ335" s="33"/>
      <x:c r="BA335" s="33"/>
      <x:c r="BB335" s="33"/>
      <x:c r="BC335" s="33"/>
      <x:c r="BD335" s="33"/>
      <x:c r="BE335" s="33"/>
      <x:c r="BF335" s="33"/>
      <x:c r="BG335" s="33"/>
      <x:c r="BH335" s="8" t="s">
        <x:v>82</x:v>
      </x:c>
      <x:c r="BI335" s="31">
        <x:v>114</x:v>
      </x:c>
      <x:c r="BJ335" s="31">
        <x:v>5</x:v>
      </x:c>
      <x:c r="BK335" s="31">
        <x:v>40.85</x:v>
      </x:c>
      <x:c r="BL335" s="31">
        <x:v>22</x:v>
      </x:c>
      <x:c r="BM335" s="31">
        <x:v>53</x:v>
      </x:c>
      <x:c r="BN335" s="31">
        <x:v>9.1300000000000008</x:v>
      </x:c>
      <x:c r="BO335" s="22">
        <x:v>114.094680555556</x:v>
      </x:c>
      <x:c r="BP335" s="22">
        <x:v>22.885869444444399</x:v>
      </x:c>
      <x:c r="BQ335" s="31">
        <x:v>80</x:v>
      </x:c>
      <x:c r="BR335" s="31">
        <x:v>465548</x:v>
      </x:c>
      <x:c r="BS335" s="31">
        <x:v>0</x:v>
      </x:c>
      <x:c r="BT335" s="31">
        <x:v>0</x:v>
      </x:c>
      <x:c r="BU335" s="31">
        <x:v>81.117000000000004</x:v>
      </x:c>
      <x:c r="BV335" s="31">
        <x:v>81.117000000000004</x:v>
      </x:c>
      <x:c r="BW335" s="31">
        <x:v>2.2530000000000001</x:v>
      </x:c>
      <x:c r="BX335" s="31">
        <x:v>2.2530000000000001</x:v>
      </x:c>
      <x:c r="BY335" s="8" t="s">
        <x:v>78</x:v>
      </x:c>
      <x:c r="BZ335" s="8" t="s">
        <x:v>78</x:v>
      </x:c>
      <x:c r="CA335" s="23">
        <x:f t="shared" si="315"/>
        <x:v>1.7971892000000003</x:v>
      </x:c>
      <x:c r="CB335" s="23">
        <x:f t="shared" si="316"/>
        <x:v>961.94200000000001</x:v>
      </x:c>
      <x:c r="CC335" s="23">
        <x:f t="shared" si="317"/>
        <x:v>305.00599999999997</x:v>
      </x:c>
      <x:c r="CD335" s="23">
        <x:f t="shared" si="318"/>
        <x:v>7.0385999999999997</x:v>
      </x:c>
      <x:c r="CE335" s="23">
        <x:f t="shared" si="319"/>
        <x:v>7.0385999999999997</x:v>
      </x:c>
      <x:c r="CF335" s="23">
        <x:f t="shared" si="320"/>
        <x:v>0</x:v>
      </x:c>
      <x:c r="CG335" s="23">
        <x:f t="shared" si="321"/>
        <x:v>0</x:v>
      </x:c>
      <x:c r="CH335" s="23">
        <x:f t="shared" si="322"/>
        <x:v>4.6924000000000001</x:v>
      </x:c>
      <x:c r="CI335" s="23">
        <x:f t="shared" si="323"/>
        <x:v>0</x:v>
      </x:c>
      <x:c r="CJ335" s="25" t="s">
        <x:v>78</x:v>
      </x:c>
      <x:c r="CK335" s="25">
        <x:v>0</x:v>
      </x:c>
      <x:c r="CL335" s="34" t="s">
        <x:v>78</x:v>
      </x:c>
      <x:c r="CM335" s="26">
        <x:v>42</x:v>
      </x:c>
      <x:c r="CN335" s="35" t="s">
        <x:v>78</x:v>
      </x:c>
      <x:c r="CO335" s="27">
        <x:v>0</x:v>
      </x:c>
      <x:c r="CP335" s="27">
        <x:v>0</x:v>
      </x:c>
      <x:c r="CQ335" s="26">
        <x:f t="shared" si="324"/>
        <x:v>1.7971892000000003</x:v>
      </x:c>
      <x:c r="CR335" s="26">
        <x:f t="shared" si="325"/>
        <x:v>557.92636000000005</x:v>
      </x:c>
      <x:c r="CS335" s="26">
        <x:f t="shared" si="327"/>
        <x:v>305.00599999999997</x:v>
      </x:c>
      <x:c r="CT335" s="26">
        <x:f t="shared" si="285"/>
        <x:v>7.0385999999999997</x:v>
      </x:c>
      <x:c r="CU335" s="26">
        <x:f t="shared" si="286"/>
        <x:v>7.0385999999999997</x:v>
      </x:c>
      <x:c r="CV335" s="26">
        <x:f t="shared" si="287"/>
        <x:v>0</x:v>
      </x:c>
      <x:c r="CW335" s="26">
        <x:f t="shared" si="288"/>
        <x:v>0</x:v>
      </x:c>
      <x:c r="CX335" s="26">
        <x:f t="shared" si="328"/>
        <x:v>4.6924000000000001</x:v>
      </x:c>
      <x:c r="CY335" s="26">
        <x:f t="shared" si="329"/>
        <x:v>0</x:v>
      </x:c>
    </x:row>
    <x:row r="336" s="8" customFormat="1">
      <x:c r="A336" s="31">
        <x:v>2022</x:v>
      </x:c>
      <x:c r="B336" s="8" t="s">
        <x:v>714</x:v>
      </x:c>
      <x:c r="C336" s="8" t="s">
        <x:v>715</x:v>
      </x:c>
      <x:c r="D336" s="8" t="s">
        <x:v>716</x:v>
      </x:c>
      <x:c r="E336" s="31">
        <x:v>441962</x:v>
      </x:c>
      <x:c r="F336" s="8" t="s">
        <x:v>717</x:v>
      </x:c>
      <x:c r="G336" s="8" t="s">
        <x:v>697</x:v>
      </x:c>
      <x:c r="H336" s="31">
        <x:v>4411</x:v>
      </x:c>
      <x:c r="I336" s="8" t="s">
        <x:v>102</x:v>
      </x:c>
      <x:c r="J336" s="8" t="s">
        <x:v>78</x:v>
      </x:c>
      <x:c r="K336" s="8" t="s">
        <x:v>80</x:v>
      </x:c>
      <x:c r="L336" s="31">
        <x:v>47.5</x:v>
      </x:c>
      <x:c r="M336" s="8" t="s">
        <x:v>78</x:v>
      </x:c>
      <x:c r="N336" s="31">
        <x:v>301</x:v>
      </x:c>
      <x:c r="O336" s="8" t="s">
        <x:v>88</x:v>
      </x:c>
      <x:c r="P336" s="31">
        <x:v>15</x:v>
      </x:c>
      <x:c r="Q336" s="32" t="s">
        <x:v>96</x:v>
      </x:c>
      <x:c r="R336" s="31">
        <x:v>21514</x:v>
      </x:c>
      <x:c r="S336" s="8" t="s">
        <x:v>76</x:v>
      </x:c>
      <x:c r="T336" s="32">
        <x:f t="shared" si="330"/>
        <x:v>21514</x:v>
      </x:c>
      <x:c r="U336" s="32">
        <x:v>3.83</x:v>
      </x:c>
      <x:c r="V336" s="8" t="s">
        <x:v>77</x:v>
      </x:c>
      <x:c r="W336" s="32" t="s">
        <x:v>78</x:v>
      </x:c>
      <x:c r="X336" s="33">
        <x:f t="shared" si="332"/>
        <x:v>1.6479724</x:v>
      </x:c>
      <x:c r="Y336" s="21">
        <x:f t="shared" si="333"/>
        <x:v>882.07399999999996</x:v>
      </x:c>
      <x:c r="Z336" s="21">
        <x:f t="shared" si="334"/>
        <x:v>279.68200000000002</x:v>
      </x:c>
      <x:c r="AA336" s="21">
        <x:f t="shared" si="335"/>
        <x:v>6.4542000000000002</x:v>
      </x:c>
      <x:c r="AB336" s="21">
        <x:f t="shared" si="336"/>
        <x:v>6.4542000000000002</x:v>
      </x:c>
      <x:c r="AC336" s="33"/>
      <x:c r="AD336" s="33"/>
      <x:c r="AE336" s="21">
        <x:f t="shared" si="337"/>
        <x:v>4.3028000000000004</x:v>
      </x:c>
      <x:c r="AF336" s="33"/>
      <x:c r="AG336" s="32" t="s">
        <x:v>78</x:v>
      </x:c>
      <x:c r="AH336" s="8" t="s">
        <x:v>78</x:v>
      </x:c>
      <x:c r="AI336" s="8" t="s">
        <x:v>78</x:v>
      </x:c>
      <x:c r="AJ336" s="32"/>
      <x:c r="AK336" s="32" t="s">
        <x:v>78</x:v>
      </x:c>
      <x:c r="AL336" s="8" t="s">
        <x:v>78</x:v>
      </x:c>
      <x:c r="AM336" s="32" t="s">
        <x:v>78</x:v>
      </x:c>
      <x:c r="AN336" s="33"/>
      <x:c r="AO336" s="33"/>
      <x:c r="AP336" s="33"/>
      <x:c r="AQ336" s="33"/>
      <x:c r="AR336" s="33"/>
      <x:c r="AS336" s="33"/>
      <x:c r="AT336" s="33"/>
      <x:c r="AU336" s="33"/>
      <x:c r="AV336" s="33"/>
      <x:c r="AW336" s="8" t="s">
        <x:v>78</x:v>
      </x:c>
      <x:c r="AX336" s="32"/>
      <x:c r="AY336" s="33"/>
      <x:c r="AZ336" s="33"/>
      <x:c r="BA336" s="33"/>
      <x:c r="BB336" s="33"/>
      <x:c r="BC336" s="33"/>
      <x:c r="BD336" s="33"/>
      <x:c r="BE336" s="33"/>
      <x:c r="BF336" s="33"/>
      <x:c r="BG336" s="33"/>
      <x:c r="BH336" s="8" t="s">
        <x:v>83</x:v>
      </x:c>
      <x:c r="BI336" s="31">
        <x:v>114</x:v>
      </x:c>
      <x:c r="BJ336" s="31">
        <x:v>5</x:v>
      </x:c>
      <x:c r="BK336" s="31">
        <x:v>40.700000000000003</x:v>
      </x:c>
      <x:c r="BL336" s="31">
        <x:v>22</x:v>
      </x:c>
      <x:c r="BM336" s="31">
        <x:v>53</x:v>
      </x:c>
      <x:c r="BN336" s="31">
        <x:v>10.210000000000001</x:v>
      </x:c>
      <x:c r="BO336" s="22">
        <x:v>114.09463888888899</x:v>
      </x:c>
      <x:c r="BP336" s="22">
        <x:v>22.886169444444398</x:v>
      </x:c>
      <x:c r="BQ336" s="31">
        <x:v>80</x:v>
      </x:c>
      <x:c r="BR336" s="31">
        <x:v>424355</x:v>
      </x:c>
      <x:c r="BS336" s="31">
        <x:v>0</x:v>
      </x:c>
      <x:c r="BT336" s="31">
        <x:v>0</x:v>
      </x:c>
      <x:c r="BU336" s="31">
        <x:v>76.885999999999996</x:v>
      </x:c>
      <x:c r="BV336" s="31">
        <x:v>76.885999999999996</x:v>
      </x:c>
      <x:c r="BW336" s="31">
        <x:v>1.296</x:v>
      </x:c>
      <x:c r="BX336" s="31">
        <x:v>1.296</x:v>
      </x:c>
      <x:c r="BY336" s="8" t="s">
        <x:v>78</x:v>
      </x:c>
      <x:c r="BZ336" s="8" t="s">
        <x:v>78</x:v>
      </x:c>
      <x:c r="CA336" s="23">
        <x:f t="shared" si="315"/>
        <x:v>1.6479724</x:v>
      </x:c>
      <x:c r="CB336" s="23">
        <x:f t="shared" si="316"/>
        <x:v>882.07399999999996</x:v>
      </x:c>
      <x:c r="CC336" s="23">
        <x:f t="shared" si="317"/>
        <x:v>279.68200000000002</x:v>
      </x:c>
      <x:c r="CD336" s="23">
        <x:f t="shared" si="318"/>
        <x:v>6.4542000000000002</x:v>
      </x:c>
      <x:c r="CE336" s="23">
        <x:f t="shared" si="319"/>
        <x:v>6.4542000000000002</x:v>
      </x:c>
      <x:c r="CF336" s="23">
        <x:f t="shared" si="320"/>
        <x:v>0</x:v>
      </x:c>
      <x:c r="CG336" s="23">
        <x:f t="shared" si="321"/>
        <x:v>0</x:v>
      </x:c>
      <x:c r="CH336" s="23">
        <x:f t="shared" si="322"/>
        <x:v>4.3028000000000004</x:v>
      </x:c>
      <x:c r="CI336" s="23">
        <x:f t="shared" si="323"/>
        <x:v>0</x:v>
      </x:c>
      <x:c r="CJ336" s="25" t="s">
        <x:v>78</x:v>
      </x:c>
      <x:c r="CK336" s="25">
        <x:v>0</x:v>
      </x:c>
      <x:c r="CL336" s="34" t="s">
        <x:v>78</x:v>
      </x:c>
      <x:c r="CM336" s="26">
        <x:v>42</x:v>
      </x:c>
      <x:c r="CN336" s="35" t="s">
        <x:v>78</x:v>
      </x:c>
      <x:c r="CO336" s="27">
        <x:v>0</x:v>
      </x:c>
      <x:c r="CP336" s="27">
        <x:v>0</x:v>
      </x:c>
      <x:c r="CQ336" s="26">
        <x:f t="shared" si="324"/>
        <x:v>1.6479724</x:v>
      </x:c>
      <x:c r="CR336" s="26">
        <x:f t="shared" si="325"/>
        <x:v>511.60292000000004</x:v>
      </x:c>
      <x:c r="CS336" s="26">
        <x:f t="shared" si="327"/>
        <x:v>279.68200000000002</x:v>
      </x:c>
      <x:c r="CT336" s="26">
        <x:f t="shared" si="285"/>
        <x:v>6.4542000000000002</x:v>
      </x:c>
      <x:c r="CU336" s="26">
        <x:f t="shared" si="286"/>
        <x:v>6.4542000000000002</x:v>
      </x:c>
      <x:c r="CV336" s="26">
        <x:f t="shared" si="287"/>
        <x:v>0</x:v>
      </x:c>
      <x:c r="CW336" s="26">
        <x:f t="shared" si="288"/>
        <x:v>0</x:v>
      </x:c>
      <x:c r="CX336" s="26">
        <x:f t="shared" si="328"/>
        <x:v>4.3028000000000004</x:v>
      </x:c>
      <x:c r="CY336" s="26">
        <x:f t="shared" si="329"/>
        <x:v>0</x:v>
      </x:c>
    </x:row>
    <x:row r="337" s="8" customFormat="1">
      <x:c r="A337" s="31">
        <x:v>2022</x:v>
      </x:c>
      <x:c r="B337" s="8" t="s">
        <x:v>718</x:v>
      </x:c>
      <x:c r="C337" s="8" t="s">
        <x:v>719</x:v>
      </x:c>
      <x:c r="D337" s="8" t="s">
        <x:v>720</x:v>
      </x:c>
      <x:c r="E337" s="31">
        <x:v>441962</x:v>
      </x:c>
      <x:c r="F337" s="8" t="s">
        <x:v>717</x:v>
      </x:c>
      <x:c r="G337" s="8" t="s">
        <x:v>697</x:v>
      </x:c>
      <x:c r="H337" s="31">
        <x:v>2419</x:v>
      </x:c>
      <x:c r="I337" s="8" t="s">
        <x:v>721</x:v>
      </x:c>
      <x:c r="J337" s="8" t="s">
        <x:v>78</x:v>
      </x:c>
      <x:c r="K337" s="8" t="s">
        <x:v>72</x:v>
      </x:c>
      <x:c r="L337" s="31">
        <x:v>4.0000000000000001E-3</x:v>
      </x:c>
      <x:c r="M337" s="8" t="s">
        <x:v>136</x:v>
      </x:c>
      <x:c r="N337" s="31">
        <x:v>2</x:v>
      </x:c>
      <x:c r="O337" s="8" t="s">
        <x:v>88</x:v>
      </x:c>
      <x:c r="P337" s="31">
        <x:v>15</x:v>
      </x:c>
      <x:c r="Q337" s="32" t="s">
        <x:v>96</x:v>
      </x:c>
      <x:c r="R337" s="31">
        <x:v>28</x:v>
      </x:c>
      <x:c r="S337" s="8" t="s">
        <x:v>76</x:v>
      </x:c>
      <x:c r="T337" s="32">
        <x:f t="shared" si="330"/>
        <x:v>28</x:v>
      </x:c>
      <x:c r="U337" s="32">
        <x:v>3.83</x:v>
      </x:c>
      <x:c r="V337" s="8" t="s">
        <x:v>77</x:v>
      </x:c>
      <x:c r="W337" s="36">
        <x:v>0</x:v>
      </x:c>
      <x:c r="X337" s="33">
        <x:f t="shared" si="332"/>
        <x:v>2.1448000000000001E-3</x:v>
      </x:c>
      <x:c r="Y337" s="21">
        <x:f t="shared" si="333"/>
        <x:v>1.1479999999999997</x:v>
      </x:c>
      <x:c r="Z337" s="21">
        <x:f t="shared" si="334"/>
        <x:v>0.36399999999999999</x:v>
      </x:c>
      <x:c r="AA337" s="21">
        <x:f t="shared" si="335"/>
        <x:v>8.3999999999999995E-3</x:v>
      </x:c>
      <x:c r="AB337" s="21">
        <x:f t="shared" si="336"/>
        <x:v>8.3999999999999995E-3</x:v>
      </x:c>
      <x:c r="AC337" s="33"/>
      <x:c r="AD337" s="33"/>
      <x:c r="AE337" s="21">
        <x:f t="shared" si="337"/>
        <x:v>5.6000000000000008E-3</x:v>
      </x:c>
      <x:c r="AF337" s="33"/>
      <x:c r="AG337" s="32" t="s">
        <x:v>78</x:v>
      </x:c>
      <x:c r="AH337" s="8" t="s">
        <x:v>78</x:v>
      </x:c>
      <x:c r="AI337" s="8" t="s">
        <x:v>78</x:v>
      </x:c>
      <x:c r="AJ337" s="32"/>
      <x:c r="AK337" s="32" t="s">
        <x:v>78</x:v>
      </x:c>
      <x:c r="AL337" s="8" t="s">
        <x:v>78</x:v>
      </x:c>
      <x:c r="AM337" s="32" t="s">
        <x:v>78</x:v>
      </x:c>
      <x:c r="AN337" s="33"/>
      <x:c r="AO337" s="33"/>
      <x:c r="AP337" s="33"/>
      <x:c r="AQ337" s="33"/>
      <x:c r="AR337" s="33"/>
      <x:c r="AS337" s="33"/>
      <x:c r="AT337" s="33"/>
      <x:c r="AU337" s="33"/>
      <x:c r="AV337" s="33"/>
      <x:c r="AW337" s="8" t="s">
        <x:v>78</x:v>
      </x:c>
      <x:c r="AX337" s="32"/>
      <x:c r="AY337" s="33"/>
      <x:c r="AZ337" s="33"/>
      <x:c r="BA337" s="33"/>
      <x:c r="BB337" s="33"/>
      <x:c r="BC337" s="33"/>
      <x:c r="BD337" s="33"/>
      <x:c r="BE337" s="33"/>
      <x:c r="BF337" s="33"/>
      <x:c r="BG337" s="33"/>
      <x:c r="BH337" s="8" t="s">
        <x:v>83</x:v>
      </x:c>
      <x:c r="BI337" s="31">
        <x:v>114</x:v>
      </x:c>
      <x:c r="BJ337" s="31">
        <x:v>7</x:v>
      </x:c>
      <x:c r="BK337" s="31">
        <x:v>0.3</x:v>
      </x:c>
      <x:c r="BL337" s="31">
        <x:v>22</x:v>
      </x:c>
      <x:c r="BM337" s="31">
        <x:v>55</x:v>
      </x:c>
      <x:c r="BN337" s="31">
        <x:v>34.36</x:v>
      </x:c>
      <x:c r="BO337" s="22">
        <x:v>114.11675</x:v>
      </x:c>
      <x:c r="BP337" s="22">
        <x:v>22.926211111111101</x:v>
      </x:c>
      <x:c r="BQ337" s="31">
        <x:v>15</x:v>
      </x:c>
      <x:c r="BR337" s="31">
        <x:v>3600</x:v>
      </x:c>
      <x:c r="BS337" s="31">
        <x:v>0</x:v>
      </x:c>
      <x:c r="BT337" s="31">
        <x:v>0</x:v>
      </x:c>
      <x:c r="BU337" s="31">
        <x:v>2.4E-2</x:v>
      </x:c>
      <x:c r="BV337" s="31">
        <x:v>2.4E-2</x:v>
      </x:c>
      <x:c r="BW337" s="31">
        <x:v>3.0000000000000001E-3</x:v>
      </x:c>
      <x:c r="BX337" s="31">
        <x:v>3.0000000000000001E-3</x:v>
      </x:c>
      <x:c r="BY337" s="31">
        <x:v>47.04</x:v>
      </x:c>
      <x:c r="BZ337" s="31">
        <x:v>47.04</x:v>
      </x:c>
      <x:c r="CA337" s="23">
        <x:f t="shared" si="315"/>
        <x:v>2.1448000000000001E-3</x:v>
      </x:c>
      <x:c r="CB337" s="23">
        <x:f t="shared" si="316"/>
        <x:v>1.1479999999999997</x:v>
      </x:c>
      <x:c r="CC337" s="23">
        <x:f t="shared" si="317"/>
        <x:v>0.36399999999999999</x:v>
      </x:c>
      <x:c r="CD337" s="23">
        <x:f t="shared" si="318"/>
        <x:v>8.3999999999999995E-3</x:v>
      </x:c>
      <x:c r="CE337" s="23">
        <x:f t="shared" si="319"/>
        <x:v>8.3999999999999995E-3</x:v>
      </x:c>
      <x:c r="CF337" s="23">
        <x:f t="shared" si="320"/>
        <x:v>0</x:v>
      </x:c>
      <x:c r="CG337" s="23">
        <x:f t="shared" si="321"/>
        <x:v>0</x:v>
      </x:c>
      <x:c r="CH337" s="23">
        <x:f t="shared" si="322"/>
        <x:v>5.6000000000000008E-3</x:v>
      </x:c>
      <x:c r="CI337" s="23">
        <x:f t="shared" si="323"/>
        <x:v>0</x:v>
      </x:c>
      <x:c r="CJ337" s="25" t="s">
        <x:v>78</x:v>
      </x:c>
      <x:c r="CK337" s="25">
        <x:v>0</x:v>
      </x:c>
      <x:c r="CL337" s="34" t="s">
        <x:v>78</x:v>
      </x:c>
      <x:c r="CM337" s="26">
        <x:v>42</x:v>
      </x:c>
      <x:c r="CN337" s="35" t="s">
        <x:v>78</x:v>
      </x:c>
      <x:c r="CO337" s="27">
        <x:v>0</x:v>
      </x:c>
      <x:c r="CP337" s="27">
        <x:v>0</x:v>
      </x:c>
      <x:c r="CQ337" s="26">
        <x:f t="shared" si="324"/>
        <x:v>2.1448000000000001E-3</x:v>
      </x:c>
      <x:c r="CR337" s="26">
        <x:f t="shared" si="325"/>
        <x:v>0.66583999999999988</x:v>
      </x:c>
      <x:c r="CS337" s="26">
        <x:f t="shared" si="327"/>
        <x:v>0.36399999999999999</x:v>
      </x:c>
      <x:c r="CT337" s="26">
        <x:f t="shared" si="285"/>
        <x:v>8.3999999999999995E-3</x:v>
      </x:c>
      <x:c r="CU337" s="26">
        <x:f t="shared" si="286"/>
        <x:v>8.3999999999999995E-3</x:v>
      </x:c>
      <x:c r="CV337" s="26">
        <x:f t="shared" si="287"/>
        <x:v>0</x:v>
      </x:c>
      <x:c r="CW337" s="26">
        <x:f t="shared" si="288"/>
        <x:v>0</x:v>
      </x:c>
      <x:c r="CX337" s="26">
        <x:f t="shared" si="328"/>
        <x:v>5.6000000000000008E-3</x:v>
      </x:c>
      <x:c r="CY337" s="26">
        <x:f t="shared" si="329"/>
        <x:v>0</x:v>
      </x:c>
    </x:row>
    <x:row r="338">
      <x:c r="A338" s="18">
        <x:v>2022</x:v>
      </x:c>
      <x:c r="B338" t="s">
        <x:v>722</x:v>
      </x:c>
      <x:c r="C338" t="s">
        <x:v>723</x:v>
      </x:c>
      <x:c r="D338" t="s">
        <x:v>724</x:v>
      </x:c>
      <x:c r="E338" s="18">
        <x:v>441963</x:v>
      </x:c>
      <x:c r="F338" t="s">
        <x:v>725</x:v>
      </x:c>
      <x:c r="G338" s="8" t="s">
        <x:v>697</x:v>
      </x:c>
      <x:c r="H338" s="18">
        <x:v>3399</x:v>
      </x:c>
      <x:c r="I338" t="s">
        <x:v>726</x:v>
      </x:c>
      <x:c r="J338" t="s">
        <x:v>78</x:v>
      </x:c>
      <x:c r="K338" t="s">
        <x:v>306</x:v>
      </x:c>
      <x:c r="L338" s="18">
        <x:v>3.4000000000000002E-2</x:v>
      </x:c>
      <x:c r="M338" t="s">
        <x:v>136</x:v>
      </x:c>
      <x:c r="N338" s="18">
        <x:v>3.4000000000000002E-2</x:v>
      </x:c>
      <x:c r="O338" t="s">
        <x:v>88</x:v>
      </x:c>
      <x:c r="P338" s="18">
        <x:v>21</x:v>
      </x:c>
      <x:c r="Q338" s="19" t="s">
        <x:v>176</x:v>
      </x:c>
      <x:c r="R338" s="18">
        <x:v>18</x:v>
      </x:c>
      <x:c r="S338" t="s">
        <x:v>112</x:v>
      </x:c>
      <x:c r="T338" s="19">
        <x:f t="shared" si="330"/>
        <x:v>18</x:v>
      </x:c>
      <x:c r="U338" s="20">
        <x:v>0.1</x:v>
      </x:c>
      <x:c r="V338" t="s">
        <x:v>113</x:v>
      </x:c>
      <x:c r="W338" s="20">
        <x:v>0</x:v>
      </x:c>
      <x:c r="X338" s="21" t="n">
        <x:f>2*U338/100*T338</x:f>
        <x:v>0.036000000000000004</x:v>
      </x:c>
      <x:c r="Y338" s="21" t="n">
        <x:f>7.4*T338/1000</x:f>
        <x:v>0.1332</x:v>
      </x:c>
      <x:c r="Z338" s="21" t="n">
        <x:f>0.6*T338/1000</x:f>
        <x:v>0.010799999999999999</x:v>
      </x:c>
      <x:c r="AA338" s="21" t="n">
        <x:f>0.5*T338/1000</x:f>
        <x:v>0.009</x:v>
      </x:c>
      <x:c r="AB338" s="21" t="n">
        <x:f>0.5*T338/1000</x:f>
        <x:v>0.009</x:v>
      </x:c>
      <x:c r="AC338" s="21" t="n">
        <x:f>0.01*T338/1000</x:f>
        <x:v>0.00017999999999999998</x:v>
      </x:c>
      <x:c r="AD338" s="21" t="n">
        <x:f>0.04*T338/1000</x:f>
        <x:v>0.0007199999999999999</x:v>
      </x:c>
      <x:c r="AE338" s="21" t="n">
        <x:f>0.13*T338/1000</x:f>
        <x:v>0.00234</x:v>
      </x:c>
      <x:c r="AF338" s="21"/>
      <x:c r="AG338" s="19" t="s">
        <x:v>78</x:v>
      </x:c>
      <x:c r="AH338" t="s">
        <x:v>78</x:v>
      </x:c>
      <x:c r="AI338" t="s">
        <x:v>78</x:v>
      </x:c>
      <x:c r="AJ338" s="19"/>
      <x:c r="AK338" s="19" t="s">
        <x:v>78</x:v>
      </x:c>
      <x:c r="AL338" t="s">
        <x:v>78</x:v>
      </x:c>
      <x:c r="AM338" s="19" t="s">
        <x:v>78</x:v>
      </x:c>
      <x:c r="AN338" s="21"/>
      <x:c r="AO338" s="21"/>
      <x:c r="AP338" s="21"/>
      <x:c r="AQ338" s="21"/>
      <x:c r="AR338" s="21"/>
      <x:c r="AS338" s="21"/>
      <x:c r="AT338" s="21"/>
      <x:c r="AU338" s="21"/>
      <x:c r="AV338" s="21"/>
      <x:c r="AW338" t="s">
        <x:v>78</x:v>
      </x:c>
      <x:c r="AX338" s="19"/>
      <x:c r="AY338" s="21"/>
      <x:c r="AZ338" s="21"/>
      <x:c r="BA338" s="21"/>
      <x:c r="BB338" s="21"/>
      <x:c r="BC338" s="21"/>
      <x:c r="BD338" s="21"/>
      <x:c r="BE338" s="21"/>
      <x:c r="BF338" s="21"/>
      <x:c r="BG338" s="21"/>
      <x:c r="BH338" t="s">
        <x:v>82</x:v>
      </x:c>
      <x:c r="BI338" s="18">
        <x:v>113</x:v>
      </x:c>
      <x:c r="BJ338" s="18">
        <x:v>55</x:v>
      </x:c>
      <x:c r="BK338" s="18">
        <x:v>13.99</x:v>
      </x:c>
      <x:c r="BL338" s="18">
        <x:v>22</x:v>
      </x:c>
      <x:c r="BM338" s="18">
        <x:v>56</x:v>
      </x:c>
      <x:c r="BN338" s="18">
        <x:v>18.09</x:v>
      </x:c>
      <x:c r="BO338" s="22">
        <x:v>113.920552777778</x:v>
      </x:c>
      <x:c r="BP338" s="22">
        <x:v>22.938358333333301</x:v>
      </x:c>
      <x:c r="BQ338" s="18">
        <x:v>15</x:v>
      </x:c>
      <x:c r="BR338" s="18">
        <x:v>1.48</x:v>
      </x:c>
      <x:c r="BS338" s="18">
        <x:v>7.5999999999999998E-2</x:v>
      </x:c>
      <x:c r="BT338" s="18">
        <x:v>1.0999999999999999E-2</x:v>
      </x:c>
      <x:c r="BU338" s="18">
        <x:v>6.0999999999999999E-2</x:v>
      </x:c>
      <x:c r="BV338" s="18">
        <x:v>1.7999999999999999E-2</x:v>
      </x:c>
      <x:c r="BW338" s="18">
        <x:v>5.0000000000000001E-3</x:v>
      </x:c>
      <x:c r="BX338" s="18">
        <x:v>5.0000000000000001E-3</x:v>
      </x:c>
      <x:c r="BY338" s="18">
        <x:v>1.962</x:v>
      </x:c>
      <x:c r="BZ338" s="18">
        <x:v>1.962</x:v>
      </x:c>
      <x:c r="CA338" s="23">
        <x:f t="shared" si="315"/>
        <x:v>3.6000000000000004E-2</x:v>
      </x:c>
      <x:c r="CB338" s="23">
        <x:f t="shared" si="316"/>
        <x:v>0.13320000000000001</x:v>
      </x:c>
      <x:c r="CC338" s="23">
        <x:f t="shared" si="317"/>
        <x:v>1.0799999999999999E-2</x:v>
      </x:c>
      <x:c r="CD338" s="23">
        <x:f t="shared" si="318"/>
        <x:v>8.9999999999999993E-3</x:v>
      </x:c>
      <x:c r="CE338" s="23">
        <x:f t="shared" si="319"/>
        <x:v>8.9999999999999993E-3</x:v>
      </x:c>
      <x:c r="CF338" s="23">
        <x:f t="shared" si="320"/>
        <x:v>1.7999999999999998E-4</x:v>
      </x:c>
      <x:c r="CG338" s="23">
        <x:f t="shared" si="321"/>
        <x:v>7.1999999999999994E-4</x:v>
      </x:c>
      <x:c r="CH338" s="23">
        <x:f t="shared" si="322"/>
        <x:v>2.3400000000000001E-3</x:v>
      </x:c>
      <x:c r="CI338" s="23">
        <x:f t="shared" si="323"/>
        <x:v>0</x:v>
      </x:c>
      <x:c r="CJ338" s="24" t="s">
        <x:v>78</x:v>
      </x:c>
      <x:c r="CK338" s="25">
        <x:v>0</x:v>
      </x:c>
      <x:c r="CL338" s="26" t="s">
        <x:v>78</x:v>
      </x:c>
      <x:c r="CM338" s="26" t="n">
        <x:f>(1-BV338/BU338)*100</x:f>
        <x:v>70.49180327868852</x:v>
      </x:c>
      <x:c r="CN338" s="27" t="s">
        <x:v>78</x:v>
      </x:c>
      <x:c r="CO338" s="27">
        <x:v>0</x:v>
      </x:c>
      <x:c r="CP338" s="27">
        <x:v>0</x:v>
      </x:c>
      <x:c r="CQ338" s="26">
        <x:f t="shared" si="324"/>
        <x:v>3.6000000000000004E-2</x:v>
      </x:c>
      <x:c r="CR338" s="26">
        <x:f t="shared" si="325"/>
        <x:v>3.9304918032786886E-2</x:v>
      </x:c>
      <x:c r="CS338" s="26">
        <x:f t="shared" si="327"/>
        <x:v>1.0799999999999999E-2</x:v>
      </x:c>
      <x:c r="CT338" s="26">
        <x:f t="shared" si="285"/>
        <x:v>8.9999999999999993E-3</x:v>
      </x:c>
      <x:c r="CU338" s="26">
        <x:f t="shared" si="286"/>
        <x:v>8.9999999999999993E-3</x:v>
      </x:c>
      <x:c r="CV338" s="26">
        <x:f t="shared" si="287"/>
        <x:v>1.7999999999999998E-4</x:v>
      </x:c>
      <x:c r="CW338" s="26">
        <x:f t="shared" si="288"/>
        <x:v>7.1999999999999994E-4</x:v>
      </x:c>
      <x:c r="CX338" s="26">
        <x:f t="shared" si="328"/>
        <x:v>2.3400000000000001E-3</x:v>
      </x:c>
      <x:c r="CY338" s="26">
        <x:f t="shared" si="329"/>
        <x:v>0</x:v>
      </x:c>
    </x:row>
    <x:row r="339" s="8" customFormat="1">
      <x:c r="A339" s="31">
        <x:v>2022</x:v>
      </x:c>
      <x:c r="B339" s="8" t="s">
        <x:v>727</x:v>
      </x:c>
      <x:c r="C339" s="8" t="s">
        <x:v>78</x:v>
      </x:c>
      <x:c r="D339" s="8" t="s">
        <x:v>728</x:v>
      </x:c>
      <x:c r="E339" s="31">
        <x:v>441963</x:v>
      </x:c>
      <x:c r="F339" s="8" t="s">
        <x:v>725</x:v>
      </x:c>
      <x:c r="G339" s="8" t="s">
        <x:v>697</x:v>
      </x:c>
      <x:c r="H339" s="31">
        <x:v>1722</x:v>
      </x:c>
      <x:c r="I339" s="8" t="s">
        <x:v>729</x:v>
      </x:c>
      <x:c r="J339" s="8" t="s">
        <x:v>435</x:v>
      </x:c>
      <x:c r="K339" s="8" t="s">
        <x:v>72</x:v>
      </x:c>
      <x:c r="L339" s="31">
        <x:v>0.5</x:v>
      </x:c>
      <x:c r="M339" s="8" t="s">
        <x:v>73</x:v>
      </x:c>
      <x:c r="N339" s="31">
        <x:v>0.5</x:v>
      </x:c>
      <x:c r="O339" s="8" t="s">
        <x:v>74</x:v>
      </x:c>
      <x:c r="P339" s="31">
        <x:v>15</x:v>
      </x:c>
      <x:c r="Q339" s="32" t="s">
        <x:v>96</x:v>
      </x:c>
      <x:c r="R339" s="31">
        <x:v>6</x:v>
      </x:c>
      <x:c r="S339" s="8" t="s">
        <x:v>76</x:v>
      </x:c>
      <x:c r="T339" s="32">
        <x:f t="shared" si="330"/>
        <x:v>6</x:v>
      </x:c>
      <x:c r="U339" s="36">
        <x:v>0.33600000000000002</x:v>
      </x:c>
      <x:c r="V339" s="8" t="s">
        <x:v>77</x:v>
      </x:c>
      <x:c r="W339" s="32" t="s">
        <x:v>78</x:v>
      </x:c>
      <x:c r="X339" s="33" t="n">
        <x:f>2*U339*T339*10000/1000000000</x:f>
        <x:v>0.00004032</x:v>
      </x:c>
      <x:c r="Y339" s="21" t="n">
        <x:f>4.1*T339*10000/1000000</x:f>
        <x:v>0.24599999999999997</x:v>
      </x:c>
      <x:c r="Z339" s="21" t="n">
        <x:f>1.3*T339*10000/1000000</x:f>
        <x:v>0.078</x:v>
      </x:c>
      <x:c r="AA339" s="21" t="n">
        <x:f>0.03*T339*10000/1000000</x:f>
        <x:v>0.0018</x:v>
      </x:c>
      <x:c r="AB339" s="21" t="n">
        <x:f>0.03*T339*10000/1000000</x:f>
        <x:v>0.0018</x:v>
      </x:c>
      <x:c r="AC339" s="33"/>
      <x:c r="AD339" s="33"/>
      <x:c r="AE339" s="21" t="n">
        <x:f>0.02*T339*10000/1000000</x:f>
        <x:v>0.0012</x:v>
      </x:c>
      <x:c r="AF339" s="33"/>
      <x:c r="AG339" s="32" t="s">
        <x:v>78</x:v>
      </x:c>
      <x:c r="AH339" s="8" t="s">
        <x:v>78</x:v>
      </x:c>
      <x:c r="AI339" s="8" t="s">
        <x:v>78</x:v>
      </x:c>
      <x:c r="AJ339" s="32"/>
      <x:c r="AK339" s="32" t="s">
        <x:v>78</x:v>
      </x:c>
      <x:c r="AL339" s="8" t="s">
        <x:v>78</x:v>
      </x:c>
      <x:c r="AM339" s="32" t="s">
        <x:v>78</x:v>
      </x:c>
      <x:c r="AN339" s="33"/>
      <x:c r="AO339" s="33"/>
      <x:c r="AP339" s="33"/>
      <x:c r="AQ339" s="33"/>
      <x:c r="AR339" s="33"/>
      <x:c r="AS339" s="33"/>
      <x:c r="AT339" s="33"/>
      <x:c r="AU339" s="33"/>
      <x:c r="AV339" s="33"/>
      <x:c r="AW339" s="8" t="s">
        <x:v>78</x:v>
      </x:c>
      <x:c r="AX339" s="32"/>
      <x:c r="AY339" s="33"/>
      <x:c r="AZ339" s="33"/>
      <x:c r="BA339" s="33"/>
      <x:c r="BB339" s="33"/>
      <x:c r="BC339" s="33"/>
      <x:c r="BD339" s="33"/>
      <x:c r="BE339" s="33"/>
      <x:c r="BF339" s="33"/>
      <x:c r="BG339" s="33"/>
      <x:c r="BH339" s="8" t="s">
        <x:v>81</x:v>
      </x:c>
      <x:c r="BI339" s="31">
        <x:v>22</x:v>
      </x:c>
      <x:c r="BJ339" s="31">
        <x:v>58</x:v>
      </x:c>
      <x:c r="BK339" s="31">
        <x:v>11.25</x:v>
      </x:c>
      <x:c r="BL339" s="31">
        <x:v>11</x:v>
      </x:c>
      <x:c r="BM339" s="31">
        <x:v>55</x:v>
      </x:c>
      <x:c r="BN339" s="31">
        <x:v>18.45</x:v>
      </x:c>
      <x:c r="BO339" s="22">
        <x:v>113.928358</x:v>
      </x:c>
      <x:c r="BP339" s="22">
        <x:v>22.975487000000001</x:v>
      </x:c>
      <x:c r="BQ339" s="31">
        <x:v>15</x:v>
      </x:c>
      <x:c r="BR339" s="31">
        <x:v>4.3999999999999997E-2</x:v>
      </x:c>
      <x:c r="BS339" s="8" t="s">
        <x:v>78</x:v>
      </x:c>
      <x:c r="BT339" s="8" t="s">
        <x:v>78</x:v>
      </x:c>
      <x:c r="BU339" s="8" t="s">
        <x:v>78</x:v>
      </x:c>
      <x:c r="BV339" s="8" t="s">
        <x:v>78</x:v>
      </x:c>
      <x:c r="BW339" s="8" t="s">
        <x:v>78</x:v>
      </x:c>
      <x:c r="BX339" s="8" t="s">
        <x:v>78</x:v>
      </x:c>
      <x:c r="BY339" s="31">
        <x:v>10.08</x:v>
      </x:c>
      <x:c r="BZ339" s="31">
        <x:v>10.08</x:v>
      </x:c>
      <x:c r="CA339" s="23">
        <x:f t="shared" si="315"/>
        <x:v>4.032E-5</x:v>
      </x:c>
      <x:c r="CB339" s="23">
        <x:f t="shared" si="316"/>
        <x:v>0.24599999999999997</x:v>
      </x:c>
      <x:c r="CC339" s="23">
        <x:f t="shared" si="317"/>
        <x:v>7.8E-2</x:v>
      </x:c>
      <x:c r="CD339" s="23">
        <x:f t="shared" si="318"/>
        <x:v>1.8E-3</x:v>
      </x:c>
      <x:c r="CE339" s="23">
        <x:f t="shared" si="319"/>
        <x:v>1.8E-3</x:v>
      </x:c>
      <x:c r="CF339" s="23">
        <x:f t="shared" si="320"/>
        <x:v>0</x:v>
      </x:c>
      <x:c r="CG339" s="23">
        <x:f t="shared" si="321"/>
        <x:v>0</x:v>
      </x:c>
      <x:c r="CH339" s="23">
        <x:f t="shared" si="322"/>
        <x:v>1.1999999999999999E-3</x:v>
      </x:c>
      <x:c r="CI339" s="23">
        <x:f t="shared" si="323"/>
        <x:v>0</x:v>
      </x:c>
      <x:c r="CJ339" s="25" t="s">
        <x:v>78</x:v>
      </x:c>
      <x:c r="CK339" s="25">
        <x:v>20</x:v>
      </x:c>
      <x:c r="CL339" s="34" t="s">
        <x:v>78</x:v>
      </x:c>
      <x:c r="CM339" s="26">
        <x:v>0</x:v>
      </x:c>
      <x:c r="CN339" s="30" t="s">
        <x:v>208</x:v>
      </x:c>
      <x:c r="CO339" s="27">
        <x:v>98.7</x:v>
      </x:c>
      <x:c r="CP339" s="27">
        <x:v>97</x:v>
      </x:c>
      <x:c r="CQ339" s="26">
        <x:f t="shared" si="324"/>
        <x:v>3.2256000000000004E-5</x:v>
      </x:c>
      <x:c r="CR339" s="26">
        <x:f t="shared" si="325"/>
        <x:v>0.24599999999999997</x:v>
      </x:c>
      <x:c r="CS339" s="26">
        <x:f t="shared" si="327"/>
        <x:v>7.8E-2</x:v>
      </x:c>
      <x:c r="CT339" s="26">
        <x:f t="shared" si="285"/>
        <x:v>2.340000000000002E-5</x:v>
      </x:c>
      <x:c r="CU339" s="26">
        <x:f t="shared" si="286"/>
        <x:v>5.4000000000000045E-5</x:v>
      </x:c>
      <x:c r="CV339" s="26">
        <x:f t="shared" si="287"/>
        <x:v>0</x:v>
      </x:c>
      <x:c r="CW339" s="26">
        <x:f t="shared" si="288"/>
        <x:v>0</x:v>
      </x:c>
      <x:c r="CX339" s="26">
        <x:f t="shared" si="328"/>
        <x:v>1.1999999999999999E-3</x:v>
      </x:c>
      <x:c r="CY339" s="26">
        <x:f t="shared" si="329"/>
        <x:v>0</x:v>
      </x:c>
    </x:row>
    <x:row r="340">
      <x:c r="A340" s="18">
        <x:v>2022</x:v>
      </x:c>
      <x:c r="B340" t="s">
        <x:v>730</x:v>
      </x:c>
      <x:c r="C340" t="s">
        <x:v>78</x:v>
      </x:c>
      <x:c r="D340" t="s">
        <x:v>731</x:v>
      </x:c>
      <x:c r="E340" s="18">
        <x:v>441963</x:v>
      </x:c>
      <x:c r="F340" t="s">
        <x:v>725</x:v>
      </x:c>
      <x:c r="G340" s="8" t="s">
        <x:v>697</x:v>
      </x:c>
      <x:c r="H340" s="18">
        <x:v>1830</x:v>
      </x:c>
      <x:c r="I340" t="s">
        <x:v>732</x:v>
      </x:c>
      <x:c r="J340" t="s">
        <x:v>78</x:v>
      </x:c>
      <x:c r="K340" t="s">
        <x:v>72</x:v>
      </x:c>
      <x:c r="L340" s="18">
        <x:v>0.5</x:v>
      </x:c>
      <x:c r="M340" t="s">
        <x:v>73</x:v>
      </x:c>
      <x:c r="N340" s="18">
        <x:v>0.5</x:v>
      </x:c>
      <x:c r="O340" t="s">
        <x:v>74</x:v>
      </x:c>
      <x:c r="P340" s="18">
        <x:v>16</x:v>
      </x:c>
      <x:c r="Q340" s="19" t="s">
        <x:v>415</x:v>
      </x:c>
      <x:c r="R340" s="18">
        <x:v>6</x:v>
      </x:c>
      <x:c r="S340" t="s">
        <x:v>112</x:v>
      </x:c>
      <x:c r="T340" s="19">
        <x:f t="shared" si="330"/>
        <x:v>6</x:v>
      </x:c>
      <x:c r="U340" s="20">
        <x:v>0.153</x:v>
      </x:c>
      <x:c r="V340" t="s">
        <x:v>113</x:v>
      </x:c>
      <x:c r="W340" s="19" t="s">
        <x:v>78</x:v>
      </x:c>
      <x:c r="X340" s="21" t="n">
        <x:f>2*U340/100*T340</x:f>
        <x:v>0.018359999999999998</x:v>
      </x:c>
      <x:c r="Y340" s="21" t="n">
        <x:f>3.74*T340/1000</x:f>
        <x:v>0.02244</x:v>
      </x:c>
      <x:c r="Z340" s="21" t="n">
        <x:f>0.36*T340/1000</x:f>
        <x:v>0.00216</x:v>
      </x:c>
      <x:c r="AA340" s="21" t="n">
        <x:f>0.17*T340/1000</x:f>
        <x:v>0.00102</x:v>
      </x:c>
      <x:c r="AB340" s="21" t="n">
        <x:f>0.17*T340/1000</x:f>
        <x:v>0.00102</x:v>
      </x:c>
      <x:c r="AC340" s="21" t="n">
        <x:f>0.02*T340/1000</x:f>
        <x:v>0.00011999999999999999</x:v>
      </x:c>
      <x:c r="AD340" s="21" t="n">
        <x:f>0.09*T340/1000</x:f>
        <x:v>0.00054</x:v>
      </x:c>
      <x:c r="AE340" s="21" t="n">
        <x:f>33*T340/1000</x:f>
        <x:v>0.198</x:v>
      </x:c>
      <x:c r="AF340" s="21"/>
      <x:c r="AG340" s="19" t="s">
        <x:v>78</x:v>
      </x:c>
      <x:c r="AH340" t="s">
        <x:v>78</x:v>
      </x:c>
      <x:c r="AI340" t="s">
        <x:v>78</x:v>
      </x:c>
      <x:c r="AJ340" s="19"/>
      <x:c r="AK340" s="19" t="s">
        <x:v>78</x:v>
      </x:c>
      <x:c r="AL340" t="s">
        <x:v>78</x:v>
      </x:c>
      <x:c r="AM340" s="19" t="s">
        <x:v>78</x:v>
      </x:c>
      <x:c r="AN340" s="21"/>
      <x:c r="AO340" s="21"/>
      <x:c r="AP340" s="21"/>
      <x:c r="AQ340" s="21"/>
      <x:c r="AR340" s="21"/>
      <x:c r="AS340" s="21"/>
      <x:c r="AT340" s="21"/>
      <x:c r="AU340" s="21"/>
      <x:c r="AV340" s="21"/>
      <x:c r="AW340" t="s">
        <x:v>78</x:v>
      </x:c>
      <x:c r="AX340" s="19"/>
      <x:c r="AY340" s="21"/>
      <x:c r="AZ340" s="21"/>
      <x:c r="BA340" s="21"/>
      <x:c r="BB340" s="21"/>
      <x:c r="BC340" s="21"/>
      <x:c r="BD340" s="21"/>
      <x:c r="BE340" s="21"/>
      <x:c r="BF340" s="21"/>
      <x:c r="BG340" s="21"/>
      <x:c r="BH340" t="s">
        <x:v>81</x:v>
      </x:c>
      <x:c r="BI340" s="18">
        <x:v>22</x:v>
      </x:c>
      <x:c r="BJ340" s="18">
        <x:v>54</x:v>
      </x:c>
      <x:c r="BK340" s="18">
        <x:v>41.95</x:v>
      </x:c>
      <x:c r="BL340" s="18">
        <x:v>11</x:v>
      </x:c>
      <x:c r="BM340" s="18">
        <x:v>57</x:v>
      </x:c>
      <x:c r="BN340" s="18">
        <x:v>12.27</x:v>
      </x:c>
      <x:c r="BO340" s="22">
        <x:v>113.927302</x:v>
      </x:c>
      <x:c r="BP340" s="22">
        <x:v>22.957125999999999</x:v>
      </x:c>
      <x:c r="BQ340" s="18">
        <x:v>5</x:v>
      </x:c>
      <x:c r="BR340" t="s">
        <x:v>78</x:v>
      </x:c>
      <x:c r="BS340" t="s">
        <x:v>78</x:v>
      </x:c>
      <x:c r="BT340" t="s">
        <x:v>78</x:v>
      </x:c>
      <x:c r="BU340" t="s">
        <x:v>78</x:v>
      </x:c>
      <x:c r="BV340" t="s">
        <x:v>78</x:v>
      </x:c>
      <x:c r="BW340" t="s">
        <x:v>78</x:v>
      </x:c>
      <x:c r="BX340" t="s">
        <x:v>78</x:v>
      </x:c>
      <x:c r="BY340" s="18">
        <x:v>1.44</x:v>
      </x:c>
      <x:c r="BZ340" s="18">
        <x:v>1.44</x:v>
      </x:c>
      <x:c r="CA340" s="23">
        <x:f t="shared" si="315"/>
        <x:v>1.8359999999999998E-2</x:v>
      </x:c>
      <x:c r="CB340" s="23">
        <x:f t="shared" si="316"/>
        <x:v>2.2440000000000002E-2</x:v>
      </x:c>
      <x:c r="CC340" s="23">
        <x:f t="shared" si="317"/>
        <x:v>2.16E-3</x:v>
      </x:c>
      <x:c r="CD340" s="23">
        <x:f t="shared" si="318"/>
        <x:v>1.0200000000000001E-3</x:v>
      </x:c>
      <x:c r="CE340" s="23">
        <x:f t="shared" si="319"/>
        <x:v>1.0200000000000001E-3</x:v>
      </x:c>
      <x:c r="CF340" s="23">
        <x:f t="shared" si="320"/>
        <x:v>1.1999999999999999E-4</x:v>
      </x:c>
      <x:c r="CG340" s="23">
        <x:f t="shared" si="321"/>
        <x:v>5.4000000000000001E-4</x:v>
      </x:c>
      <x:c r="CH340" s="23">
        <x:f t="shared" si="322"/>
        <x:v>0.19800000000000001</x:v>
      </x:c>
      <x:c r="CI340" s="23">
        <x:f t="shared" si="323"/>
        <x:v>0</x:v>
      </x:c>
      <x:c r="CJ340" s="24" t="s">
        <x:v>78</x:v>
      </x:c>
      <x:c r="CK340" s="25">
        <x:v>20</x:v>
      </x:c>
      <x:c r="CL340" s="26" t="s">
        <x:v>78</x:v>
      </x:c>
      <x:c r="CM340" s="26">
        <x:v>0</x:v>
      </x:c>
      <x:c r="CN340" s="30" t="s">
        <x:v>208</x:v>
      </x:c>
      <x:c r="CO340" s="27">
        <x:v>98.7</x:v>
      </x:c>
      <x:c r="CP340" s="27">
        <x:v>97</x:v>
      </x:c>
      <x:c r="CQ340" s="26">
        <x:f t="shared" si="324"/>
        <x:v>1.4688E-2</x:v>
      </x:c>
      <x:c r="CR340" s="26">
        <x:f t="shared" si="325"/>
        <x:v>2.2440000000000002E-2</x:v>
      </x:c>
      <x:c r="CS340" s="26">
        <x:f t="shared" si="327"/>
        <x:v>2.16E-3</x:v>
      </x:c>
      <x:c r="CT340" s="26">
        <x:f t="shared" si="285"/>
        <x:v>1.3260000000000012E-5</x:v>
      </x:c>
      <x:c r="CU340" s="26">
        <x:f t="shared" si="286"/>
        <x:v>3.0600000000000032E-5</x:v>
      </x:c>
      <x:c r="CV340" s="26">
        <x:f t="shared" si="287"/>
        <x:v>3.6000000000000028E-6</x:v>
      </x:c>
      <x:c r="CW340" s="26">
        <x:f t="shared" si="288"/>
        <x:v>1.6200000000000014E-5</x:v>
      </x:c>
      <x:c r="CX340" s="26">
        <x:f t="shared" si="328"/>
        <x:v>0.19800000000000001</x:v>
      </x:c>
      <x:c r="CY340" s="26">
        <x:f t="shared" si="329"/>
        <x:v>0</x:v>
      </x:c>
    </x:row>
    <x:row r="341" s="8" customFormat="1">
      <x:c r="A341" s="31">
        <x:v>2022</x:v>
      </x:c>
      <x:c r="B341" s="8" t="s">
        <x:v>733</x:v>
      </x:c>
      <x:c r="C341" s="8" t="s">
        <x:v>734</x:v>
      </x:c>
      <x:c r="D341" s="8" t="s">
        <x:v>735</x:v>
      </x:c>
      <x:c r="E341" s="31">
        <x:v>441971</x:v>
      </x:c>
      <x:c r="F341" s="8" t="s">
        <x:v>736</x:v>
      </x:c>
      <x:c r="G341" s="8" t="s">
        <x:v>697</x:v>
      </x:c>
      <x:c r="H341" s="31">
        <x:v>4411</x:v>
      </x:c>
      <x:c r="I341" s="8" t="s">
        <x:v>102</x:v>
      </x:c>
      <x:c r="J341" s="8" t="s">
        <x:v>78</x:v>
      </x:c>
      <x:c r="K341" s="8" t="s">
        <x:v>80</x:v>
      </x:c>
      <x:c r="L341" s="31">
        <x:v>18</x:v>
      </x:c>
      <x:c r="M341" s="8" t="s">
        <x:v>78</x:v>
      </x:c>
      <x:c r="N341" s="31">
        <x:v>176</x:v>
      </x:c>
      <x:c r="O341" s="8" t="s">
        <x:v>88</x:v>
      </x:c>
      <x:c r="P341" s="31">
        <x:v>15</x:v>
      </x:c>
      <x:c r="Q341" s="32" t="s">
        <x:v>96</x:v>
      </x:c>
      <x:c r="R341" s="31">
        <x:v>2348.9899999999998</x:v>
      </x:c>
      <x:c r="S341" s="8" t="s">
        <x:v>76</x:v>
      </x:c>
      <x:c r="T341" s="32">
        <x:f t="shared" si="330"/>
        <x:v>2348.9899999999998</x:v>
      </x:c>
      <x:c r="U341" s="32">
        <x:v>3.83</x:v>
      </x:c>
      <x:c r="V341" s="8" t="s">
        <x:v>77</x:v>
      </x:c>
      <x:c r="W341" s="36">
        <x:v>0</x:v>
      </x:c>
      <x:c r="X341" s="33" t="n">
        <x:f>2*U341*T341*10000/1000000000</x:f>
        <x:v>0.179932634</x:v>
      </x:c>
      <x:c r="Y341" s="21" t="n">
        <x:f>4.1*T341*10000/1000000</x:f>
        <x:v>96.30858999999998</x:v>
      </x:c>
      <x:c r="Z341" s="21" t="n">
        <x:f>1.3*T341*10000/1000000</x:f>
        <x:v>30.53687</x:v>
      </x:c>
      <x:c r="AA341" s="21" t="n">
        <x:f>0.03*T341*10000/1000000</x:f>
        <x:v>0.7046969999999999</x:v>
      </x:c>
      <x:c r="AB341" s="21" t="n">
        <x:f>0.03*T341*10000/1000000</x:f>
        <x:v>0.7046969999999999</x:v>
      </x:c>
      <x:c r="AC341" s="33"/>
      <x:c r="AD341" s="33"/>
      <x:c r="AE341" s="21" t="n">
        <x:f>0.02*T341*10000/1000000</x:f>
        <x:v>0.469798</x:v>
      </x:c>
      <x:c r="AF341" s="33"/>
      <x:c r="AG341" s="32" t="s">
        <x:v>78</x:v>
      </x:c>
      <x:c r="AH341" s="8" t="s">
        <x:v>78</x:v>
      </x:c>
      <x:c r="AI341" s="8" t="s">
        <x:v>78</x:v>
      </x:c>
      <x:c r="AJ341" s="32"/>
      <x:c r="AK341" s="32" t="s">
        <x:v>78</x:v>
      </x:c>
      <x:c r="AL341" s="8" t="s">
        <x:v>78</x:v>
      </x:c>
      <x:c r="AM341" s="32" t="s">
        <x:v>78</x:v>
      </x:c>
      <x:c r="AN341" s="33"/>
      <x:c r="AO341" s="33"/>
      <x:c r="AP341" s="33"/>
      <x:c r="AQ341" s="33"/>
      <x:c r="AR341" s="33"/>
      <x:c r="AS341" s="33"/>
      <x:c r="AT341" s="33"/>
      <x:c r="AU341" s="33"/>
      <x:c r="AV341" s="33"/>
      <x:c r="AW341" s="8" t="s">
        <x:v>78</x:v>
      </x:c>
      <x:c r="AX341" s="32"/>
      <x:c r="AY341" s="33"/>
      <x:c r="AZ341" s="33"/>
      <x:c r="BA341" s="33"/>
      <x:c r="BB341" s="33"/>
      <x:c r="BC341" s="33"/>
      <x:c r="BD341" s="33"/>
      <x:c r="BE341" s="33"/>
      <x:c r="BF341" s="33"/>
      <x:c r="BG341" s="33"/>
      <x:c r="BH341" s="8" t="s">
        <x:v>82</x:v>
      </x:c>
      <x:c r="BI341" s="31">
        <x:v>113</x:v>
      </x:c>
      <x:c r="BJ341" s="31">
        <x:v>37</x:v>
      </x:c>
      <x:c r="BK341" s="31">
        <x:v>32.520000000000003</x:v>
      </x:c>
      <x:c r="BL341" s="31">
        <x:v>22</x:v>
      </x:c>
      <x:c r="BM341" s="31">
        <x:v>48</x:v>
      </x:c>
      <x:c r="BN341" s="31">
        <x:v>54.32</x:v>
      </x:c>
      <x:c r="BO341" s="22">
        <x:v>113.62569999999999</x:v>
      </x:c>
      <x:c r="BP341" s="22">
        <x:v>22.815088888888901</x:v>
      </x:c>
      <x:c r="BQ341" s="31">
        <x:v>60</x:v>
      </x:c>
      <x:c r="BR341" s="31">
        <x:v>39709.96</x:v>
      </x:c>
      <x:c r="BS341" s="8" t="s">
        <x:v>78</x:v>
      </x:c>
      <x:c r="BT341" s="8" t="s">
        <x:v>78</x:v>
      </x:c>
      <x:c r="BU341" s="31">
        <x:v>29.832000000000001</x:v>
      </x:c>
      <x:c r="BV341" s="31">
        <x:v>29.832000000000001</x:v>
      </x:c>
      <x:c r="BW341" s="8" t="s">
        <x:v>78</x:v>
      </x:c>
      <x:c r="BX341" s="8" t="s">
        <x:v>78</x:v>
      </x:c>
      <x:c r="BY341" s="8" t="s">
        <x:v>78</x:v>
      </x:c>
      <x:c r="BZ341" s="8" t="s">
        <x:v>78</x:v>
      </x:c>
      <x:c r="CA341" s="23">
        <x:f t="shared" si="315"/>
        <x:v>0.17993263400000001</x:v>
      </x:c>
      <x:c r="CB341" s="23">
        <x:f t="shared" si="316"/>
        <x:v>96.308589999999981</x:v>
      </x:c>
      <x:c r="CC341" s="23">
        <x:f t="shared" si="317"/>
        <x:v>30.53687</x:v>
      </x:c>
      <x:c r="CD341" s="23">
        <x:f t="shared" si="318"/>
        <x:v>0.70469699999999991</x:v>
      </x:c>
      <x:c r="CE341" s="23">
        <x:f t="shared" si="319"/>
        <x:v>0.70469699999999991</x:v>
      </x:c>
      <x:c r="CF341" s="23">
        <x:f t="shared" si="320"/>
        <x:v>0</x:v>
      </x:c>
      <x:c r="CG341" s="23">
        <x:f t="shared" si="321"/>
        <x:v>0</x:v>
      </x:c>
      <x:c r="CH341" s="23">
        <x:f t="shared" si="322"/>
        <x:v>0.46979799999999999</x:v>
      </x:c>
      <x:c r="CI341" s="23">
        <x:f t="shared" si="323"/>
        <x:v>0</x:v>
      </x:c>
      <x:c r="CJ341" s="25" t="s">
        <x:v>78</x:v>
      </x:c>
      <x:c r="CK341" s="25">
        <x:v>0</x:v>
      </x:c>
      <x:c r="CL341" s="34" t="s">
        <x:v>78</x:v>
      </x:c>
      <x:c r="CM341" s="26">
        <x:v>42</x:v>
      </x:c>
      <x:c r="CN341" s="35" t="s">
        <x:v>78</x:v>
      </x:c>
      <x:c r="CO341" s="27">
        <x:v>0</x:v>
      </x:c>
      <x:c r="CP341" s="27">
        <x:v>0</x:v>
      </x:c>
      <x:c r="CQ341" s="26">
        <x:f t="shared" si="324"/>
        <x:v>0.17993263400000001</x:v>
      </x:c>
      <x:c r="CR341" s="26">
        <x:f t="shared" si="325"/>
        <x:v>55.858982199999993</x:v>
      </x:c>
      <x:c r="CS341" s="26">
        <x:f t="shared" si="327"/>
        <x:v>30.53687</x:v>
      </x:c>
      <x:c r="CT341" s="26">
        <x:f t="shared" si="285"/>
        <x:v>0.70469699999999991</x:v>
      </x:c>
      <x:c r="CU341" s="26">
        <x:f t="shared" si="286"/>
        <x:v>0.70469699999999991</x:v>
      </x:c>
      <x:c r="CV341" s="26">
        <x:f t="shared" si="287"/>
        <x:v>0</x:v>
      </x:c>
      <x:c r="CW341" s="26">
        <x:f t="shared" si="288"/>
        <x:v>0</x:v>
      </x:c>
      <x:c r="CX341" s="26">
        <x:f t="shared" si="328"/>
        <x:v>0.46979799999999999</x:v>
      </x:c>
      <x:c r="CY341" s="26">
        <x:f t="shared" si="329"/>
        <x:v>0</x:v>
      </x:c>
    </x:row>
    <x:row r="342">
      <x:c r="A342" s="18">
        <x:v>2022</x:v>
      </x:c>
      <x:c r="B342" t="s">
        <x:v>737</x:v>
      </x:c>
      <x:c r="C342" t="s">
        <x:v>738</x:v>
      </x:c>
      <x:c r="D342" t="s">
        <x:v>739</x:v>
      </x:c>
      <x:c r="E342" s="18">
        <x:v>441971</x:v>
      </x:c>
      <x:c r="F342" t="s">
        <x:v>736</x:v>
      </x:c>
      <x:c r="G342" s="8" t="s">
        <x:v>697</x:v>
      </x:c>
      <x:c r="H342" s="18">
        <x:v>4411</x:v>
      </x:c>
      <x:c r="I342" t="s">
        <x:v>102</x:v>
      </x:c>
      <x:c r="J342" t="s">
        <x:v>78</x:v>
      </x:c>
      <x:c r="K342" t="s">
        <x:v>109</x:v>
      </x:c>
      <x:c r="L342" s="20">
        <x:v>33</x:v>
      </x:c>
      <x:c r="M342" t="s">
        <x:v>110</x:v>
      </x:c>
      <x:c r="N342" s="18">
        <x:v>1025</x:v>
      </x:c>
      <x:c r="O342" t="s">
        <x:v>88</x:v>
      </x:c>
      <x:c r="P342" s="18">
        <x:v>4</x:v>
      </x:c>
      <x:c r="Q342" s="19" t="s">
        <x:v>111</x:v>
      </x:c>
      <x:c r="R342" s="18">
        <x:v>808045</x:v>
      </x:c>
      <x:c r="S342" t="s">
        <x:v>112</x:v>
      </x:c>
      <x:c r="T342" s="19" t="n">
        <x:f t="shared" ref="T342:T354" si="338">R342</x:f>
        <x:v>808045</x:v>
      </x:c>
      <x:c r="U342" s="20">
        <x:v>0.83</x:v>
      </x:c>
      <x:c r="V342" t="s">
        <x:v>113</x:v>
      </x:c>
      <x:c r="W342" s="20">
        <x:v>18.34</x:v>
      </x:c>
      <x:c r="X342" s="21" t="n">
        <x:f t="shared" ref="X342:X348" si="339">2*U342/100*(1-0.15)*T342</x:f>
        <x:v>11401.514949999999</x:v>
      </x:c>
      <x:c r="Y342" s="21" t="n">
        <x:f>7.21*T342/1000</x:f>
        <x:v>5826.00445</x:v>
      </x:c>
      <x:c r="Z342" s="21" t="n">
        <x:f t="shared" ref="Z342:Z348" si="340">2*T342/1000</x:f>
        <x:v>1616.09</x:v>
      </x:c>
      <x:c r="AA342" s="21" t="n">
        <x:f>W342/100*(1-0.25)*0.23*T342</x:f>
        <x:v>25563.715642500003</x:v>
      </x:c>
      <x:c r="AB342" s="21" t="n">
        <x:f>W342/100*(1-0.25)*0.06*T342</x:f>
        <x:v>6668.795385</x:v>
      </x:c>
      <x:c r="AC342" s="21" t="n">
        <x:f t="shared" ref="AC342:AC348" si="341">0.002*AB342</x:f>
        <x:v>13.33759077</x:v>
      </x:c>
      <x:c r="AD342" s="21"/>
      <x:c r="AE342" s="21" t="n">
        <x:f t="shared" ref="AE342:AE348" si="342">0.04*T342/1000</x:f>
        <x:v>32.321799999999996</x:v>
      </x:c>
      <x:c r="AF342" s="21"/>
      <x:c r="AG342" s="19" t="s">
        <x:v>78</x:v>
      </x:c>
      <x:c r="AH342" t="s">
        <x:v>78</x:v>
      </x:c>
      <x:c r="AI342" t="s">
        <x:v>78</x:v>
      </x:c>
      <x:c r="AJ342" s="19"/>
      <x:c r="AK342" s="19" t="s">
        <x:v>78</x:v>
      </x:c>
      <x:c r="AL342" t="s">
        <x:v>78</x:v>
      </x:c>
      <x:c r="AM342" s="19" t="s">
        <x:v>78</x:v>
      </x:c>
      <x:c r="AN342" s="21"/>
      <x:c r="AO342" s="21"/>
      <x:c r="AP342" s="21"/>
      <x:c r="AQ342" s="21"/>
      <x:c r="AR342" s="21"/>
      <x:c r="AS342" s="21"/>
      <x:c r="AT342" s="21"/>
      <x:c r="AU342" s="21"/>
      <x:c r="AV342" s="21"/>
      <x:c r="AW342" t="s">
        <x:v>78</x:v>
      </x:c>
      <x:c r="AX342" s="19"/>
      <x:c r="AY342" s="21"/>
      <x:c r="AZ342" s="21"/>
      <x:c r="BA342" s="21"/>
      <x:c r="BB342" s="21"/>
      <x:c r="BC342" s="21"/>
      <x:c r="BD342" s="21"/>
      <x:c r="BE342" s="21"/>
      <x:c r="BF342" s="21"/>
      <x:c r="BG342" s="21"/>
      <x:c r="BH342" t="s">
        <x:v>79</x:v>
      </x:c>
      <x:c r="BI342" s="18">
        <x:v>113</x:v>
      </x:c>
      <x:c r="BJ342" s="18">
        <x:v>40</x:v>
      </x:c>
      <x:c r="BK342" s="18">
        <x:v>8</x:v>
      </x:c>
      <x:c r="BL342" s="18">
        <x:v>22</x:v>
      </x:c>
      <x:c r="BM342" s="18">
        <x:v>44</x:v>
      </x:c>
      <x:c r="BN342" s="18">
        <x:v>51</x:v>
      </x:c>
      <x:c r="BO342" s="22">
        <x:v>113.668888888889</x:v>
      </x:c>
      <x:c r="BP342" s="22">
        <x:v>22.747499999999999</x:v>
      </x:c>
      <x:c r="BQ342" s="18">
        <x:v>225</x:v>
      </x:c>
      <x:c r="BR342" s="18">
        <x:v>714156.7</x:v>
      </x:c>
      <x:c r="BS342" s="18">
        <x:v>13720.603999999999</x:v>
      </x:c>
      <x:c r="BT342" s="18">
        <x:v>157.78700000000001</x:v>
      </x:c>
      <x:c r="BU342" s="18">
        <x:v>2262.5259999999998</x:v>
      </x:c>
      <x:c r="BV342" s="18">
        <x:v>390.26299999999998</x:v>
      </x:c>
      <x:c r="BW342" s="18">
        <x:v>145481.55300000001</x:v>
      </x:c>
      <x:c r="BX342" s="18">
        <x:v>14.691000000000001</x:v>
      </x:c>
      <x:c r="BY342" s="18">
        <x:v>9534.9310000000005</x:v>
      </x:c>
      <x:c r="BZ342" s="18">
        <x:v>9534.9310000000005</x:v>
      </x:c>
      <x:c r="CA342" s="23">
        <x:f t="shared" si="315"/>
        <x:v>11401.514949999999</x:v>
      </x:c>
      <x:c r="CB342" s="23">
        <x:f t="shared" si="316"/>
        <x:v>5826.0044500000004</x:v>
      </x:c>
      <x:c r="CC342" s="23">
        <x:f t="shared" si="317"/>
        <x:v>1616.09</x:v>
      </x:c>
      <x:c r="CD342" s="23">
        <x:f t="shared" si="318"/>
        <x:v>25563.715642500003</x:v>
      </x:c>
      <x:c r="CE342" s="23">
        <x:f t="shared" si="319"/>
        <x:v>6668.7953850000004</x:v>
      </x:c>
      <x:c r="CF342" s="23">
        <x:f t="shared" si="320"/>
        <x:v>13.33759077</x:v>
      </x:c>
      <x:c r="CG342" s="23">
        <x:f t="shared" si="321"/>
        <x:v>0</x:v>
      </x:c>
      <x:c r="CH342" s="23">
        <x:f t="shared" si="322"/>
        <x:v>32.321799999999996</x:v>
      </x:c>
      <x:c r="CI342" s="23">
        <x:f t="shared" si="323"/>
        <x:v>0</x:v>
      </x:c>
      <x:c r="CJ342" s="24" t="s">
        <x:v>114</x:v>
      </x:c>
      <x:c r="CK342" s="29">
        <x:v>95</x:v>
      </x:c>
      <x:c r="CL342" s="26" t="s">
        <x:v>104</x:v>
      </x:c>
      <x:c r="CM342" s="28">
        <x:v>85</x:v>
      </x:c>
      <x:c r="CN342" s="30" t="s">
        <x:v>740</x:v>
      </x:c>
      <x:c r="CO342" s="27">
        <x:v>99.4</x:v>
      </x:c>
      <x:c r="CP342" s="27">
        <x:v>98.3</x:v>
      </x:c>
      <x:c r="CQ342" s="26">
        <x:f t="shared" si="324"/>
        <x:v>570.07574750000049</x:v>
      </x:c>
      <x:c r="CR342" s="26">
        <x:f t="shared" si="325"/>
        <x:v>873.90066750000017</x:v>
      </x:c>
      <x:c r="CS342" s="26">
        <x:f t="shared" si="327"/>
        <x:v>1616.09</x:v>
      </x:c>
      <x:c r="CT342" s="26">
        <x:f t="shared" si="285"/>
        <x:v>153.38229385499733</x:v>
      </x:c>
      <x:c r="CU342" s="26">
        <x:f t="shared" si="286"/>
        <x:v>113.36952154500011</x:v>
      </x:c>
      <x:c r="CV342" s="26">
        <x:f t="shared" si="287"/>
        <x:v>0.2267390430900002</x:v>
      </x:c>
      <x:c r="CW342" s="26">
        <x:f t="shared" si="288"/>
        <x:v>0</x:v>
      </x:c>
      <x:c r="CX342" s="26">
        <x:f t="shared" si="328"/>
        <x:v>32.321799999999996</x:v>
      </x:c>
      <x:c r="CY342" s="26">
        <x:f t="shared" si="329"/>
        <x:v>0</x:v>
      </x:c>
    </x:row>
    <x:row r="343">
      <x:c r="A343" s="18">
        <x:v>2022</x:v>
      </x:c>
      <x:c r="B343" t="s">
        <x:v>737</x:v>
      </x:c>
      <x:c r="C343" t="s">
        <x:v>738</x:v>
      </x:c>
      <x:c r="D343" t="s">
        <x:v>739</x:v>
      </x:c>
      <x:c r="E343" s="18">
        <x:v>441971</x:v>
      </x:c>
      <x:c r="F343" t="s">
        <x:v>736</x:v>
      </x:c>
      <x:c r="G343" s="8" t="s">
        <x:v>697</x:v>
      </x:c>
      <x:c r="H343" s="18">
        <x:v>4411</x:v>
      </x:c>
      <x:c r="I343" t="s">
        <x:v>102</x:v>
      </x:c>
      <x:c r="J343" t="s">
        <x:v>78</x:v>
      </x:c>
      <x:c r="K343" t="s">
        <x:v>109</x:v>
      </x:c>
      <x:c r="L343" s="20">
        <x:v>33</x:v>
      </x:c>
      <x:c r="M343" t="s">
        <x:v>110</x:v>
      </x:c>
      <x:c r="N343" s="18">
        <x:v>1025</x:v>
      </x:c>
      <x:c r="O343" t="s">
        <x:v>88</x:v>
      </x:c>
      <x:c r="P343" s="18">
        <x:v>4</x:v>
      </x:c>
      <x:c r="Q343" s="19" t="s">
        <x:v>111</x:v>
      </x:c>
      <x:c r="R343" s="18">
        <x:v>846066</x:v>
      </x:c>
      <x:c r="S343" t="s">
        <x:v>112</x:v>
      </x:c>
      <x:c r="T343" s="19">
        <x:f t="shared" si="338"/>
        <x:v>846066</x:v>
      </x:c>
      <x:c r="U343" s="20">
        <x:v>0.83</x:v>
      </x:c>
      <x:c r="V343" t="s">
        <x:v>113</x:v>
      </x:c>
      <x:c r="W343" s="20">
        <x:v>18.34</x:v>
      </x:c>
      <x:c r="X343" s="21">
        <x:f t="shared" si="339"/>
        <x:v>11937.991259999999</x:v>
      </x:c>
      <x:c r="Y343" s="21" t="n">
        <x:f>7.21*T343/1000</x:f>
        <x:v>6100.13586</x:v>
      </x:c>
      <x:c r="Z343" s="21">
        <x:f t="shared" si="340"/>
        <x:v>1692.1320000000001</x:v>
      </x:c>
      <x:c r="AA343" s="21" t="n">
        <x:f>W343/100*(1-0.25)*0.23*T343</x:f>
        <x:v>26766.567009000006</x:v>
      </x:c>
      <x:c r="AB343" s="21" t="n">
        <x:f>W343/100*(1-0.25)*0.06*T343</x:f>
        <x:v>6982.582698</x:v>
      </x:c>
      <x:c r="AC343" s="21">
        <x:f t="shared" si="341"/>
        <x:v>13.965165396</x:v>
      </x:c>
      <x:c r="AD343" s="21"/>
      <x:c r="AE343" s="21">
        <x:f t="shared" si="342"/>
        <x:v>33.842640000000003</x:v>
      </x:c>
      <x:c r="AF343" s="21"/>
      <x:c r="AG343" s="19" t="s">
        <x:v>78</x:v>
      </x:c>
      <x:c r="AH343" t="s">
        <x:v>78</x:v>
      </x:c>
      <x:c r="AI343" t="s">
        <x:v>78</x:v>
      </x:c>
      <x:c r="AJ343" s="19"/>
      <x:c r="AK343" s="19" t="s">
        <x:v>78</x:v>
      </x:c>
      <x:c r="AL343" t="s">
        <x:v>78</x:v>
      </x:c>
      <x:c r="AM343" s="19" t="s">
        <x:v>78</x:v>
      </x:c>
      <x:c r="AN343" s="21"/>
      <x:c r="AO343" s="21"/>
      <x:c r="AP343" s="21"/>
      <x:c r="AQ343" s="21"/>
      <x:c r="AR343" s="21"/>
      <x:c r="AS343" s="21"/>
      <x:c r="AT343" s="21"/>
      <x:c r="AU343" s="21"/>
      <x:c r="AV343" s="21"/>
      <x:c r="AW343" t="s">
        <x:v>78</x:v>
      </x:c>
      <x:c r="AX343" s="19"/>
      <x:c r="AY343" s="21"/>
      <x:c r="AZ343" s="21"/>
      <x:c r="BA343" s="21"/>
      <x:c r="BB343" s="21"/>
      <x:c r="BC343" s="21"/>
      <x:c r="BD343" s="21"/>
      <x:c r="BE343" s="21"/>
      <x:c r="BF343" s="21"/>
      <x:c r="BG343" s="21"/>
      <x:c r="BH343" t="s">
        <x:v>79</x:v>
      </x:c>
      <x:c r="BI343" s="18">
        <x:v>113</x:v>
      </x:c>
      <x:c r="BJ343" s="18">
        <x:v>40</x:v>
      </x:c>
      <x:c r="BK343" s="18">
        <x:v>8</x:v>
      </x:c>
      <x:c r="BL343" s="18">
        <x:v>22</x:v>
      </x:c>
      <x:c r="BM343" s="18">
        <x:v>44</x:v>
      </x:c>
      <x:c r="BN343" s="18">
        <x:v>51</x:v>
      </x:c>
      <x:c r="BO343" s="22">
        <x:v>113.668888888889</x:v>
      </x:c>
      <x:c r="BP343" s="22">
        <x:v>22.747499999999999</x:v>
      </x:c>
      <x:c r="BQ343" s="18">
        <x:v>225</x:v>
      </x:c>
      <x:c r="BR343" s="18">
        <x:v>802352.07</x:v>
      </x:c>
      <x:c r="BS343" s="18">
        <x:v>14366.200999999999</x:v>
      </x:c>
      <x:c r="BT343" s="18">
        <x:v>165.21100000000001</x:v>
      </x:c>
      <x:c r="BU343" s="18">
        <x:v>2368.9850000000001</x:v>
      </x:c>
      <x:c r="BV343" s="18">
        <x:v>408.62599999999998</x:v>
      </x:c>
      <x:c r="BW343" s="18">
        <x:v>152326.90700000001</x:v>
      </x:c>
      <x:c r="BX343" s="18">
        <x:v>15.382</x:v>
      </x:c>
      <x:c r="BY343" s="18">
        <x:v>9983.5789999999997</x:v>
      </x:c>
      <x:c r="BZ343" s="18">
        <x:v>9983.5789999999997</x:v>
      </x:c>
      <x:c r="CA343" s="23">
        <x:f t="shared" si="315"/>
        <x:v>11937.991259999999</x:v>
      </x:c>
      <x:c r="CB343" s="23">
        <x:f t="shared" si="316"/>
        <x:v>6100.1358600000003</x:v>
      </x:c>
      <x:c r="CC343" s="23">
        <x:f t="shared" si="317"/>
        <x:v>1692.1320000000001</x:v>
      </x:c>
      <x:c r="CD343" s="23">
        <x:f t="shared" si="318"/>
        <x:v>26766.567009000006</x:v>
      </x:c>
      <x:c r="CE343" s="23">
        <x:f t="shared" si="319"/>
        <x:v>6982.5826980000002</x:v>
      </x:c>
      <x:c r="CF343" s="23">
        <x:f t="shared" si="320"/>
        <x:v>13.965165396</x:v>
      </x:c>
      <x:c r="CG343" s="23">
        <x:f t="shared" si="321"/>
        <x:v>0</x:v>
      </x:c>
      <x:c r="CH343" s="23">
        <x:f t="shared" si="322"/>
        <x:v>33.842640000000003</x:v>
      </x:c>
      <x:c r="CI343" s="23">
        <x:f t="shared" si="323"/>
        <x:v>0</x:v>
      </x:c>
      <x:c r="CJ343" s="24" t="s">
        <x:v>114</x:v>
      </x:c>
      <x:c r="CK343" s="29">
        <x:v>95</x:v>
      </x:c>
      <x:c r="CL343" s="26" t="s">
        <x:v>104</x:v>
      </x:c>
      <x:c r="CM343" s="28">
        <x:v>85</x:v>
      </x:c>
      <x:c r="CN343" s="30" t="s">
        <x:v>740</x:v>
      </x:c>
      <x:c r="CO343" s="27">
        <x:v>99.4</x:v>
      </x:c>
      <x:c r="CP343" s="27">
        <x:v>98.3</x:v>
      </x:c>
      <x:c r="CQ343" s="26">
        <x:f t="shared" si="324"/>
        <x:v>596.89956300000051</x:v>
      </x:c>
      <x:c r="CR343" s="26">
        <x:f t="shared" si="325"/>
        <x:v>915.02037900000016</x:v>
      </x:c>
      <x:c r="CS343" s="26">
        <x:f t="shared" si="327"/>
        <x:v>1692.1320000000001</x:v>
      </x:c>
      <x:c r="CT343" s="26">
        <x:f t="shared" si="285"/>
        <x:v>160.59940205399721</x:v>
      </x:c>
      <x:c r="CU343" s="26">
        <x:f t="shared" si="286"/>
        <x:v>118.70390586600011</x:v>
      </x:c>
      <x:c r="CV343" s="26">
        <x:f t="shared" si="287"/>
        <x:v>0.23740781173200021</x:v>
      </x:c>
      <x:c r="CW343" s="26">
        <x:f t="shared" si="288"/>
        <x:v>0</x:v>
      </x:c>
      <x:c r="CX343" s="26">
        <x:f t="shared" si="328"/>
        <x:v>33.842640000000003</x:v>
      </x:c>
      <x:c r="CY343" s="26">
        <x:f t="shared" si="329"/>
        <x:v>0</x:v>
      </x:c>
    </x:row>
    <x:row r="344">
      <x:c r="A344" s="18">
        <x:v>2022</x:v>
      </x:c>
      <x:c r="B344" t="s">
        <x:v>741</x:v>
      </x:c>
      <x:c r="C344" t="s">
        <x:v>742</x:v>
      </x:c>
      <x:c r="D344" t="s">
        <x:v>743</x:v>
      </x:c>
      <x:c r="E344" s="18">
        <x:v>441971</x:v>
      </x:c>
      <x:c r="F344" t="s">
        <x:v>736</x:v>
      </x:c>
      <x:c r="G344" s="8" t="s">
        <x:v>697</x:v>
      </x:c>
      <x:c r="H344" s="18">
        <x:v>4411</x:v>
      </x:c>
      <x:c r="I344" t="s">
        <x:v>102</x:v>
      </x:c>
      <x:c r="J344" t="s">
        <x:v>78</x:v>
      </x:c>
      <x:c r="K344" t="s">
        <x:v>109</x:v>
      </x:c>
      <x:c r="L344" s="20">
        <x:v>66</x:v>
      </x:c>
      <x:c r="M344" t="s">
        <x:v>110</x:v>
      </x:c>
      <x:c r="N344" s="18">
        <x:v>2100</x:v>
      </x:c>
      <x:c r="O344" t="s">
        <x:v>88</x:v>
      </x:c>
      <x:c r="P344" s="18">
        <x:v>4</x:v>
      </x:c>
      <x:c r="Q344" s="19" t="s">
        <x:v>111</x:v>
      </x:c>
      <x:c r="R344" s="18">
        <x:v>1111102</x:v>
      </x:c>
      <x:c r="S344" t="s">
        <x:v>112</x:v>
      </x:c>
      <x:c r="T344" s="19">
        <x:f t="shared" si="338"/>
        <x:v>1111102</x:v>
      </x:c>
      <x:c r="U344" s="20">
        <x:v>0.876</x:v>
      </x:c>
      <x:c r="V344" t="s">
        <x:v>113</x:v>
      </x:c>
      <x:c r="W344" s="20">
        <x:v>17.09</x:v>
      </x:c>
      <x:c r="X344" s="21">
        <x:f t="shared" si="339"/>
        <x:v>16546.530984000001</x:v>
      </x:c>
      <x:c r="Y344" s="21" t="n">
        <x:f>7.21*T344/1000</x:f>
        <x:v>8011.04542</x:v>
      </x:c>
      <x:c r="Z344" s="21">
        <x:f t="shared" si="340"/>
        <x:v>2222.2040000000002</x:v>
      </x:c>
      <x:c r="AA344" s="21" t="n">
        <x:f>W344/100*(1-0.25)*0.23*T344</x:f>
        <x:v>32755.564735499996</x:v>
      </x:c>
      <x:c r="AB344" s="21" t="n">
        <x:f>W344/100*(1-0.25)*0.06*T344</x:f>
        <x:v>8544.929930999999</x:v>
      </x:c>
      <x:c r="AC344" s="21">
        <x:f t="shared" si="341"/>
        <x:v>17.089859861999997</x:v>
      </x:c>
      <x:c r="AD344" s="21"/>
      <x:c r="AE344" s="21">
        <x:f t="shared" si="342"/>
        <x:v>44.44408</x:v>
      </x:c>
      <x:c r="AF344" s="21"/>
      <x:c r="AG344" s="19" t="s">
        <x:v>176</x:v>
      </x:c>
      <x:c r="AH344" s="18">
        <x:v>800.92</x:v>
      </x:c>
      <x:c r="AI344" t="s">
        <x:v>112</x:v>
      </x:c>
      <x:c r="AJ344" s="19" t="n">
        <x:f t="shared" ref="AJ344:AJ346" si="343">AH344</x:f>
        <x:v>800.92</x:v>
      </x:c>
      <x:c r="AK344" s="20">
        <x:v>3.4000000000000002E-2</x:v>
      </x:c>
      <x:c r="AL344" t="s">
        <x:v>113</x:v>
      </x:c>
      <x:c r="AM344" s="20">
        <x:v>0</x:v>
      </x:c>
      <x:c r="AN344" s="21" t="n">
        <x:f>2*AK344/100*AJ344</x:f>
        <x:v>0.5446256</x:v>
      </x:c>
      <x:c r="AO344" s="21" t="n">
        <x:f>7.4*AJ344/1000</x:f>
        <x:v>5.926808</x:v>
      </x:c>
      <x:c r="AP344" s="21" t="n">
        <x:f>0.6*AJ344/1000</x:f>
        <x:v>0.480552</x:v>
      </x:c>
      <x:c r="AQ344" s="21" t="n">
        <x:f>0.5*AJ344/1000</x:f>
        <x:v>0.40046</x:v>
      </x:c>
      <x:c r="AR344" s="21" t="n">
        <x:f>0.5*AJ344/1000</x:f>
        <x:v>0.40046</x:v>
      </x:c>
      <x:c r="AS344" s="21" t="n">
        <x:f>0.01*AJ344/1000</x:f>
        <x:v>0.0080092</x:v>
      </x:c>
      <x:c r="AT344" s="21" t="n">
        <x:f>0.04*AJ344/1000</x:f>
        <x:v>0.0320368</x:v>
      </x:c>
      <x:c r="AU344" s="21" t="n">
        <x:f>0.13*AJ344/1000</x:f>
        <x:v>0.10411959999999999</x:v>
      </x:c>
      <x:c r="AV344" s="21"/>
      <x:c r="AW344" s="18">
        <x:v>0</x:v>
      </x:c>
      <x:c r="AX344" s="19"/>
      <x:c r="AY344" s="21"/>
      <x:c r="AZ344" s="21"/>
      <x:c r="BA344" s="21"/>
      <x:c r="BB344" s="21"/>
      <x:c r="BC344" s="21"/>
      <x:c r="BD344" s="21"/>
      <x:c r="BE344" s="21"/>
      <x:c r="BF344" s="21"/>
      <x:c r="BG344" s="21"/>
      <x:c r="BH344" t="s">
        <x:v>81</x:v>
      </x:c>
      <x:c r="BI344" s="18">
        <x:v>113</x:v>
      </x:c>
      <x:c r="BJ344" s="18">
        <x:v>40</x:v>
      </x:c>
      <x:c r="BK344" s="18">
        <x:v>52.14</x:v>
      </x:c>
      <x:c r="BL344" s="18">
        <x:v>22</x:v>
      </x:c>
      <x:c r="BM344" s="18">
        <x:v>44</x:v>
      </x:c>
      <x:c r="BN344" s="18">
        <x:v>50.03</x:v>
      </x:c>
      <x:c r="BO344" s="22">
        <x:v>113.68115</x:v>
      </x:c>
      <x:c r="BP344" s="22">
        <x:v>22.7472305555556</x:v>
      </x:c>
      <x:c r="BQ344" s="18">
        <x:v>240</x:v>
      </x:c>
      <x:c r="BR344" s="18">
        <x:v>875684.24399999995</x:v>
      </x:c>
      <x:c r="BS344" s="18">
        <x:v>19222.741000000002</x:v>
      </x:c>
      <x:c r="BT344" s="18">
        <x:v>107.98699999999999</x:v>
      </x:c>
      <x:c r="BU344" s="18">
        <x:v>3480.636</x:v>
      </x:c>
      <x:c r="BV344" s="18">
        <x:v>288.62900000000002</x:v>
      </x:c>
      <x:c r="BW344" s="18">
        <x:v>23744.25</x:v>
      </x:c>
      <x:c r="BX344" s="18">
        <x:v>21.606000000000002</x:v>
      </x:c>
      <x:c r="BY344" s="18">
        <x:v>13111.004000000001</x:v>
      </x:c>
      <x:c r="BZ344" s="18">
        <x:v>13111.004000000001</x:v>
      </x:c>
      <x:c r="CA344" s="23">
        <x:f t="shared" si="315"/>
        <x:v>16547.0756096</x:v>
      </x:c>
      <x:c r="CB344" s="23">
        <x:f t="shared" si="316"/>
        <x:v>8016.9722280000005</x:v>
      </x:c>
      <x:c r="CC344" s="23">
        <x:f t="shared" si="317"/>
        <x:v>2222.6845520000002</x:v>
      </x:c>
      <x:c r="CD344" s="23">
        <x:f t="shared" si="318"/>
        <x:v>32755.965195499997</x:v>
      </x:c>
      <x:c r="CE344" s="23">
        <x:f t="shared" si="319"/>
        <x:v>8545.3303909999995</x:v>
      </x:c>
      <x:c r="CF344" s="23">
        <x:f t="shared" si="320"/>
        <x:v>17.097869061999997</x:v>
      </x:c>
      <x:c r="CG344" s="23">
        <x:f t="shared" si="321"/>
        <x:v>3.2036799999999997E-2</x:v>
      </x:c>
      <x:c r="CH344" s="23">
        <x:f t="shared" si="322"/>
        <x:v>44.548199599999997</x:v>
      </x:c>
      <x:c r="CI344" s="23">
        <x:f t="shared" si="323"/>
        <x:v>0</x:v>
      </x:c>
      <x:c r="CJ344" s="24" t="s">
        <x:v>114</x:v>
      </x:c>
      <x:c r="CK344" s="29">
        <x:v>99.36</x:v>
      </x:c>
      <x:c r="CL344" s="26" t="s">
        <x:v>104</x:v>
      </x:c>
      <x:c r="CM344" s="28">
        <x:v>85</x:v>
      </x:c>
      <x:c r="CN344" s="30" t="s">
        <x:v>132</x:v>
      </x:c>
      <x:c r="CO344" s="27">
        <x:v>99.4</x:v>
      </x:c>
      <x:c r="CP344" s="27">
        <x:v>98.3</x:v>
      </x:c>
      <x:c r="CQ344" s="26">
        <x:f t="shared" si="324"/>
        <x:v>105.90128390143936</x:v>
      </x:c>
      <x:c r="CR344" s="26">
        <x:f t="shared" si="325"/>
        <x:v>1202.5458342000002</x:v>
      </x:c>
      <x:c r="CS344" s="26">
        <x:f t="shared" si="327"/>
        <x:v>2222.6845520000002</x:v>
      </x:c>
      <x:c r="CT344" s="26">
        <x:f t="shared" si="285"/>
        <x:v>196.53579117299651</x:v>
      </x:c>
      <x:c r="CU344" s="26">
        <x:f t="shared" si="286"/>
        <x:v>145.27061664700011</x:v>
      </x:c>
      <x:c r="CV344" s="26">
        <x:f t="shared" si="287"/>
        <x:v>0.29066377405400023</x:v>
      </x:c>
      <x:c r="CW344" s="26">
        <x:f t="shared" si="288"/>
        <x:v>5.4462560000000039E-4</x:v>
      </x:c>
      <x:c r="CX344" s="26">
        <x:f t="shared" si="328"/>
        <x:v>44.548199599999997</x:v>
      </x:c>
      <x:c r="CY344" s="26">
        <x:f t="shared" si="329"/>
        <x:v>0</x:v>
      </x:c>
    </x:row>
    <x:row r="345">
      <x:c r="A345" s="18">
        <x:v>2022</x:v>
      </x:c>
      <x:c r="B345" t="s">
        <x:v>741</x:v>
      </x:c>
      <x:c r="C345" t="s">
        <x:v>742</x:v>
      </x:c>
      <x:c r="D345" t="s">
        <x:v>743</x:v>
      </x:c>
      <x:c r="E345" s="18">
        <x:v>441971</x:v>
      </x:c>
      <x:c r="F345" t="s">
        <x:v>736</x:v>
      </x:c>
      <x:c r="G345" s="8" t="s">
        <x:v>697</x:v>
      </x:c>
      <x:c r="H345" s="18">
        <x:v>4411</x:v>
      </x:c>
      <x:c r="I345" t="s">
        <x:v>102</x:v>
      </x:c>
      <x:c r="J345" t="s">
        <x:v>78</x:v>
      </x:c>
      <x:c r="K345" t="s">
        <x:v>109</x:v>
      </x:c>
      <x:c r="L345" s="20">
        <x:v>66</x:v>
      </x:c>
      <x:c r="M345" t="s">
        <x:v>110</x:v>
      </x:c>
      <x:c r="N345" s="18">
        <x:v>2100</x:v>
      </x:c>
      <x:c r="O345" t="s">
        <x:v>88</x:v>
      </x:c>
      <x:c r="P345" s="18">
        <x:v>4</x:v>
      </x:c>
      <x:c r="Q345" s="19" t="s">
        <x:v>111</x:v>
      </x:c>
      <x:c r="R345" s="18">
        <x:v>1059823</x:v>
      </x:c>
      <x:c r="S345" t="s">
        <x:v>112</x:v>
      </x:c>
      <x:c r="T345" s="19">
        <x:f t="shared" si="338"/>
        <x:v>1059823</x:v>
      </x:c>
      <x:c r="U345" s="20">
        <x:v>0.92500000000000004</x:v>
      </x:c>
      <x:c r="V345" t="s">
        <x:v>113</x:v>
      </x:c>
      <x:c r="W345" s="20">
        <x:v>17.11</x:v>
      </x:c>
      <x:c r="X345" s="21">
        <x:f t="shared" si="339"/>
        <x:v>16665.716675000003</x:v>
      </x:c>
      <x:c r="Y345" s="21" t="n">
        <x:f>7.21*T345/1000</x:f>
        <x:v>7641.32383</x:v>
      </x:c>
      <x:c r="Z345" s="21">
        <x:f t="shared" si="340"/>
        <x:v>2119.6460000000002</x:v>
      </x:c>
      <x:c r="AA345" s="21" t="n">
        <x:f>W345/100*(1-0.25)*0.23*T345</x:f>
        <x:v>31280.41088925</x:v>
      </x:c>
      <x:c r="AB345" s="21" t="n">
        <x:f>W345/100*(1-0.25)*0.06*T345</x:f>
        <x:v>8160.1071885</x:v>
      </x:c>
      <x:c r="AC345" s="21">
        <x:f t="shared" si="341"/>
        <x:v>16.320214376999999</x:v>
      </x:c>
      <x:c r="AD345" s="21"/>
      <x:c r="AE345" s="21">
        <x:f t="shared" si="342"/>
        <x:v>42.392919999999997</x:v>
      </x:c>
      <x:c r="AF345" s="21"/>
      <x:c r="AG345" s="19" t="s">
        <x:v>176</x:v>
      </x:c>
      <x:c r="AH345" s="18">
        <x:v>649.01</x:v>
      </x:c>
      <x:c r="AI345" t="s">
        <x:v>112</x:v>
      </x:c>
      <x:c r="AJ345" s="19">
        <x:f t="shared" si="343"/>
        <x:v>649.01</x:v>
      </x:c>
      <x:c r="AK345" s="20">
        <x:v>3.4000000000000002E-2</x:v>
      </x:c>
      <x:c r="AL345" t="s">
        <x:v>113</x:v>
      </x:c>
      <x:c r="AM345" s="20">
        <x:v>0</x:v>
      </x:c>
      <x:c r="AN345" s="21" t="n">
        <x:f>2*AK345/100*AJ345</x:f>
        <x:v>0.4413268</x:v>
      </x:c>
      <x:c r="AO345" s="21" t="n">
        <x:f>7.4*AJ345/1000</x:f>
        <x:v>4.802674</x:v>
      </x:c>
      <x:c r="AP345" s="21" t="n">
        <x:f>0.6*AJ345/1000</x:f>
        <x:v>0.38940600000000003</x:v>
      </x:c>
      <x:c r="AQ345" s="21" t="n">
        <x:f>0.5*AJ345/1000</x:f>
        <x:v>0.324505</x:v>
      </x:c>
      <x:c r="AR345" s="21" t="n">
        <x:f>0.5*AJ345/1000</x:f>
        <x:v>0.324505</x:v>
      </x:c>
      <x:c r="AS345" s="21" t="n">
        <x:f>0.01*AJ345/1000</x:f>
        <x:v>0.0064901</x:v>
      </x:c>
      <x:c r="AT345" s="21" t="n">
        <x:f>0.04*AJ345/1000</x:f>
        <x:v>0.0259604</x:v>
      </x:c>
      <x:c r="AU345" s="21" t="n">
        <x:f>0.13*AJ345/1000</x:f>
        <x:v>0.08437130000000001</x:v>
      </x:c>
      <x:c r="AV345" s="21"/>
      <x:c r="AW345" s="18">
        <x:v>0</x:v>
      </x:c>
      <x:c r="AX345" s="19"/>
      <x:c r="AY345" s="21"/>
      <x:c r="AZ345" s="21"/>
      <x:c r="BA345" s="21"/>
      <x:c r="BB345" s="21"/>
      <x:c r="BC345" s="21"/>
      <x:c r="BD345" s="21"/>
      <x:c r="BE345" s="21"/>
      <x:c r="BF345" s="21"/>
      <x:c r="BG345" s="21"/>
      <x:c r="BH345" t="s">
        <x:v>79</x:v>
      </x:c>
      <x:c r="BI345" s="18">
        <x:v>113</x:v>
      </x:c>
      <x:c r="BJ345" s="18">
        <x:v>40</x:v>
      </x:c>
      <x:c r="BK345" s="18">
        <x:v>52.14</x:v>
      </x:c>
      <x:c r="BL345" s="18">
        <x:v>22</x:v>
      </x:c>
      <x:c r="BM345" s="18">
        <x:v>44</x:v>
      </x:c>
      <x:c r="BN345" s="18">
        <x:v>50.03</x:v>
      </x:c>
      <x:c r="BO345" s="22">
        <x:v>113.68115</x:v>
      </x:c>
      <x:c r="BP345" s="22">
        <x:v>22.7472305555556</x:v>
      </x:c>
      <x:c r="BQ345" s="18">
        <x:v>240</x:v>
      </x:c>
      <x:c r="BR345" s="18">
        <x:v>919836.10100000002</x:v>
      </x:c>
      <x:c r="BS345" s="18">
        <x:v>20285.884999999998</x:v>
      </x:c>
      <x:c r="BT345" s="18">
        <x:v>118.002</x:v>
      </x:c>
      <x:c r="BU345" s="18">
        <x:v>4046.4050000000002</x:v>
      </x:c>
      <x:c r="BV345" s="18">
        <x:v>305.315</x:v>
      </x:c>
      <x:c r="BW345" s="18">
        <x:v>22682.850999999999</x:v>
      </x:c>
      <x:c r="BX345" s="18">
        <x:v>18.024000000000001</x:v>
      </x:c>
      <x:c r="BY345" s="18">
        <x:v>12505.911</x:v>
      </x:c>
      <x:c r="BZ345" s="18">
        <x:v>12505.911</x:v>
      </x:c>
      <x:c r="CA345" s="23">
        <x:f t="shared" si="315"/>
        <x:v>16666.158001800002</x:v>
      </x:c>
      <x:c r="CB345" s="23">
        <x:f t="shared" si="316"/>
        <x:v>7646.1265039999998</x:v>
      </x:c>
      <x:c r="CC345" s="23">
        <x:f t="shared" si="317"/>
        <x:v>2120.035406</x:v>
      </x:c>
      <x:c r="CD345" s="23">
        <x:f t="shared" si="318"/>
        <x:v>31280.735394250001</x:v>
      </x:c>
      <x:c r="CE345" s="23">
        <x:f t="shared" si="319"/>
        <x:v>8160.4316934999997</x:v>
      </x:c>
      <x:c r="CF345" s="23">
        <x:f t="shared" si="320"/>
        <x:v>16.326704477</x:v>
      </x:c>
      <x:c r="CG345" s="23">
        <x:f t="shared" si="321"/>
        <x:v>2.5960400000000002E-2</x:v>
      </x:c>
      <x:c r="CH345" s="23">
        <x:f t="shared" si="322"/>
        <x:v>42.477291299999997</x:v>
      </x:c>
      <x:c r="CI345" s="23">
        <x:f t="shared" si="323"/>
        <x:v>0</x:v>
      </x:c>
      <x:c r="CJ345" s="24" t="s">
        <x:v>114</x:v>
      </x:c>
      <x:c r="CK345" s="29">
        <x:v>99.36</x:v>
      </x:c>
      <x:c r="CL345" s="26" t="s">
        <x:v>104</x:v>
      </x:c>
      <x:c r="CM345" s="28">
        <x:v>85</x:v>
      </x:c>
      <x:c r="CN345" s="30" t="s">
        <x:v>132</x:v>
      </x:c>
      <x:c r="CO345" s="27">
        <x:v>99.4</x:v>
      </x:c>
      <x:c r="CP345" s="27">
        <x:v>98.3</x:v>
      </x:c>
      <x:c r="CQ345" s="26">
        <x:f t="shared" si="324"/>
        <x:v>106.66341121151937</x:v>
      </x:c>
      <x:c r="CR345" s="26">
        <x:f t="shared" si="325"/>
        <x:v>1146.9189756000001</x:v>
      </x:c>
      <x:c r="CS345" s="26">
        <x:f t="shared" si="327"/>
        <x:v>2120.035406</x:v>
      </x:c>
      <x:c r="CT345" s="26">
        <x:f t="shared" si="285"/>
        <x:v>187.68441236549671</x:v>
      </x:c>
      <x:c r="CU345" s="26">
        <x:f t="shared" si="286"/>
        <x:v>138.72733878950012</x:v>
      </x:c>
      <x:c r="CV345" s="26">
        <x:f t="shared" si="287"/>
        <x:v>0.27755397610900023</x:v>
      </x:c>
      <x:c r="CW345" s="26">
        <x:f t="shared" si="288"/>
        <x:v>4.413268000000004E-4</x:v>
      </x:c>
      <x:c r="CX345" s="26">
        <x:f t="shared" si="328"/>
        <x:v>42.477291299999997</x:v>
      </x:c>
      <x:c r="CY345" s="26">
        <x:f t="shared" si="329"/>
        <x:v>0</x:v>
      </x:c>
    </x:row>
    <x:row r="346">
      <x:c r="A346" s="18">
        <x:v>2022</x:v>
      </x:c>
      <x:c r="B346" t="s">
        <x:v>741</x:v>
      </x:c>
      <x:c r="C346" t="s">
        <x:v>742</x:v>
      </x:c>
      <x:c r="D346" t="s">
        <x:v>743</x:v>
      </x:c>
      <x:c r="E346" s="18">
        <x:v>441971</x:v>
      </x:c>
      <x:c r="F346" t="s">
        <x:v>736</x:v>
      </x:c>
      <x:c r="G346" s="8" t="s">
        <x:v>697</x:v>
      </x:c>
      <x:c r="H346" s="18">
        <x:v>4411</x:v>
      </x:c>
      <x:c r="I346" t="s">
        <x:v>102</x:v>
      </x:c>
      <x:c r="J346" t="s">
        <x:v>78</x:v>
      </x:c>
      <x:c r="K346" t="s">
        <x:v>109</x:v>
      </x:c>
      <x:c r="L346" s="20">
        <x:v>66</x:v>
      </x:c>
      <x:c r="M346" t="s">
        <x:v>110</x:v>
      </x:c>
      <x:c r="N346" s="18">
        <x:v>2100</x:v>
      </x:c>
      <x:c r="O346" t="s">
        <x:v>88</x:v>
      </x:c>
      <x:c r="P346" s="18">
        <x:v>4</x:v>
      </x:c>
      <x:c r="Q346" s="19" t="s">
        <x:v>111</x:v>
      </x:c>
      <x:c r="R346" s="18">
        <x:v>1303299</x:v>
      </x:c>
      <x:c r="S346" t="s">
        <x:v>112</x:v>
      </x:c>
      <x:c r="T346" s="19">
        <x:f t="shared" si="338"/>
        <x:v>1303299</x:v>
      </x:c>
      <x:c r="U346" s="20">
        <x:v>0.89100000000000001</x:v>
      </x:c>
      <x:c r="V346" t="s">
        <x:v>113</x:v>
      </x:c>
      <x:c r="W346" s="20">
        <x:v>17.059999999999999</x:v>
      </x:c>
      <x:c r="X346" s="21">
        <x:f t="shared" si="339"/>
        <x:v>19741.069952999998</x:v>
      </x:c>
      <x:c r="Y346" s="21" t="n">
        <x:f>7.21*T346/1000</x:f>
        <x:v>9396.78579</x:v>
      </x:c>
      <x:c r="Z346" s="21">
        <x:f t="shared" si="340"/>
        <x:v>2606.598</x:v>
      </x:c>
      <x:c r="AA346" s="21" t="n">
        <x:f>W346/100*(1-0.25)*0.23*T346</x:f>
        <x:v>38354.134621499994</x:v>
      </x:c>
      <x:c r="AB346" s="21" t="n">
        <x:f>W346/100*(1-0.25)*0.06*T346</x:f>
        <x:v>10005.426422999999</x:v>
      </x:c>
      <x:c r="AC346" s="21">
        <x:f t="shared" si="341"/>
        <x:v>20.010852845999999</x:v>
      </x:c>
      <x:c r="AD346" s="21"/>
      <x:c r="AE346" s="21">
        <x:f t="shared" si="342"/>
        <x:v>52.131959999999999</x:v>
      </x:c>
      <x:c r="AF346" s="21"/>
      <x:c r="AG346" s="19" t="s">
        <x:v>176</x:v>
      </x:c>
      <x:c r="AH346" s="18">
        <x:v>579.77</x:v>
      </x:c>
      <x:c r="AI346" t="s">
        <x:v>112</x:v>
      </x:c>
      <x:c r="AJ346" s="19">
        <x:f t="shared" si="343"/>
        <x:v>579.77</x:v>
      </x:c>
      <x:c r="AK346" s="20">
        <x:v>3.4000000000000002E-2</x:v>
      </x:c>
      <x:c r="AL346" t="s">
        <x:v>113</x:v>
      </x:c>
      <x:c r="AM346" s="20">
        <x:v>0</x:v>
      </x:c>
      <x:c r="AN346" s="21" t="n">
        <x:f>2*AK346/100*AJ346</x:f>
        <x:v>0.3942436</x:v>
      </x:c>
      <x:c r="AO346" s="21" t="n">
        <x:f>7.4*AJ346/1000</x:f>
        <x:v>4.290298</x:v>
      </x:c>
      <x:c r="AP346" s="21" t="n">
        <x:f>0.6*AJ346/1000</x:f>
        <x:v>0.34786199999999995</x:v>
      </x:c>
      <x:c r="AQ346" s="21" t="n">
        <x:f>0.5*AJ346/1000</x:f>
        <x:v>0.289885</x:v>
      </x:c>
      <x:c r="AR346" s="21" t="n">
        <x:f>0.5*AJ346/1000</x:f>
        <x:v>0.289885</x:v>
      </x:c>
      <x:c r="AS346" s="21" t="n">
        <x:f>0.01*AJ346/1000</x:f>
        <x:v>0.0057977</x:v>
      </x:c>
      <x:c r="AT346" s="21" t="n">
        <x:f>0.04*AJ346/1000</x:f>
        <x:v>0.0231908</x:v>
      </x:c>
      <x:c r="AU346" s="21" t="n">
        <x:f>0.13*AJ346/1000</x:f>
        <x:v>0.0753701</x:v>
      </x:c>
      <x:c r="AV346" s="21"/>
      <x:c r="AW346" s="18">
        <x:v>0</x:v>
      </x:c>
      <x:c r="AX346" s="19"/>
      <x:c r="AY346" s="21"/>
      <x:c r="AZ346" s="21"/>
      <x:c r="BA346" s="21"/>
      <x:c r="BB346" s="21"/>
      <x:c r="BC346" s="21"/>
      <x:c r="BD346" s="21"/>
      <x:c r="BE346" s="21"/>
      <x:c r="BF346" s="21"/>
      <x:c r="BG346" s="21"/>
      <x:c r="BH346" t="s">
        <x:v>82</x:v>
      </x:c>
      <x:c r="BI346" s="18">
        <x:v>113</x:v>
      </x:c>
      <x:c r="BJ346" s="18">
        <x:v>40</x:v>
      </x:c>
      <x:c r="BK346" s="18">
        <x:v>52.14</x:v>
      </x:c>
      <x:c r="BL346" s="18">
        <x:v>22</x:v>
      </x:c>
      <x:c r="BM346" s="18">
        <x:v>44</x:v>
      </x:c>
      <x:c r="BN346" s="18">
        <x:v>50.03</x:v>
      </x:c>
      <x:c r="BO346" s="22">
        <x:v>113.68115</x:v>
      </x:c>
      <x:c r="BP346" s="22">
        <x:v>22.7472305555556</x:v>
      </x:c>
      <x:c r="BQ346" s="18">
        <x:v>240</x:v>
      </x:c>
      <x:c r="BR346" s="18">
        <x:v>967356.96699999995</x:v>
      </x:c>
      <x:c r="BS346" s="18">
        <x:v>19857.456999999999</x:v>
      </x:c>
      <x:c r="BT346" s="18">
        <x:v>125.98699999999999</x:v>
      </x:c>
      <x:c r="BU346" s="18">
        <x:v>4075.8409999999999</x:v>
      </x:c>
      <x:c r="BV346" s="18">
        <x:v>317.24299999999999</x:v>
      </x:c>
      <x:c r="BW346" s="18">
        <x:v>27799.367999999999</x:v>
      </x:c>
      <x:c r="BX346" s="18">
        <x:v>19.247</x:v>
      </x:c>
      <x:c r="BY346" s="18">
        <x:v>15378.928</x:v>
      </x:c>
      <x:c r="BZ346" s="18">
        <x:v>15378.928</x:v>
      </x:c>
      <x:c r="CA346" s="23">
        <x:f t="shared" si="315"/>
        <x:v>19741.464196599998</x:v>
      </x:c>
      <x:c r="CB346" s="23">
        <x:f t="shared" si="316"/>
        <x:v>9401.0760879999998</x:v>
      </x:c>
      <x:c r="CC346" s="23">
        <x:f t="shared" si="317"/>
        <x:v>2606.945862</x:v>
      </x:c>
      <x:c r="CD346" s="23">
        <x:f t="shared" si="318"/>
        <x:v>38354.424506499992</x:v>
      </x:c>
      <x:c r="CE346" s="23">
        <x:f t="shared" si="319"/>
        <x:v>10005.716307999999</x:v>
      </x:c>
      <x:c r="CF346" s="23">
        <x:f t="shared" si="320"/>
        <x:v>20.016650545999997</x:v>
      </x:c>
      <x:c r="CG346" s="23">
        <x:f t="shared" si="321"/>
        <x:v>2.3190800000000001E-2</x:v>
      </x:c>
      <x:c r="CH346" s="23">
        <x:f t="shared" si="322"/>
        <x:v>52.2073301</x:v>
      </x:c>
      <x:c r="CI346" s="23">
        <x:f t="shared" si="323"/>
        <x:v>0</x:v>
      </x:c>
      <x:c r="CJ346" s="24" t="s">
        <x:v>114</x:v>
      </x:c>
      <x:c r="CK346" s="29">
        <x:v>99.36</x:v>
      </x:c>
      <x:c r="CL346" s="26" t="s">
        <x:v>104</x:v>
      </x:c>
      <x:c r="CM346" s="28">
        <x:v>85</x:v>
      </x:c>
      <x:c r="CN346" s="30" t="s">
        <x:v>132</x:v>
      </x:c>
      <x:c r="CO346" s="27">
        <x:v>99.4</x:v>
      </x:c>
      <x:c r="CP346" s="27">
        <x:v>98.3</x:v>
      </x:c>
      <x:c r="CQ346" s="26">
        <x:f t="shared" si="324"/>
        <x:v>126.34537085823922</x:v>
      </x:c>
      <x:c r="CR346" s="26">
        <x:f t="shared" si="325"/>
        <x:v>1410.1614132000002</x:v>
      </x:c>
      <x:c r="CS346" s="26">
        <x:f t="shared" si="327"/>
        <x:v>2606.945862</x:v>
      </x:c>
      <x:c r="CT346" s="26">
        <x:f t="shared" si="285"/>
        <x:v>230.12654703899591</x:v>
      </x:c>
      <x:c r="CU346" s="26">
        <x:f t="shared" si="286"/>
        <x:v>170.09717723600014</x:v>
      </x:c>
      <x:c r="CV346" s="26">
        <x:f t="shared" si="287"/>
        <x:v>0.34028305928200026</x:v>
      </x:c>
      <x:c r="CW346" s="26">
        <x:f t="shared" si="288"/>
        <x:v>3.9424360000000038E-4</x:v>
      </x:c>
      <x:c r="CX346" s="26">
        <x:f t="shared" si="328"/>
        <x:v>52.2073301</x:v>
      </x:c>
      <x:c r="CY346" s="26">
        <x:f t="shared" si="329"/>
        <x:v>0</x:v>
      </x:c>
    </x:row>
    <x:row r="347">
      <x:c r="A347" s="18">
        <x:v>2022</x:v>
      </x:c>
      <x:c r="B347" t="s">
        <x:v>744</x:v>
      </x:c>
      <x:c r="C347" t="s">
        <x:v>745</x:v>
      </x:c>
      <x:c r="D347" t="s">
        <x:v>746</x:v>
      </x:c>
      <x:c r="E347" s="18">
        <x:v>441973</x:v>
      </x:c>
      <x:c r="F347" t="s">
        <x:v>747</x:v>
      </x:c>
      <x:c r="G347" s="8" t="s">
        <x:v>697</x:v>
      </x:c>
      <x:c r="H347" s="18">
        <x:v>4430</x:v>
      </x:c>
      <x:c r="I347" t="s">
        <x:v>389</x:v>
      </x:c>
      <x:c r="J347" t="s">
        <x:v>78</x:v>
      </x:c>
      <x:c r="K347" t="s">
        <x:v>109</x:v>
      </x:c>
      <x:c r="L347" s="20">
        <x:v>0.7</x:v>
      </x:c>
      <x:c r="M347" t="s">
        <x:v>125</x:v>
      </x:c>
      <x:c r="N347" s="18">
        <x:v>100</x:v>
      </x:c>
      <x:c r="O347" t="s">
        <x:v>88</x:v>
      </x:c>
      <x:c r="P347" s="18">
        <x:v>4</x:v>
      </x:c>
      <x:c r="Q347" s="19" t="s">
        <x:v>111</x:v>
      </x:c>
      <x:c r="R347" s="18">
        <x:v>72387</x:v>
      </x:c>
      <x:c r="S347" t="s">
        <x:v>112</x:v>
      </x:c>
      <x:c r="T347" s="19">
        <x:f t="shared" si="338"/>
        <x:v>72387</x:v>
      </x:c>
      <x:c r="U347" s="20">
        <x:v>0.43</x:v>
      </x:c>
      <x:c r="V347" t="s">
        <x:v>113</x:v>
      </x:c>
      <x:c r="W347" s="20">
        <x:v>19.46</x:v>
      </x:c>
      <x:c r="X347" s="21">
        <x:f t="shared" si="339"/>
        <x:v>529.14896999999996</x:v>
      </x:c>
      <x:c r="Y347" s="21" t="n">
        <x:f>8.96*T347/1000</x:f>
        <x:v>648.58752</x:v>
      </x:c>
      <x:c r="Z347" s="21">
        <x:f t="shared" si="340"/>
        <x:v>144.774</x:v>
      </x:c>
      <x:c r="AA347" s="21" t="n">
        <x:f>W347/100*(1-0.44)*0.29*T347</x:f>
        <x:v>2287.64925648</x:v>
      </x:c>
      <x:c r="AB347" s="21" t="n">
        <x:f>W347/100*(1-0.44)*0.07*T347</x:f>
        <x:v>552.1911998400001</x:v>
      </x:c>
      <x:c r="AC347" s="21">
        <x:f t="shared" si="341"/>
        <x:v>1.1043823996800002</x:v>
      </x:c>
      <x:c r="AD347" s="21"/>
      <x:c r="AE347" s="21">
        <x:f t="shared" si="342"/>
        <x:v>2.8954800000000001</x:v>
      </x:c>
      <x:c r="AF347" s="21"/>
      <x:c r="AG347" s="19" t="s">
        <x:v>78</x:v>
      </x:c>
      <x:c r="AH347" t="s">
        <x:v>78</x:v>
      </x:c>
      <x:c r="AI347" t="s">
        <x:v>78</x:v>
      </x:c>
      <x:c r="AJ347" s="19"/>
      <x:c r="AK347" s="19" t="s">
        <x:v>78</x:v>
      </x:c>
      <x:c r="AL347" t="s">
        <x:v>78</x:v>
      </x:c>
      <x:c r="AM347" s="19" t="s">
        <x:v>78</x:v>
      </x:c>
      <x:c r="AN347" s="21"/>
      <x:c r="AO347" s="21"/>
      <x:c r="AP347" s="21"/>
      <x:c r="AQ347" s="21"/>
      <x:c r="AR347" s="21"/>
      <x:c r="AS347" s="21"/>
      <x:c r="AT347" s="21"/>
      <x:c r="AU347" s="21"/>
      <x:c r="AV347" s="21"/>
      <x:c r="AW347" t="s">
        <x:v>78</x:v>
      </x:c>
      <x:c r="AX347" s="19"/>
      <x:c r="AY347" s="21"/>
      <x:c r="AZ347" s="21"/>
      <x:c r="BA347" s="21"/>
      <x:c r="BB347" s="21"/>
      <x:c r="BC347" s="21"/>
      <x:c r="BD347" s="21"/>
      <x:c r="BE347" s="21"/>
      <x:c r="BF347" s="21"/>
      <x:c r="BG347" s="21"/>
      <x:c r="BH347" t="s">
        <x:v>81</x:v>
      </x:c>
      <x:c r="BI347" s="18">
        <x:v>111</x:v>
      </x:c>
      <x:c r="BJ347" s="18">
        <x:v>37</x:v>
      </x:c>
      <x:c r="BK347" s="18">
        <x:v>47</x:v>
      </x:c>
      <x:c r="BL347" s="18">
        <x:v>22</x:v>
      </x:c>
      <x:c r="BM347" s="18">
        <x:v>50</x:v>
      </x:c>
      <x:c r="BN347" s="18">
        <x:v>37</x:v>
      </x:c>
      <x:c r="BO347" s="22">
        <x:v>113.64125900000001</x:v>
      </x:c>
      <x:c r="BP347" s="22">
        <x:v>22.853221999999999</x:v>
      </x:c>
      <x:c r="BQ347" s="18">
        <x:v>80</x:v>
      </x:c>
      <x:c r="BR347" s="18">
        <x:v>16167</x:v>
      </x:c>
      <x:c r="BS347" s="18">
        <x:v>140.06899999999999</x:v>
      </x:c>
      <x:c r="BT347" s="18">
        <x:v>4.601</x:v>
      </x:c>
      <x:c r="BU347" s="18">
        <x:v>68.768000000000001</x:v>
      </x:c>
      <x:c r="BV347" s="18">
        <x:v>24.068999999999999</x:v>
      </x:c>
      <x:c r="BW347" s="18">
        <x:v>7776.7529999999997</x:v>
      </x:c>
      <x:c r="BX347" s="18">
        <x:v>27.207000000000001</x:v>
      </x:c>
      <x:c r="BY347" s="18">
        <x:v>2070.268</x:v>
      </x:c>
      <x:c r="BZ347" s="18">
        <x:v>2070.268</x:v>
      </x:c>
      <x:c r="CA347" s="23">
        <x:f t="shared" si="315"/>
        <x:v>529.14896999999996</x:v>
      </x:c>
      <x:c r="CB347" s="23">
        <x:f t="shared" si="316"/>
        <x:v>648.58752000000004</x:v>
      </x:c>
      <x:c r="CC347" s="23">
        <x:f t="shared" si="317"/>
        <x:v>144.774</x:v>
      </x:c>
      <x:c r="CD347" s="23">
        <x:f t="shared" si="318"/>
        <x:v>2287.6492564800001</x:v>
      </x:c>
      <x:c r="CE347" s="23">
        <x:f t="shared" si="319"/>
        <x:v>552.19119984000008</x:v>
      </x:c>
      <x:c r="CF347" s="23">
        <x:f t="shared" si="320"/>
        <x:v>1.1043823996800002</x:v>
      </x:c>
      <x:c r="CG347" s="23">
        <x:f t="shared" si="321"/>
        <x:v>0</x:v>
      </x:c>
      <x:c r="CH347" s="23">
        <x:f t="shared" si="322"/>
        <x:v>2.8954800000000001</x:v>
      </x:c>
      <x:c r="CI347" s="23">
        <x:f t="shared" si="323"/>
        <x:v>0</x:v>
      </x:c>
      <x:c r="CJ347" s="24" t="s">
        <x:v>356</x:v>
      </x:c>
      <x:c r="CK347" s="29">
        <x:v>93.69</x:v>
      </x:c>
      <x:c r="CL347" s="26" t="s">
        <x:v>104</x:v>
      </x:c>
      <x:c r="CM347" s="28">
        <x:v>86</x:v>
      </x:c>
      <x:c r="CN347" s="30" t="s">
        <x:v>168</x:v>
      </x:c>
      <x:c r="CO347" s="27">
        <x:v>99.4</x:v>
      </x:c>
      <x:c r="CP347" s="27">
        <x:v>98.3</x:v>
      </x:c>
      <x:c r="CQ347" s="26">
        <x:f t="shared" si="324"/>
        <x:v>33.389300007000024</x:v>
      </x:c>
      <x:c r="CR347" s="26">
        <x:f t="shared" si="325"/>
        <x:v>90.802252800000019</x:v>
      </x:c>
      <x:c r="CS347" s="26">
        <x:f t="shared" si="327"/>
        <x:v>144.774</x:v>
      </x:c>
      <x:c r="CT347" s="26">
        <x:f t="shared" si="285"/>
        <x:v>13.725895538879758</x:v>
      </x:c>
      <x:c r="CU347" s="26">
        <x:f t="shared" si="286"/>
        <x:v>9.3872503972800097</x:v>
      </x:c>
      <x:c r="CV347" s="26">
        <x:f t="shared" si="287"/>
        <x:v>1.8774500794560021E-2</x:v>
      </x:c>
      <x:c r="CW347" s="26">
        <x:f t="shared" si="288"/>
        <x:v>0</x:v>
      </x:c>
      <x:c r="CX347" s="26">
        <x:f t="shared" si="328"/>
        <x:v>2.8954800000000001</x:v>
      </x:c>
      <x:c r="CY347" s="26">
        <x:f t="shared" si="329"/>
        <x:v>0</x:v>
      </x:c>
    </x:row>
    <x:row r="348">
      <x:c r="A348" s="18">
        <x:v>2022</x:v>
      </x:c>
      <x:c r="B348" t="s">
        <x:v>744</x:v>
      </x:c>
      <x:c r="C348" t="s">
        <x:v>745</x:v>
      </x:c>
      <x:c r="D348" t="s">
        <x:v>746</x:v>
      </x:c>
      <x:c r="E348" s="18">
        <x:v>441973</x:v>
      </x:c>
      <x:c r="F348" t="s">
        <x:v>747</x:v>
      </x:c>
      <x:c r="G348" s="8" t="s">
        <x:v>697</x:v>
      </x:c>
      <x:c r="H348" s="18">
        <x:v>4430</x:v>
      </x:c>
      <x:c r="I348" t="s">
        <x:v>389</x:v>
      </x:c>
      <x:c r="J348" t="s">
        <x:v>78</x:v>
      </x:c>
      <x:c r="K348" t="s">
        <x:v>109</x:v>
      </x:c>
      <x:c r="L348" s="20">
        <x:v>0.6</x:v>
      </x:c>
      <x:c r="M348" t="s">
        <x:v>125</x:v>
      </x:c>
      <x:c r="N348" s="18">
        <x:v>100</x:v>
      </x:c>
      <x:c r="O348" t="s">
        <x:v>88</x:v>
      </x:c>
      <x:c r="P348" s="18">
        <x:v>4</x:v>
      </x:c>
      <x:c r="Q348" s="19" t="s">
        <x:v>111</x:v>
      </x:c>
      <x:c r="R348" s="18">
        <x:v>68365</x:v>
      </x:c>
      <x:c r="S348" t="s">
        <x:v>112</x:v>
      </x:c>
      <x:c r="T348" s="19">
        <x:f t="shared" si="338"/>
        <x:v>68365</x:v>
      </x:c>
      <x:c r="U348" s="20">
        <x:v>0.43</x:v>
      </x:c>
      <x:c r="V348" t="s">
        <x:v>113</x:v>
      </x:c>
      <x:c r="W348" s="20">
        <x:v>19.46</x:v>
      </x:c>
      <x:c r="X348" s="21">
        <x:f t="shared" si="339"/>
        <x:v>499.74814999999995</x:v>
      </x:c>
      <x:c r="Y348" s="21" t="n">
        <x:f>8.96*T348/1000</x:f>
        <x:v>612.5504</x:v>
      </x:c>
      <x:c r="Z348" s="21">
        <x:f t="shared" si="340"/>
        <x:v>136.72999999999999</x:v>
      </x:c>
      <x:c r="AA348" s="21" t="n">
        <x:f>W348/100*(1-0.44)*0.29*T348</x:f>
        <x:v>2160.5418296</x:v>
      </x:c>
      <x:c r="AB348" s="21" t="n">
        <x:f>W348/100*(1-0.44)*0.07*T348</x:f>
        <x:v>521.5100968</x:v>
      </x:c>
      <x:c r="AC348" s="21">
        <x:f t="shared" si="341"/>
        <x:v>1.0430201936000001</x:v>
      </x:c>
      <x:c r="AD348" s="21"/>
      <x:c r="AE348" s="21">
        <x:f t="shared" si="342"/>
        <x:v>2.7345999999999999</x:v>
      </x:c>
      <x:c r="AF348" s="21"/>
      <x:c r="AG348" s="19" t="s">
        <x:v>78</x:v>
      </x:c>
      <x:c r="AH348" t="s">
        <x:v>78</x:v>
      </x:c>
      <x:c r="AI348" t="s">
        <x:v>78</x:v>
      </x:c>
      <x:c r="AJ348" s="19"/>
      <x:c r="AK348" s="19" t="s">
        <x:v>78</x:v>
      </x:c>
      <x:c r="AL348" t="s">
        <x:v>78</x:v>
      </x:c>
      <x:c r="AM348" s="19" t="s">
        <x:v>78</x:v>
      </x:c>
      <x:c r="AN348" s="21"/>
      <x:c r="AO348" s="21"/>
      <x:c r="AP348" s="21"/>
      <x:c r="AQ348" s="21"/>
      <x:c r="AR348" s="21"/>
      <x:c r="AS348" s="21"/>
      <x:c r="AT348" s="21"/>
      <x:c r="AU348" s="21"/>
      <x:c r="AV348" s="21"/>
      <x:c r="AW348" t="s">
        <x:v>78</x:v>
      </x:c>
      <x:c r="AX348" s="19"/>
      <x:c r="AY348" s="21"/>
      <x:c r="AZ348" s="21"/>
      <x:c r="BA348" s="21"/>
      <x:c r="BB348" s="21"/>
      <x:c r="BC348" s="21"/>
      <x:c r="BD348" s="21"/>
      <x:c r="BE348" s="21"/>
      <x:c r="BF348" s="21"/>
      <x:c r="BG348" s="21"/>
      <x:c r="BH348" t="s">
        <x:v>81</x:v>
      </x:c>
      <x:c r="BI348" s="18">
        <x:v>111</x:v>
      </x:c>
      <x:c r="BJ348" s="18">
        <x:v>37</x:v>
      </x:c>
      <x:c r="BK348" s="18">
        <x:v>47</x:v>
      </x:c>
      <x:c r="BL348" s="18">
        <x:v>22</x:v>
      </x:c>
      <x:c r="BM348" s="18">
        <x:v>50</x:v>
      </x:c>
      <x:c r="BN348" s="18">
        <x:v>37</x:v>
      </x:c>
      <x:c r="BO348" s="22">
        <x:v>113.64125900000001</x:v>
      </x:c>
      <x:c r="BP348" s="22">
        <x:v>22.853221999999999</x:v>
      </x:c>
      <x:c r="BQ348" s="18">
        <x:v>80</x:v>
      </x:c>
      <x:c r="BR348" s="18">
        <x:v>20156</x:v>
      </x:c>
      <x:c r="BS348" s="18">
        <x:v>132.286</x:v>
      </x:c>
      <x:c r="BT348" s="18">
        <x:v>4.3460000000000001</x:v>
      </x:c>
      <x:c r="BU348" s="18">
        <x:v>64.947000000000003</x:v>
      </x:c>
      <x:c r="BV348" s="18">
        <x:v>22.731000000000002</x:v>
      </x:c>
      <x:c r="BW348" s="18">
        <x:v>7344.6570000000002</x:v>
      </x:c>
      <x:c r="BX348" s="18">
        <x:v>23.542999999999999</x:v>
      </x:c>
      <x:c r="BY348" s="18">
        <x:v>1955.239</x:v>
      </x:c>
      <x:c r="BZ348" s="18">
        <x:v>1955.239</x:v>
      </x:c>
      <x:c r="CA348" s="23">
        <x:f t="shared" si="315"/>
        <x:v>499.74814999999995</x:v>
      </x:c>
      <x:c r="CB348" s="23">
        <x:f t="shared" si="316"/>
        <x:v>612.55039999999997</x:v>
      </x:c>
      <x:c r="CC348" s="23">
        <x:f t="shared" si="317"/>
        <x:v>136.72999999999999</x:v>
      </x:c>
      <x:c r="CD348" s="23">
        <x:f t="shared" si="318"/>
        <x:v>2160.5418295999998</x:v>
      </x:c>
      <x:c r="CE348" s="23">
        <x:f t="shared" si="319"/>
        <x:v>521.51009680000004</x:v>
      </x:c>
      <x:c r="CF348" s="23">
        <x:f t="shared" si="320"/>
        <x:v>1.0430201936000001</x:v>
      </x:c>
      <x:c r="CG348" s="23">
        <x:f t="shared" si="321"/>
        <x:v>0</x:v>
      </x:c>
      <x:c r="CH348" s="23">
        <x:f t="shared" si="322"/>
        <x:v>2.7345999999999999</x:v>
      </x:c>
      <x:c r="CI348" s="23">
        <x:f t="shared" si="323"/>
        <x:v>0</x:v>
      </x:c>
      <x:c r="CJ348" s="24" t="s">
        <x:v>356</x:v>
      </x:c>
      <x:c r="CK348" s="29">
        <x:v>93.69</x:v>
      </x:c>
      <x:c r="CL348" s="26" t="s">
        <x:v>104</x:v>
      </x:c>
      <x:c r="CM348" s="28">
        <x:v>86</x:v>
      </x:c>
      <x:c r="CN348" s="30" t="s">
        <x:v>168</x:v>
      </x:c>
      <x:c r="CO348" s="27">
        <x:v>99.4</x:v>
      </x:c>
      <x:c r="CP348" s="27">
        <x:v>98.3</x:v>
      </x:c>
      <x:c r="CQ348" s="26">
        <x:f t="shared" si="324"/>
        <x:v>31.534108265000018</x:v>
      </x:c>
      <x:c r="CR348" s="26">
        <x:f t="shared" si="325"/>
        <x:v>85.757056000000006</x:v>
      </x:c>
      <x:c r="CS348" s="26">
        <x:f t="shared" si="327"/>
        <x:v>136.72999999999999</x:v>
      </x:c>
      <x:c r="CT348" s="26">
        <x:f t="shared" si="285"/>
        <x:v>12.96325097759977</x:v>
      </x:c>
      <x:c r="CU348" s="26">
        <x:f t="shared" si="286"/>
        <x:v>8.865671645600008</x:v>
      </x:c>
      <x:c r="CV348" s="26">
        <x:f t="shared" si="287"/>
        <x:v>1.7731343291200016E-2</x:v>
      </x:c>
      <x:c r="CW348" s="26">
        <x:f t="shared" si="288"/>
        <x:v>0</x:v>
      </x:c>
      <x:c r="CX348" s="26">
        <x:f t="shared" si="328"/>
        <x:v>2.7345999999999999</x:v>
      </x:c>
      <x:c r="CY348" s="26">
        <x:f t="shared" si="329"/>
        <x:v>0</x:v>
      </x:c>
    </x:row>
    <x:row r="349" s="8" customFormat="1">
      <x:c r="A349" s="31">
        <x:v>2022</x:v>
      </x:c>
      <x:c r="B349" s="8" t="s">
        <x:v>744</x:v>
      </x:c>
      <x:c r="C349" s="8" t="s">
        <x:v>745</x:v>
      </x:c>
      <x:c r="D349" s="8" t="s">
        <x:v>746</x:v>
      </x:c>
      <x:c r="E349" s="31">
        <x:v>441973</x:v>
      </x:c>
      <x:c r="F349" s="8" t="s">
        <x:v>747</x:v>
      </x:c>
      <x:c r="G349" s="8" t="s">
        <x:v>697</x:v>
      </x:c>
      <x:c r="H349" s="31">
        <x:v>4430</x:v>
      </x:c>
      <x:c r="I349" s="8" t="s">
        <x:v>389</x:v>
      </x:c>
      <x:c r="J349" s="8" t="s">
        <x:v>78</x:v>
      </x:c>
      <x:c r="K349" s="8" t="s">
        <x:v>72</x:v>
      </x:c>
      <x:c r="L349" s="31">
        <x:v>0.7</x:v>
      </x:c>
      <x:c r="M349" s="8" t="s">
        <x:v>73</x:v>
      </x:c>
      <x:c r="N349" s="31">
        <x:v>150</x:v>
      </x:c>
      <x:c r="O349" s="8" t="s">
        <x:v>88</x:v>
      </x:c>
      <x:c r="P349" s="31">
        <x:v>15</x:v>
      </x:c>
      <x:c r="Q349" s="32" t="s">
        <x:v>96</x:v>
      </x:c>
      <x:c r="R349" s="31">
        <x:v>791</x:v>
      </x:c>
      <x:c r="S349" s="8" t="s">
        <x:v>76</x:v>
      </x:c>
      <x:c r="T349" s="32">
        <x:f t="shared" si="338"/>
        <x:v>791</x:v>
      </x:c>
      <x:c r="U349" s="32">
        <x:v>3.83</x:v>
      </x:c>
      <x:c r="V349" s="8" t="s">
        <x:v>77</x:v>
      </x:c>
      <x:c r="W349" s="32" t="s">
        <x:v>78</x:v>
      </x:c>
      <x:c r="X349" s="33" t="n">
        <x:f t="shared" ref="X349:X354" si="344">2*U349*T349*10000/1000000000</x:f>
        <x:v>0.06059060000000001</x:v>
      </x:c>
      <x:c r="Y349" s="21" t="n">
        <x:f t="shared" ref="Y349:Y354" si="345">4.1*T349*10000/1000000</x:f>
        <x:v>32.431</x:v>
      </x:c>
      <x:c r="Z349" s="21" t="n">
        <x:f t="shared" ref="Z349:Z354" si="346">1.3*T349*10000/1000000</x:f>
        <x:v>10.283</x:v>
      </x:c>
      <x:c r="AA349" s="21" t="n">
        <x:f t="shared" ref="AA349:AA354" si="347">0.03*T349*10000/1000000</x:f>
        <x:v>0.2373</x:v>
      </x:c>
      <x:c r="AB349" s="21" t="n">
        <x:f t="shared" ref="AB349:AB354" si="348">0.03*T349*10000/1000000</x:f>
        <x:v>0.2373</x:v>
      </x:c>
      <x:c r="AC349" s="33"/>
      <x:c r="AD349" s="33"/>
      <x:c r="AE349" s="21" t="n">
        <x:f t="shared" ref="AE349:AE354" si="349">0.02*T349*10000/1000000</x:f>
        <x:v>0.1582</x:v>
      </x:c>
      <x:c r="AF349" s="33"/>
      <x:c r="AG349" s="32" t="s">
        <x:v>78</x:v>
      </x:c>
      <x:c r="AH349" s="8" t="s">
        <x:v>78</x:v>
      </x:c>
      <x:c r="AI349" s="8" t="s">
        <x:v>78</x:v>
      </x:c>
      <x:c r="AJ349" s="32"/>
      <x:c r="AK349" s="32" t="s">
        <x:v>78</x:v>
      </x:c>
      <x:c r="AL349" s="8" t="s">
        <x:v>78</x:v>
      </x:c>
      <x:c r="AM349" s="32" t="s">
        <x:v>78</x:v>
      </x:c>
      <x:c r="AN349" s="33"/>
      <x:c r="AO349" s="33"/>
      <x:c r="AP349" s="33"/>
      <x:c r="AQ349" s="33"/>
      <x:c r="AR349" s="33"/>
      <x:c r="AS349" s="33"/>
      <x:c r="AT349" s="33"/>
      <x:c r="AU349" s="33"/>
      <x:c r="AV349" s="33"/>
      <x:c r="AW349" s="8" t="s">
        <x:v>78</x:v>
      </x:c>
      <x:c r="AX349" s="32"/>
      <x:c r="AY349" s="33"/>
      <x:c r="AZ349" s="33"/>
      <x:c r="BA349" s="33"/>
      <x:c r="BB349" s="33"/>
      <x:c r="BC349" s="33"/>
      <x:c r="BD349" s="33"/>
      <x:c r="BE349" s="33"/>
      <x:c r="BF349" s="33"/>
      <x:c r="BG349" s="33"/>
      <x:c r="BH349" s="8" t="s">
        <x:v>81</x:v>
      </x:c>
      <x:c r="BI349" s="31">
        <x:v>111</x:v>
      </x:c>
      <x:c r="BJ349" s="31">
        <x:v>37</x:v>
      </x:c>
      <x:c r="BK349" s="31">
        <x:v>47</x:v>
      </x:c>
      <x:c r="BL349" s="31">
        <x:v>22</x:v>
      </x:c>
      <x:c r="BM349" s="31">
        <x:v>50</x:v>
      </x:c>
      <x:c r="BN349" s="31">
        <x:v>37</x:v>
      </x:c>
      <x:c r="BO349" s="22">
        <x:v>113.64125900000001</x:v>
      </x:c>
      <x:c r="BP349" s="22">
        <x:v>22.853221999999999</x:v>
      </x:c>
      <x:c r="BQ349" s="31">
        <x:v>80</x:v>
      </x:c>
      <x:c r="BR349" s="31">
        <x:v>56626</x:v>
      </x:c>
      <x:c r="BS349" s="31">
        <x:v>0.316</x:v>
      </x:c>
      <x:c r="BT349" s="31">
        <x:v>0.316</x:v>
      </x:c>
      <x:c r="BU349" s="31">
        <x:v>6.8029999999999999</x:v>
      </x:c>
      <x:c r="BV349" s="31">
        <x:v>2.0409999999999999</x:v>
      </x:c>
      <x:c r="BW349" s="31">
        <x:v>0.82199999999999995</x:v>
      </x:c>
      <x:c r="BX349" s="31">
        <x:v>0.82199999999999995</x:v>
      </x:c>
      <x:c r="BY349" s="31">
        <x:v>1328.88</x:v>
      </x:c>
      <x:c r="BZ349" s="31">
        <x:v>1328.88</x:v>
      </x:c>
      <x:c r="CA349" s="23">
        <x:f t="shared" si="315"/>
        <x:v>6.0590600000000008E-2</x:v>
      </x:c>
      <x:c r="CB349" s="23">
        <x:f t="shared" si="316"/>
        <x:v>32.430999999999997</x:v>
      </x:c>
      <x:c r="CC349" s="23">
        <x:f t="shared" si="317"/>
        <x:v>10.282999999999999</x:v>
      </x:c>
      <x:c r="CD349" s="23">
        <x:f t="shared" si="318"/>
        <x:v>0.23730000000000001</x:v>
      </x:c>
      <x:c r="CE349" s="23">
        <x:f t="shared" si="319"/>
        <x:v>0.23730000000000001</x:v>
      </x:c>
      <x:c r="CF349" s="23">
        <x:f t="shared" si="320"/>
        <x:v>0</x:v>
      </x:c>
      <x:c r="CG349" s="23">
        <x:f t="shared" si="321"/>
        <x:v>0</x:v>
      </x:c>
      <x:c r="CH349" s="23">
        <x:f t="shared" si="322"/>
        <x:v>0.15820000000000001</x:v>
      </x:c>
      <x:c r="CI349" s="23">
        <x:f t="shared" si="323"/>
        <x:v>0</x:v>
      </x:c>
      <x:c r="CJ349" s="25" t="s">
        <x:v>356</x:v>
      </x:c>
      <x:c r="CK349" s="29">
        <x:v>93.69</x:v>
      </x:c>
      <x:c r="CL349" s="34" t="s">
        <x:v>104</x:v>
      </x:c>
      <x:c r="CM349" s="28">
        <x:v>86</x:v>
      </x:c>
      <x:c r="CN349" s="30" t="s">
        <x:v>168</x:v>
      </x:c>
      <x:c r="CO349" s="27">
        <x:v>99.4</x:v>
      </x:c>
      <x:c r="CP349" s="27">
        <x:v>98.3</x:v>
      </x:c>
      <x:c r="CQ349" s="26">
        <x:f t="shared" si="324"/>
        <x:v>3.8232668600000031E-3</x:v>
      </x:c>
      <x:c r="CR349" s="26">
        <x:f t="shared" si="325"/>
        <x:v>4.5403400000000005</x:v>
      </x:c>
      <x:c r="CS349" s="26">
        <x:f t="shared" si="327"/>
        <x:v>10.282999999999999</x:v>
      </x:c>
      <x:c r="CT349" s="26">
        <x:f t="shared" si="285"/>
        <x:v>1.4237999999999751E-3</x:v>
      </x:c>
      <x:c r="CU349" s="26">
        <x:f t="shared" si="286"/>
        <x:v>4.034100000000004E-3</x:v>
      </x:c>
      <x:c r="CV349" s="26">
        <x:f t="shared" si="287"/>
        <x:v>0</x:v>
      </x:c>
      <x:c r="CW349" s="26">
        <x:f t="shared" si="288"/>
        <x:v>0</x:v>
      </x:c>
      <x:c r="CX349" s="26">
        <x:f t="shared" si="328"/>
        <x:v>0.15820000000000001</x:v>
      </x:c>
      <x:c r="CY349" s="26">
        <x:f t="shared" si="329"/>
        <x:v>0</x:v>
      </x:c>
    </x:row>
    <x:row r="350" s="8" customFormat="1">
      <x:c r="A350" s="31">
        <x:v>2022</x:v>
      </x:c>
      <x:c r="B350" s="8" t="s">
        <x:v>744</x:v>
      </x:c>
      <x:c r="C350" s="8" t="s">
        <x:v>745</x:v>
      </x:c>
      <x:c r="D350" s="8" t="s">
        <x:v>746</x:v>
      </x:c>
      <x:c r="E350" s="31">
        <x:v>441973</x:v>
      </x:c>
      <x:c r="F350" s="8" t="s">
        <x:v>747</x:v>
      </x:c>
      <x:c r="G350" s="8" t="s">
        <x:v>697</x:v>
      </x:c>
      <x:c r="H350" s="31">
        <x:v>4430</x:v>
      </x:c>
      <x:c r="I350" s="8" t="s">
        <x:v>389</x:v>
      </x:c>
      <x:c r="J350" s="8" t="s">
        <x:v>78</x:v>
      </x:c>
      <x:c r="K350" s="8" t="s">
        <x:v>72</x:v>
      </x:c>
      <x:c r="L350" s="31">
        <x:v>0.6</x:v>
      </x:c>
      <x:c r="M350" s="8" t="s">
        <x:v>73</x:v>
      </x:c>
      <x:c r="N350" s="31">
        <x:v>150</x:v>
      </x:c>
      <x:c r="O350" s="8" t="s">
        <x:v>88</x:v>
      </x:c>
      <x:c r="P350" s="31">
        <x:v>15</x:v>
      </x:c>
      <x:c r="Q350" s="32" t="s">
        <x:v>96</x:v>
      </x:c>
      <x:c r="R350" s="31">
        <x:v>823</x:v>
      </x:c>
      <x:c r="S350" s="8" t="s">
        <x:v>76</x:v>
      </x:c>
      <x:c r="T350" s="32">
        <x:f t="shared" si="338"/>
        <x:v>823</x:v>
      </x:c>
      <x:c r="U350" s="32">
        <x:v>3.83</x:v>
      </x:c>
      <x:c r="V350" s="8" t="s">
        <x:v>77</x:v>
      </x:c>
      <x:c r="W350" s="32" t="s">
        <x:v>78</x:v>
      </x:c>
      <x:c r="X350" s="33">
        <x:f t="shared" si="344"/>
        <x:v>6.3041799999999995E-2</x:v>
      </x:c>
      <x:c r="Y350" s="21">
        <x:f t="shared" si="345"/>
        <x:v>33.743000000000002</x:v>
      </x:c>
      <x:c r="Z350" s="21">
        <x:f t="shared" si="346"/>
        <x:v>10.699</x:v>
      </x:c>
      <x:c r="AA350" s="21">
        <x:f t="shared" si="347"/>
        <x:v>0.24689999999999998</x:v>
      </x:c>
      <x:c r="AB350" s="21">
        <x:f t="shared" si="348"/>
        <x:v>0.24689999999999998</x:v>
      </x:c>
      <x:c r="AC350" s="33"/>
      <x:c r="AD350" s="33"/>
      <x:c r="AE350" s="21">
        <x:f t="shared" si="349"/>
        <x:v>0.1646</x:v>
      </x:c>
      <x:c r="AF350" s="33"/>
      <x:c r="AG350" s="32" t="s">
        <x:v>78</x:v>
      </x:c>
      <x:c r="AH350" s="8" t="s">
        <x:v>78</x:v>
      </x:c>
      <x:c r="AI350" s="8" t="s">
        <x:v>78</x:v>
      </x:c>
      <x:c r="AJ350" s="32"/>
      <x:c r="AK350" s="32" t="s">
        <x:v>78</x:v>
      </x:c>
      <x:c r="AL350" s="8" t="s">
        <x:v>78</x:v>
      </x:c>
      <x:c r="AM350" s="32" t="s">
        <x:v>78</x:v>
      </x:c>
      <x:c r="AN350" s="33"/>
      <x:c r="AO350" s="33"/>
      <x:c r="AP350" s="33"/>
      <x:c r="AQ350" s="33"/>
      <x:c r="AR350" s="33"/>
      <x:c r="AS350" s="33"/>
      <x:c r="AT350" s="33"/>
      <x:c r="AU350" s="33"/>
      <x:c r="AV350" s="33"/>
      <x:c r="AW350" s="8" t="s">
        <x:v>78</x:v>
      </x:c>
      <x:c r="AX350" s="32"/>
      <x:c r="AY350" s="33"/>
      <x:c r="AZ350" s="33"/>
      <x:c r="BA350" s="33"/>
      <x:c r="BB350" s="33"/>
      <x:c r="BC350" s="33"/>
      <x:c r="BD350" s="33"/>
      <x:c r="BE350" s="33"/>
      <x:c r="BF350" s="33"/>
      <x:c r="BG350" s="33"/>
      <x:c r="BH350" s="8" t="s">
        <x:v>81</x:v>
      </x:c>
      <x:c r="BI350" s="31">
        <x:v>111</x:v>
      </x:c>
      <x:c r="BJ350" s="31">
        <x:v>37</x:v>
      </x:c>
      <x:c r="BK350" s="31">
        <x:v>47</x:v>
      </x:c>
      <x:c r="BL350" s="31">
        <x:v>22</x:v>
      </x:c>
      <x:c r="BM350" s="31">
        <x:v>50</x:v>
      </x:c>
      <x:c r="BN350" s="31">
        <x:v>37</x:v>
      </x:c>
      <x:c r="BO350" s="22">
        <x:v>113.64125900000001</x:v>
      </x:c>
      <x:c r="BP350" s="22">
        <x:v>22.853221999999999</x:v>
      </x:c>
      <x:c r="BQ350" s="31">
        <x:v>80</x:v>
      </x:c>
      <x:c r="BR350" s="31">
        <x:v>31081</x:v>
      </x:c>
      <x:c r="BS350" s="31">
        <x:v>0.33</x:v>
      </x:c>
      <x:c r="BT350" s="31">
        <x:v>0.33</x:v>
      </x:c>
      <x:c r="BU350" s="31">
        <x:v>7.0910000000000002</x:v>
      </x:c>
      <x:c r="BV350" s="31">
        <x:v>2.1269999999999998</x:v>
      </x:c>
      <x:c r="BW350" s="31">
        <x:v>0.85699999999999998</x:v>
      </x:c>
      <x:c r="BX350" s="31">
        <x:v>0.85699999999999998</x:v>
      </x:c>
      <x:c r="BY350" s="31">
        <x:v>1382.64</x:v>
      </x:c>
      <x:c r="BZ350" s="31">
        <x:v>1382.64</x:v>
      </x:c>
      <x:c r="CA350" s="23">
        <x:f t="shared" si="315"/>
        <x:v>6.3041799999999995E-2</x:v>
      </x:c>
      <x:c r="CB350" s="23">
        <x:f t="shared" si="316"/>
        <x:v>33.743000000000002</x:v>
      </x:c>
      <x:c r="CC350" s="23">
        <x:f t="shared" si="317"/>
        <x:v>10.699</x:v>
      </x:c>
      <x:c r="CD350" s="23">
        <x:f t="shared" si="318"/>
        <x:v>0.24689999999999998</x:v>
      </x:c>
      <x:c r="CE350" s="23">
        <x:f t="shared" si="319"/>
        <x:v>0.24689999999999998</x:v>
      </x:c>
      <x:c r="CF350" s="23">
        <x:f t="shared" si="320"/>
        <x:v>0</x:v>
      </x:c>
      <x:c r="CG350" s="23">
        <x:f t="shared" si="321"/>
        <x:v>0</x:v>
      </x:c>
      <x:c r="CH350" s="23">
        <x:f t="shared" si="322"/>
        <x:v>0.1646</x:v>
      </x:c>
      <x:c r="CI350" s="23">
        <x:f t="shared" si="323"/>
        <x:v>0</x:v>
      </x:c>
      <x:c r="CJ350" s="25" t="s">
        <x:v>356</x:v>
      </x:c>
      <x:c r="CK350" s="29">
        <x:v>93.69</x:v>
      </x:c>
      <x:c r="CL350" s="34" t="s">
        <x:v>104</x:v>
      </x:c>
      <x:c r="CM350" s="28">
        <x:v>86</x:v>
      </x:c>
      <x:c r="CN350" s="30" t="s">
        <x:v>168</x:v>
      </x:c>
      <x:c r="CO350" s="27">
        <x:v>99.4</x:v>
      </x:c>
      <x:c r="CP350" s="27">
        <x:v>98.3</x:v>
      </x:c>
      <x:c r="CQ350" s="26">
        <x:f t="shared" si="324"/>
        <x:v>3.9779375800000029E-3</x:v>
      </x:c>
      <x:c r="CR350" s="26">
        <x:f t="shared" si="325"/>
        <x:v>4.7240200000000003</x:v>
      </x:c>
      <x:c r="CS350" s="26">
        <x:f t="shared" si="327"/>
        <x:v>10.699</x:v>
      </x:c>
      <x:c r="CT350" s="26" t="n">
        <x:f t="shared" ref="CT350:CT413" si="350">CD350*(1-CO350/100)</x:f>
        <x:v>0.0014813999999999739</x:v>
      </x:c>
      <x:c r="CU350" s="26" t="n">
        <x:f t="shared" ref="CU350:CU413" si="351">CE350*(1-CP350/100)</x:f>
        <x:v>0.004197300000000004</x:v>
      </x:c>
      <x:c r="CV350" s="26" t="n">
        <x:f t="shared" ref="CV350:CV413" si="352">CF350*(1-CP350/100)</x:f>
        <x:v>0</x:v>
      </x:c>
      <x:c r="CW350" s="26" t="n">
        <x:f t="shared" ref="CW350:CW413" si="353">CG350*(1-CP350/100)</x:f>
        <x:v>0</x:v>
      </x:c>
      <x:c r="CX350" s="26">
        <x:f t="shared" si="328"/>
        <x:v>0.1646</x:v>
      </x:c>
      <x:c r="CY350" s="26">
        <x:f t="shared" si="329"/>
        <x:v>0</x:v>
      </x:c>
    </x:row>
    <x:row r="351" s="8" customFormat="1">
      <x:c r="A351" s="31">
        <x:v>2022</x:v>
      </x:c>
      <x:c r="B351" s="8" t="s">
        <x:v>748</x:v>
      </x:c>
      <x:c r="C351" s="8" t="s">
        <x:v>749</x:v>
      </x:c>
      <x:c r="D351" s="8" t="s">
        <x:v>750</x:v>
      </x:c>
      <x:c r="E351" s="31">
        <x:v>441973</x:v>
      </x:c>
      <x:c r="F351" s="8" t="s">
        <x:v>747</x:v>
      </x:c>
      <x:c r="G351" s="8" t="s">
        <x:v>697</x:v>
      </x:c>
      <x:c r="H351" s="31">
        <x:v>4411</x:v>
      </x:c>
      <x:c r="I351" s="8" t="s">
        <x:v>102</x:v>
      </x:c>
      <x:c r="J351" s="8" t="s">
        <x:v>435</x:v>
      </x:c>
      <x:c r="K351" s="8" t="s">
        <x:v>80</x:v>
      </x:c>
      <x:c r="L351" s="31">
        <x:v>12</x:v>
      </x:c>
      <x:c r="M351" s="8" t="s">
        <x:v>78</x:v>
      </x:c>
      <x:c r="N351" s="31">
        <x:v>188</x:v>
      </x:c>
      <x:c r="O351" s="8" t="s">
        <x:v>88</x:v>
      </x:c>
      <x:c r="P351" s="31">
        <x:v>15</x:v>
      </x:c>
      <x:c r="Q351" s="32" t="s">
        <x:v>96</x:v>
      </x:c>
      <x:c r="R351" s="31">
        <x:v>3087.44</x:v>
      </x:c>
      <x:c r="S351" s="8" t="s">
        <x:v>76</x:v>
      </x:c>
      <x:c r="T351" s="32">
        <x:f t="shared" si="338"/>
        <x:v>3087.44</x:v>
      </x:c>
      <x:c r="U351" s="32">
        <x:v>3.83</x:v>
      </x:c>
      <x:c r="V351" s="8" t="s">
        <x:v>77</x:v>
      </x:c>
      <x:c r="W351" s="32" t="s">
        <x:v>78</x:v>
      </x:c>
      <x:c r="X351" s="33">
        <x:f t="shared" si="344"/>
        <x:v>0.23649790400000004</x:v>
      </x:c>
      <x:c r="Y351" s="21">
        <x:f t="shared" si="345"/>
        <x:v>126.58503999999998</x:v>
      </x:c>
      <x:c r="Z351" s="21">
        <x:f t="shared" si="346"/>
        <x:v>40.136719999999997</x:v>
      </x:c>
      <x:c r="AA351" s="21">
        <x:f t="shared" si="347"/>
        <x:v>0.92623200000000006</x:v>
      </x:c>
      <x:c r="AB351" s="21">
        <x:f t="shared" si="348"/>
        <x:v>0.92623200000000006</x:v>
      </x:c>
      <x:c r="AC351" s="33"/>
      <x:c r="AD351" s="33"/>
      <x:c r="AE351" s="21">
        <x:f t="shared" si="349"/>
        <x:v>0.61748800000000004</x:v>
      </x:c>
      <x:c r="AF351" s="33"/>
      <x:c r="AG351" s="32" t="s">
        <x:v>78</x:v>
      </x:c>
      <x:c r="AH351" s="8" t="s">
        <x:v>78</x:v>
      </x:c>
      <x:c r="AI351" s="8" t="s">
        <x:v>78</x:v>
      </x:c>
      <x:c r="AJ351" s="32"/>
      <x:c r="AK351" s="32" t="s">
        <x:v>78</x:v>
      </x:c>
      <x:c r="AL351" s="8" t="s">
        <x:v>78</x:v>
      </x:c>
      <x:c r="AM351" s="32" t="s">
        <x:v>78</x:v>
      </x:c>
      <x:c r="AN351" s="33"/>
      <x:c r="AO351" s="33"/>
      <x:c r="AP351" s="33"/>
      <x:c r="AQ351" s="33"/>
      <x:c r="AR351" s="33"/>
      <x:c r="AS351" s="33"/>
      <x:c r="AT351" s="33"/>
      <x:c r="AU351" s="33"/>
      <x:c r="AV351" s="33"/>
      <x:c r="AW351" s="8" t="s">
        <x:v>78</x:v>
      </x:c>
      <x:c r="AX351" s="32"/>
      <x:c r="AY351" s="33"/>
      <x:c r="AZ351" s="33"/>
      <x:c r="BA351" s="33"/>
      <x:c r="BB351" s="33"/>
      <x:c r="BC351" s="33"/>
      <x:c r="BD351" s="33"/>
      <x:c r="BE351" s="33"/>
      <x:c r="BF351" s="33"/>
      <x:c r="BG351" s="33"/>
      <x:c r="BH351" s="8" t="s">
        <x:v>81</x:v>
      </x:c>
      <x:c r="BI351" s="31">
        <x:v>113</x:v>
      </x:c>
      <x:c r="BJ351" s="31">
        <x:v>34</x:v>
      </x:c>
      <x:c r="BK351" s="31">
        <x:v>30.68</x:v>
      </x:c>
      <x:c r="BL351" s="31">
        <x:v>22</x:v>
      </x:c>
      <x:c r="BM351" s="31">
        <x:v>57</x:v>
      </x:c>
      <x:c r="BN351" s="31">
        <x:v>22.82</x:v>
      </x:c>
      <x:c r="BO351" s="22">
        <x:v>113.575188888889</x:v>
      </x:c>
      <x:c r="BP351" s="22">
        <x:v>22.956338888888901</x:v>
      </x:c>
      <x:c r="BQ351" s="31">
        <x:v>60</x:v>
      </x:c>
      <x:c r="BR351" s="31">
        <x:v>78734.722999999998</x:v>
      </x:c>
      <x:c r="BS351" s="8" t="s">
        <x:v>78</x:v>
      </x:c>
      <x:c r="BT351" s="8" t="s">
        <x:v>78</x:v>
      </x:c>
      <x:c r="BU351" s="31">
        <x:v>4.0000000000000001E-3</x:v>
      </x:c>
      <x:c r="BV351" s="31">
        <x:v>4.0000000000000001E-3</x:v>
      </x:c>
      <x:c r="BW351" s="8" t="s">
        <x:v>78</x:v>
      </x:c>
      <x:c r="BX351" s="8" t="s">
        <x:v>78</x:v>
      </x:c>
      <x:c r="BY351" s="8" t="s">
        <x:v>78</x:v>
      </x:c>
      <x:c r="BZ351" s="8" t="s">
        <x:v>78</x:v>
      </x:c>
      <x:c r="CA351" s="23">
        <x:f t="shared" si="315"/>
        <x:v>0.23649790400000004</x:v>
      </x:c>
      <x:c r="CB351" s="23">
        <x:f t="shared" si="316"/>
        <x:v>126.58503999999998</x:v>
      </x:c>
      <x:c r="CC351" s="23">
        <x:f t="shared" si="317"/>
        <x:v>40.136719999999997</x:v>
      </x:c>
      <x:c r="CD351" s="23">
        <x:f t="shared" si="318"/>
        <x:v>0.92623200000000006</x:v>
      </x:c>
      <x:c r="CE351" s="23">
        <x:f t="shared" si="319"/>
        <x:v>0.92623200000000006</x:v>
      </x:c>
      <x:c r="CF351" s="23">
        <x:f t="shared" si="320"/>
        <x:v>0</x:v>
      </x:c>
      <x:c r="CG351" s="23">
        <x:f t="shared" si="321"/>
        <x:v>0</x:v>
      </x:c>
      <x:c r="CH351" s="23">
        <x:f t="shared" si="322"/>
        <x:v>0.61748800000000004</x:v>
      </x:c>
      <x:c r="CI351" s="23">
        <x:f t="shared" si="323"/>
        <x:v>0</x:v>
      </x:c>
      <x:c r="CJ351" s="25" t="s">
        <x:v>78</x:v>
      </x:c>
      <x:c r="CK351" s="25">
        <x:v>0</x:v>
      </x:c>
      <x:c r="CL351" s="34" t="s">
        <x:v>78</x:v>
      </x:c>
      <x:c r="CM351" s="26">
        <x:v>42</x:v>
      </x:c>
      <x:c r="CN351" s="35" t="s">
        <x:v>78</x:v>
      </x:c>
      <x:c r="CO351" s="27">
        <x:v>0</x:v>
      </x:c>
      <x:c r="CP351" s="27">
        <x:v>0</x:v>
      </x:c>
      <x:c r="CQ351" s="26">
        <x:f t="shared" si="324"/>
        <x:v>0.23649790400000004</x:v>
      </x:c>
      <x:c r="CR351" s="26">
        <x:f t="shared" si="325"/>
        <x:v>73.419323199999994</x:v>
      </x:c>
      <x:c r="CS351" s="26">
        <x:f t="shared" si="327"/>
        <x:v>40.136719999999997</x:v>
      </x:c>
      <x:c r="CT351" s="26">
        <x:f t="shared" si="350"/>
        <x:v>0.92623200000000006</x:v>
      </x:c>
      <x:c r="CU351" s="26">
        <x:f t="shared" si="351"/>
        <x:v>0.92623200000000006</x:v>
      </x:c>
      <x:c r="CV351" s="26">
        <x:f t="shared" si="352"/>
        <x:v>0</x:v>
      </x:c>
      <x:c r="CW351" s="26">
        <x:f t="shared" si="353"/>
        <x:v>0</x:v>
      </x:c>
      <x:c r="CX351" s="26">
        <x:f t="shared" si="328"/>
        <x:v>0.61748800000000004</x:v>
      </x:c>
      <x:c r="CY351" s="26">
        <x:f t="shared" si="329"/>
        <x:v>0</x:v>
      </x:c>
    </x:row>
    <x:row r="352" s="8" customFormat="1">
      <x:c r="A352" s="31">
        <x:v>2022</x:v>
      </x:c>
      <x:c r="B352" s="8" t="s">
        <x:v>748</x:v>
      </x:c>
      <x:c r="C352" s="8" t="s">
        <x:v>749</x:v>
      </x:c>
      <x:c r="D352" s="8" t="s">
        <x:v>750</x:v>
      </x:c>
      <x:c r="E352" s="31">
        <x:v>441973</x:v>
      </x:c>
      <x:c r="F352" s="8" t="s">
        <x:v>747</x:v>
      </x:c>
      <x:c r="G352" s="8" t="s">
        <x:v>697</x:v>
      </x:c>
      <x:c r="H352" s="31">
        <x:v>4411</x:v>
      </x:c>
      <x:c r="I352" s="8" t="s">
        <x:v>102</x:v>
      </x:c>
      <x:c r="J352" s="8" t="s">
        <x:v>435</x:v>
      </x:c>
      <x:c r="K352" s="8" t="s">
        <x:v>80</x:v>
      </x:c>
      <x:c r="L352" s="31">
        <x:v>12</x:v>
      </x:c>
      <x:c r="M352" s="8" t="s">
        <x:v>78</x:v>
      </x:c>
      <x:c r="N352" s="31">
        <x:v>188</x:v>
      </x:c>
      <x:c r="O352" s="8" t="s">
        <x:v>88</x:v>
      </x:c>
      <x:c r="P352" s="31">
        <x:v>15</x:v>
      </x:c>
      <x:c r="Q352" s="32" t="s">
        <x:v>96</x:v>
      </x:c>
      <x:c r="R352" s="31">
        <x:v>2899.45</x:v>
      </x:c>
      <x:c r="S352" s="8" t="s">
        <x:v>76</x:v>
      </x:c>
      <x:c r="T352" s="32">
        <x:f t="shared" si="338"/>
        <x:v>2899.45</x:v>
      </x:c>
      <x:c r="U352" s="32">
        <x:v>3.83</x:v>
      </x:c>
      <x:c r="V352" s="8" t="s">
        <x:v>77</x:v>
      </x:c>
      <x:c r="W352" s="32" t="s">
        <x:v>78</x:v>
      </x:c>
      <x:c r="X352" s="33">
        <x:f t="shared" si="344"/>
        <x:v>0.22209787</x:v>
      </x:c>
      <x:c r="Y352" s="21">
        <x:f t="shared" si="345"/>
        <x:v>118.87744999999998</x:v>
      </x:c>
      <x:c r="Z352" s="21">
        <x:f t="shared" si="346"/>
        <x:v>37.69285</x:v>
      </x:c>
      <x:c r="AA352" s="21">
        <x:f t="shared" si="347"/>
        <x:v>0.86983499999999991</x:v>
      </x:c>
      <x:c r="AB352" s="21">
        <x:f t="shared" si="348"/>
        <x:v>0.86983499999999991</x:v>
      </x:c>
      <x:c r="AC352" s="33"/>
      <x:c r="AD352" s="33"/>
      <x:c r="AE352" s="21">
        <x:f t="shared" si="349"/>
        <x:v>0.57989000000000002</x:v>
      </x:c>
      <x:c r="AF352" s="33"/>
      <x:c r="AG352" s="32" t="s">
        <x:v>78</x:v>
      </x:c>
      <x:c r="AH352" s="8" t="s">
        <x:v>78</x:v>
      </x:c>
      <x:c r="AI352" s="8" t="s">
        <x:v>78</x:v>
      </x:c>
      <x:c r="AJ352" s="32"/>
      <x:c r="AK352" s="32" t="s">
        <x:v>78</x:v>
      </x:c>
      <x:c r="AL352" s="8" t="s">
        <x:v>78</x:v>
      </x:c>
      <x:c r="AM352" s="32" t="s">
        <x:v>78</x:v>
      </x:c>
      <x:c r="AN352" s="33"/>
      <x:c r="AO352" s="33"/>
      <x:c r="AP352" s="33"/>
      <x:c r="AQ352" s="33"/>
      <x:c r="AR352" s="33"/>
      <x:c r="AS352" s="33"/>
      <x:c r="AT352" s="33"/>
      <x:c r="AU352" s="33"/>
      <x:c r="AV352" s="33"/>
      <x:c r="AW352" s="8" t="s">
        <x:v>78</x:v>
      </x:c>
      <x:c r="AX352" s="32"/>
      <x:c r="AY352" s="33"/>
      <x:c r="AZ352" s="33"/>
      <x:c r="BA352" s="33"/>
      <x:c r="BB352" s="33"/>
      <x:c r="BC352" s="33"/>
      <x:c r="BD352" s="33"/>
      <x:c r="BE352" s="33"/>
      <x:c r="BF352" s="33"/>
      <x:c r="BG352" s="33"/>
      <x:c r="BH352" s="8" t="s">
        <x:v>79</x:v>
      </x:c>
      <x:c r="BI352" s="31">
        <x:v>113</x:v>
      </x:c>
      <x:c r="BJ352" s="31">
        <x:v>34</x:v>
      </x:c>
      <x:c r="BK352" s="31">
        <x:v>30.94</x:v>
      </x:c>
      <x:c r="BL352" s="31">
        <x:v>22</x:v>
      </x:c>
      <x:c r="BM352" s="31">
        <x:v>57</x:v>
      </x:c>
      <x:c r="BN352" s="31">
        <x:v>25.96</x:v>
      </x:c>
      <x:c r="BO352" s="22">
        <x:v>113.575261111111</x:v>
      </x:c>
      <x:c r="BP352" s="22">
        <x:v>22.9572111111111</x:v>
      </x:c>
      <x:c r="BQ352" s="31">
        <x:v>60</x:v>
      </x:c>
      <x:c r="BR352" s="31">
        <x:v>83199.585000000006</x:v>
      </x:c>
      <x:c r="BS352" s="8" t="s">
        <x:v>78</x:v>
      </x:c>
      <x:c r="BT352" s="8" t="s">
        <x:v>78</x:v>
      </x:c>
      <x:c r="BU352" s="31">
        <x:v>4.0000000000000001E-3</x:v>
      </x:c>
      <x:c r="BV352" s="31">
        <x:v>4.0000000000000001E-3</x:v>
      </x:c>
      <x:c r="BW352" s="8" t="s">
        <x:v>78</x:v>
      </x:c>
      <x:c r="BX352" s="8" t="s">
        <x:v>78</x:v>
      </x:c>
      <x:c r="BY352" s="8" t="s">
        <x:v>78</x:v>
      </x:c>
      <x:c r="BZ352" s="8" t="s">
        <x:v>78</x:v>
      </x:c>
      <x:c r="CA352" s="23">
        <x:f t="shared" si="315"/>
        <x:v>0.22209787</x:v>
      </x:c>
      <x:c r="CB352" s="23">
        <x:f t="shared" si="316"/>
        <x:v>118.87744999999998</x:v>
      </x:c>
      <x:c r="CC352" s="23">
        <x:f t="shared" si="317"/>
        <x:v>37.69285</x:v>
      </x:c>
      <x:c r="CD352" s="23">
        <x:f t="shared" si="318"/>
        <x:v>0.86983499999999991</x:v>
      </x:c>
      <x:c r="CE352" s="23">
        <x:f t="shared" si="319"/>
        <x:v>0.86983499999999991</x:v>
      </x:c>
      <x:c r="CF352" s="23">
        <x:f t="shared" si="320"/>
        <x:v>0</x:v>
      </x:c>
      <x:c r="CG352" s="23">
        <x:f t="shared" si="321"/>
        <x:v>0</x:v>
      </x:c>
      <x:c r="CH352" s="23">
        <x:f t="shared" si="322"/>
        <x:v>0.57989000000000002</x:v>
      </x:c>
      <x:c r="CI352" s="23">
        <x:f t="shared" si="323"/>
        <x:v>0</x:v>
      </x:c>
      <x:c r="CJ352" s="25" t="s">
        <x:v>78</x:v>
      </x:c>
      <x:c r="CK352" s="25">
        <x:v>0</x:v>
      </x:c>
      <x:c r="CL352" s="34" t="s">
        <x:v>78</x:v>
      </x:c>
      <x:c r="CM352" s="26">
        <x:v>42</x:v>
      </x:c>
      <x:c r="CN352" s="35" t="s">
        <x:v>78</x:v>
      </x:c>
      <x:c r="CO352" s="27">
        <x:v>0</x:v>
      </x:c>
      <x:c r="CP352" s="27">
        <x:v>0</x:v>
      </x:c>
      <x:c r="CQ352" s="26">
        <x:f t="shared" si="324"/>
        <x:v>0.22209787</x:v>
      </x:c>
      <x:c r="CR352" s="26">
        <x:f t="shared" si="325"/>
        <x:v>68.948920999999999</x:v>
      </x:c>
      <x:c r="CS352" s="26">
        <x:f t="shared" si="327"/>
        <x:v>37.69285</x:v>
      </x:c>
      <x:c r="CT352" s="26">
        <x:f t="shared" si="350"/>
        <x:v>0.86983499999999991</x:v>
      </x:c>
      <x:c r="CU352" s="26">
        <x:f t="shared" si="351"/>
        <x:v>0.86983499999999991</x:v>
      </x:c>
      <x:c r="CV352" s="26">
        <x:f t="shared" si="352"/>
        <x:v>0</x:v>
      </x:c>
      <x:c r="CW352" s="26">
        <x:f t="shared" si="353"/>
        <x:v>0</x:v>
      </x:c>
      <x:c r="CX352" s="26">
        <x:f t="shared" si="328"/>
        <x:v>0.57989000000000002</x:v>
      </x:c>
      <x:c r="CY352" s="26">
        <x:f t="shared" si="329"/>
        <x:v>0</x:v>
      </x:c>
    </x:row>
    <x:row r="353" s="8" customFormat="1">
      <x:c r="A353" s="31">
        <x:v>2022</x:v>
      </x:c>
      <x:c r="B353" s="8" t="s">
        <x:v>751</x:v>
      </x:c>
      <x:c r="C353" s="8" t="s">
        <x:v>78</x:v>
      </x:c>
      <x:c r="D353" s="8" t="s">
        <x:v>752</x:v>
      </x:c>
      <x:c r="E353" s="31">
        <x:v>441974</x:v>
      </x:c>
      <x:c r="F353" s="8" t="s">
        <x:v>753</x:v>
      </x:c>
      <x:c r="G353" s="8" t="s">
        <x:v>697</x:v>
      </x:c>
      <x:c r="H353" s="31">
        <x:v>2221</x:v>
      </x:c>
      <x:c r="I353" s="8" t="s">
        <x:v>158</x:v>
      </x:c>
      <x:c r="J353" s="8" t="s">
        <x:v>78</x:v>
      </x:c>
      <x:c r="K353" s="8" t="s">
        <x:v>72</x:v>
      </x:c>
      <x:c r="L353" s="31">
        <x:v>0.6</x:v>
      </x:c>
      <x:c r="M353" s="8" t="s">
        <x:v>73</x:v>
      </x:c>
      <x:c r="N353" s="31">
        <x:v>75</x:v>
      </x:c>
      <x:c r="O353" s="8" t="s">
        <x:v>74</x:v>
      </x:c>
      <x:c r="P353" s="31">
        <x:v>15</x:v>
      </x:c>
      <x:c r="Q353" s="32" t="s">
        <x:v>96</x:v>
      </x:c>
      <x:c r="R353" s="31">
        <x:v>1287.93</x:v>
      </x:c>
      <x:c r="S353" s="8" t="s">
        <x:v>76</x:v>
      </x:c>
      <x:c r="T353" s="32">
        <x:f t="shared" si="338"/>
        <x:v>1287.93</x:v>
      </x:c>
      <x:c r="U353" s="36">
        <x:v>1</x:v>
      </x:c>
      <x:c r="V353" s="8" t="s">
        <x:v>77</x:v>
      </x:c>
      <x:c r="W353" s="32" t="s">
        <x:v>78</x:v>
      </x:c>
      <x:c r="X353" s="33">
        <x:f t="shared" si="344"/>
        <x:v>2.57586E-2</x:v>
      </x:c>
      <x:c r="Y353" s="21">
        <x:f t="shared" si="345"/>
        <x:v>52.805129999999998</x:v>
      </x:c>
      <x:c r="Z353" s="21">
        <x:f t="shared" si="346"/>
        <x:v>16.743090000000002</x:v>
      </x:c>
      <x:c r="AA353" s="21">
        <x:f t="shared" si="347"/>
        <x:v>0.38637899999999997</x:v>
      </x:c>
      <x:c r="AB353" s="21">
        <x:f t="shared" si="348"/>
        <x:v>0.38637899999999997</x:v>
      </x:c>
      <x:c r="AC353" s="33"/>
      <x:c r="AD353" s="33"/>
      <x:c r="AE353" s="21">
        <x:f t="shared" si="349"/>
        <x:v>0.25758599999999998</x:v>
      </x:c>
      <x:c r="AF353" s="33"/>
      <x:c r="AG353" s="32" t="s">
        <x:v>78</x:v>
      </x:c>
      <x:c r="AH353" s="8" t="s">
        <x:v>78</x:v>
      </x:c>
      <x:c r="AI353" s="8" t="s">
        <x:v>78</x:v>
      </x:c>
      <x:c r="AJ353" s="32"/>
      <x:c r="AK353" s="32" t="s">
        <x:v>78</x:v>
      </x:c>
      <x:c r="AL353" s="8" t="s">
        <x:v>78</x:v>
      </x:c>
      <x:c r="AM353" s="32" t="s">
        <x:v>78</x:v>
      </x:c>
      <x:c r="AN353" s="33"/>
      <x:c r="AO353" s="33"/>
      <x:c r="AP353" s="33"/>
      <x:c r="AQ353" s="33"/>
      <x:c r="AR353" s="33"/>
      <x:c r="AS353" s="33"/>
      <x:c r="AT353" s="33"/>
      <x:c r="AU353" s="33"/>
      <x:c r="AV353" s="33"/>
      <x:c r="AW353" s="8" t="s">
        <x:v>78</x:v>
      </x:c>
      <x:c r="AX353" s="32"/>
      <x:c r="AY353" s="33"/>
      <x:c r="AZ353" s="33"/>
      <x:c r="BA353" s="33"/>
      <x:c r="BB353" s="33"/>
      <x:c r="BC353" s="33"/>
      <x:c r="BD353" s="33"/>
      <x:c r="BE353" s="33"/>
      <x:c r="BF353" s="33"/>
      <x:c r="BG353" s="33"/>
      <x:c r="BH353" s="8" t="s">
        <x:v>81</x:v>
      </x:c>
      <x:c r="BI353" s="31">
        <x:v>113</x:v>
      </x:c>
      <x:c r="BJ353" s="31">
        <x:v>38</x:v>
      </x:c>
      <x:c r="BK353" s="31">
        <x:v>44</x:v>
      </x:c>
      <x:c r="BL353" s="31">
        <x:v>22</x:v>
      </x:c>
      <x:c r="BM353" s="31">
        <x:v>58</x:v>
      </x:c>
      <x:c r="BN353" s="31">
        <x:v>58</x:v>
      </x:c>
      <x:c r="BO353" s="22">
        <x:v>113.645555555556</x:v>
      </x:c>
      <x:c r="BP353" s="22">
        <x:v>22.982777777777802</x:v>
      </x:c>
      <x:c r="BQ353" s="31">
        <x:v>80</x:v>
      </x:c>
      <x:c r="BR353" s="31">
        <x:v>3171.576</x:v>
      </x:c>
      <x:c r="BS353" s="31">
        <x:v>2.5999999999999999E-2</x:v>
      </x:c>
      <x:c r="BT353" s="31">
        <x:v>2.5999999999999999E-2</x:v>
      </x:c>
      <x:c r="BU353" s="31">
        <x:v>11.076000000000001</x:v>
      </x:c>
      <x:c r="BV353" s="31">
        <x:v>11.076000000000001</x:v>
      </x:c>
      <x:c r="BW353" s="31">
        <x:v>1.3380000000000001</x:v>
      </x:c>
      <x:c r="BX353" s="31">
        <x:v>1.3380000000000001</x:v>
      </x:c>
      <x:c r="BY353" s="31">
        <x:v>2163.7220000000002</x:v>
      </x:c>
      <x:c r="BZ353" s="31">
        <x:v>2163.7220000000002</x:v>
      </x:c>
      <x:c r="CA353" s="23">
        <x:f t="shared" si="315"/>
        <x:v>2.57586E-2</x:v>
      </x:c>
      <x:c r="CB353" s="23">
        <x:f t="shared" si="316"/>
        <x:v>52.805129999999998</x:v>
      </x:c>
      <x:c r="CC353" s="23">
        <x:f t="shared" si="317"/>
        <x:v>16.743090000000002</x:v>
      </x:c>
      <x:c r="CD353" s="23">
        <x:f t="shared" si="318"/>
        <x:v>0.38637899999999997</x:v>
      </x:c>
      <x:c r="CE353" s="23">
        <x:f t="shared" si="319"/>
        <x:v>0.38637899999999997</x:v>
      </x:c>
      <x:c r="CF353" s="23">
        <x:f t="shared" si="320"/>
        <x:v>0</x:v>
      </x:c>
      <x:c r="CG353" s="23">
        <x:f t="shared" si="321"/>
        <x:v>0</x:v>
      </x:c>
      <x:c r="CH353" s="23">
        <x:f t="shared" si="322"/>
        <x:v>0.25758599999999998</x:v>
      </x:c>
      <x:c r="CI353" s="23">
        <x:f t="shared" si="323"/>
        <x:v>0</x:v>
      </x:c>
      <x:c r="CJ353" s="25"/>
      <x:c r="CK353" s="25">
        <x:v>20</x:v>
      </x:c>
      <x:c r="CL353" s="34"/>
      <x:c r="CM353" s="26" t="n">
        <x:f>(1-BV353/BU353)*100</x:f>
        <x:v>0</x:v>
      </x:c>
      <x:c r="CN353" s="30" t="s">
        <x:v>208</x:v>
      </x:c>
      <x:c r="CO353" s="27">
        <x:v>98.7</x:v>
      </x:c>
      <x:c r="CP353" s="27">
        <x:v>97</x:v>
      </x:c>
      <x:c r="CQ353" s="26">
        <x:f t="shared" si="324"/>
        <x:v>2.0606880000000001E-2</x:v>
      </x:c>
      <x:c r="CR353" s="26">
        <x:f t="shared" si="325"/>
        <x:v>52.805129999999998</x:v>
      </x:c>
      <x:c r="CS353" s="26">
        <x:f t="shared" si="327"/>
        <x:v>16.743090000000002</x:v>
      </x:c>
      <x:c r="CT353" s="26">
        <x:f t="shared" si="350"/>
        <x:v>5.0229270000000043E-3</x:v>
      </x:c>
      <x:c r="CU353" s="26">
        <x:f t="shared" si="351"/>
        <x:v>1.1591370000000009E-2</x:v>
      </x:c>
      <x:c r="CV353" s="26">
        <x:f t="shared" si="352"/>
        <x:v>0</x:v>
      </x:c>
      <x:c r="CW353" s="26">
        <x:f t="shared" si="353"/>
        <x:v>0</x:v>
      </x:c>
      <x:c r="CX353" s="26">
        <x:f t="shared" si="328"/>
        <x:v>0.25758599999999998</x:v>
      </x:c>
      <x:c r="CY353" s="26">
        <x:f t="shared" si="329"/>
        <x:v>0</x:v>
      </x:c>
    </x:row>
    <x:row r="354" s="8" customFormat="1">
      <x:c r="A354" s="31">
        <x:v>2022</x:v>
      </x:c>
      <x:c r="B354" s="8" t="s">
        <x:v>754</x:v>
      </x:c>
      <x:c r="C354" s="8" t="s">
        <x:v>78</x:v>
      </x:c>
      <x:c r="D354" s="8" t="s">
        <x:v>755</x:v>
      </x:c>
      <x:c r="E354" s="31">
        <x:v>441974</x:v>
      </x:c>
      <x:c r="F354" s="8" t="s">
        <x:v>753</x:v>
      </x:c>
      <x:c r="G354" s="8" t="s">
        <x:v>697</x:v>
      </x:c>
      <x:c r="H354" s="31">
        <x:v>2221</x:v>
      </x:c>
      <x:c r="I354" s="8" t="s">
        <x:v>158</x:v>
      </x:c>
      <x:c r="J354" s="8" t="s">
        <x:v>78</x:v>
      </x:c>
      <x:c r="K354" s="8" t="s">
        <x:v>72</x:v>
      </x:c>
      <x:c r="L354" s="31">
        <x:v>2</x:v>
      </x:c>
      <x:c r="M354" s="8" t="s">
        <x:v>73</x:v>
      </x:c>
      <x:c r="N354" s="31">
        <x:v>130</x:v>
      </x:c>
      <x:c r="O354" s="8" t="s">
        <x:v>88</x:v>
      </x:c>
      <x:c r="P354" s="31">
        <x:v>15</x:v>
      </x:c>
      <x:c r="Q354" s="32" t="s">
        <x:v>96</x:v>
      </x:c>
      <x:c r="R354" s="31">
        <x:v>3318.07</x:v>
      </x:c>
      <x:c r="S354" s="8" t="s">
        <x:v>76</x:v>
      </x:c>
      <x:c r="T354" s="32">
        <x:f t="shared" si="338"/>
        <x:v>3318.07</x:v>
      </x:c>
      <x:c r="U354" s="36">
        <x:v>1</x:v>
      </x:c>
      <x:c r="V354" s="8" t="s">
        <x:v>77</x:v>
      </x:c>
      <x:c r="W354" s="32" t="s">
        <x:v>78</x:v>
      </x:c>
      <x:c r="X354" s="33">
        <x:f t="shared" si="344"/>
        <x:v>6.6361400000000001E-2</x:v>
      </x:c>
      <x:c r="Y354" s="21">
        <x:f t="shared" si="345"/>
        <x:v>136.04087000000001</x:v>
      </x:c>
      <x:c r="Z354" s="21">
        <x:f t="shared" si="346"/>
        <x:v>43.134909999999998</x:v>
      </x:c>
      <x:c r="AA354" s="21">
        <x:f t="shared" si="347"/>
        <x:v>0.995421</x:v>
      </x:c>
      <x:c r="AB354" s="21">
        <x:f t="shared" si="348"/>
        <x:v>0.995421</x:v>
      </x:c>
      <x:c r="AC354" s="33"/>
      <x:c r="AD354" s="33"/>
      <x:c r="AE354" s="21">
        <x:f t="shared" si="349"/>
        <x:v>0.66361400000000004</x:v>
      </x:c>
      <x:c r="AF354" s="33"/>
      <x:c r="AG354" s="32" t="s">
        <x:v>78</x:v>
      </x:c>
      <x:c r="AH354" s="8" t="s">
        <x:v>78</x:v>
      </x:c>
      <x:c r="AI354" s="8" t="s">
        <x:v>78</x:v>
      </x:c>
      <x:c r="AJ354" s="32"/>
      <x:c r="AK354" s="32" t="s">
        <x:v>78</x:v>
      </x:c>
      <x:c r="AL354" s="8" t="s">
        <x:v>78</x:v>
      </x:c>
      <x:c r="AM354" s="32" t="s">
        <x:v>78</x:v>
      </x:c>
      <x:c r="AN354" s="33"/>
      <x:c r="AO354" s="33"/>
      <x:c r="AP354" s="33"/>
      <x:c r="AQ354" s="33"/>
      <x:c r="AR354" s="33"/>
      <x:c r="AS354" s="33"/>
      <x:c r="AT354" s="33"/>
      <x:c r="AU354" s="33"/>
      <x:c r="AV354" s="33"/>
      <x:c r="AW354" s="8" t="s">
        <x:v>78</x:v>
      </x:c>
      <x:c r="AX354" s="32"/>
      <x:c r="AY354" s="33"/>
      <x:c r="AZ354" s="33"/>
      <x:c r="BA354" s="33"/>
      <x:c r="BB354" s="33"/>
      <x:c r="BC354" s="33"/>
      <x:c r="BD354" s="33"/>
      <x:c r="BE354" s="33"/>
      <x:c r="BF354" s="33"/>
      <x:c r="BG354" s="33"/>
      <x:c r="BH354" s="8" t="s">
        <x:v>81</x:v>
      </x:c>
      <x:c r="BI354" s="31">
        <x:v>113</x:v>
      </x:c>
      <x:c r="BJ354" s="31">
        <x:v>38</x:v>
      </x:c>
      <x:c r="BK354" s="31">
        <x:v>4</x:v>
      </x:c>
      <x:c r="BL354" s="31">
        <x:v>22</x:v>
      </x:c>
      <x:c r="BM354" s="31">
        <x:v>58</x:v>
      </x:c>
      <x:c r="BN354" s="31">
        <x:v>22</x:v>
      </x:c>
      <x:c r="BO354" s="22">
        <x:v>113.634444444444</x:v>
      </x:c>
      <x:c r="BP354" s="22">
        <x:v>22.9727777777778</x:v>
      </x:c>
      <x:c r="BQ354" s="31">
        <x:v>50</x:v>
      </x:c>
      <x:c r="BR354" s="31">
        <x:v>29927.393</x:v>
      </x:c>
      <x:c r="BS354" s="31">
        <x:v>0</x:v>
      </x:c>
      <x:c r="BT354" s="31">
        <x:v>0</x:v>
      </x:c>
      <x:c r="BU354" s="31">
        <x:v>4.0000000000000001E-3</x:v>
      </x:c>
      <x:c r="BV354" s="31">
        <x:v>1E-3</x:v>
      </x:c>
      <x:c r="BW354" s="31">
        <x:v>0</x:v>
      </x:c>
      <x:c r="BX354" s="31">
        <x:v>0</x:v>
      </x:c>
      <x:c r="BY354" s="31">
        <x:v>5574.3580000000002</x:v>
      </x:c>
      <x:c r="BZ354" s="31">
        <x:v>5574.3580000000002</x:v>
      </x:c>
      <x:c r="CA354" s="23">
        <x:f t="shared" si="315"/>
        <x:v>6.6361400000000001E-2</x:v>
      </x:c>
      <x:c r="CB354" s="23">
        <x:f t="shared" si="316"/>
        <x:v>136.04087000000001</x:v>
      </x:c>
      <x:c r="CC354" s="23">
        <x:f t="shared" si="317"/>
        <x:v>43.134909999999998</x:v>
      </x:c>
      <x:c r="CD354" s="23">
        <x:f t="shared" si="318"/>
        <x:v>0.995421</x:v>
      </x:c>
      <x:c r="CE354" s="23">
        <x:f t="shared" si="319"/>
        <x:v>0.995421</x:v>
      </x:c>
      <x:c r="CF354" s="23">
        <x:f t="shared" si="320"/>
        <x:v>0</x:v>
      </x:c>
      <x:c r="CG354" s="23">
        <x:f t="shared" si="321"/>
        <x:v>0</x:v>
      </x:c>
      <x:c r="CH354" s="23">
        <x:f t="shared" si="322"/>
        <x:v>0.66361400000000004</x:v>
      </x:c>
      <x:c r="CI354" s="23">
        <x:f t="shared" si="323"/>
        <x:v>0</x:v>
      </x:c>
      <x:c r="CJ354" s="25" t="s">
        <x:v>78</x:v>
      </x:c>
      <x:c r="CK354" s="25">
        <x:v>20</x:v>
      </x:c>
      <x:c r="CL354" s="34" t="s">
        <x:v>104</x:v>
      </x:c>
      <x:c r="CM354" s="28">
        <x:v>70</x:v>
      </x:c>
      <x:c r="CN354" s="30" t="s">
        <x:v>208</x:v>
      </x:c>
      <x:c r="CO354" s="27">
        <x:v>98.7</x:v>
      </x:c>
      <x:c r="CP354" s="27">
        <x:v>97</x:v>
      </x:c>
      <x:c r="CQ354" s="26">
        <x:f t="shared" si="324"/>
        <x:v>5.3089120000000004E-2</x:v>
      </x:c>
      <x:c r="CR354" s="26">
        <x:f t="shared" si="325"/>
        <x:v>40.812261000000007</x:v>
      </x:c>
      <x:c r="CS354" s="26">
        <x:f t="shared" si="327"/>
        <x:v>43.134909999999998</x:v>
      </x:c>
      <x:c r="CT354" s="26">
        <x:f t="shared" si="350"/>
        <x:v>1.2940473000000011E-2</x:v>
      </x:c>
      <x:c r="CU354" s="26">
        <x:f t="shared" si="351"/>
        <x:v>2.9862630000000025E-2</x:v>
      </x:c>
      <x:c r="CV354" s="26">
        <x:f t="shared" si="352"/>
        <x:v>0</x:v>
      </x:c>
      <x:c r="CW354" s="26">
        <x:f t="shared" si="353"/>
        <x:v>0</x:v>
      </x:c>
      <x:c r="CX354" s="26">
        <x:f t="shared" si="328"/>
        <x:v>0.66361400000000004</x:v>
      </x:c>
      <x:c r="CY354" s="26">
        <x:f t="shared" si="329"/>
        <x:v>0</x:v>
      </x:c>
    </x:row>
    <x:row r="355">
      <x:c r="A355" s="18">
        <x:v>2022</x:v>
      </x:c>
      <x:c r="B355" t="s">
        <x:v>756</x:v>
      </x:c>
      <x:c r="C355" t="s">
        <x:v>757</x:v>
      </x:c>
      <x:c r="D355" t="s">
        <x:v>758</x:v>
      </x:c>
      <x:c r="E355" s="18">
        <x:v>441975</x:v>
      </x:c>
      <x:c r="F355" t="s">
        <x:v>759</x:v>
      </x:c>
      <x:c r="G355" s="8" t="s">
        <x:v>697</x:v>
      </x:c>
      <x:c r="H355" s="18">
        <x:v>2221</x:v>
      </x:c>
      <x:c r="I355" t="s">
        <x:v>158</x:v>
      </x:c>
      <x:c r="J355" t="s">
        <x:v>78</x:v>
      </x:c>
      <x:c r="K355" t="s">
        <x:v>109</x:v>
      </x:c>
      <x:c r="L355" s="20">
        <x:v>3.75</x:v>
      </x:c>
      <x:c r="M355" t="s">
        <x:v>125</x:v>
      </x:c>
      <x:c r="N355" s="18">
        <x:v>260</x:v>
      </x:c>
      <x:c r="O355" t="s">
        <x:v>88</x:v>
      </x:c>
      <x:c r="P355" s="18">
        <x:v>1</x:v>
      </x:c>
      <x:c r="Q355" s="19" t="s">
        <x:v>121</x:v>
      </x:c>
      <x:c r="R355" s="18">
        <x:v>130933.205</x:v>
      </x:c>
      <x:c r="S355" t="s">
        <x:v>112</x:v>
      </x:c>
      <x:c r="T355" s="19" t="n">
        <x:f t="shared" ref="T355:T369" si="354">R355</x:f>
        <x:v>130933.205</x:v>
      </x:c>
      <x:c r="U355" s="20">
        <x:v>0.56999999999999995</x:v>
      </x:c>
      <x:c r="V355" t="s">
        <x:v>113</x:v>
      </x:c>
      <x:c r="W355" s="20">
        <x:v>15.19</x:v>
      </x:c>
      <x:c r="X355" s="21" t="n">
        <x:f t="shared" ref="X355:X368" si="355">2*U355/100*(1-0.15)*T355</x:f>
        <x:v>1268.74275645</x:v>
      </x:c>
      <x:c r="Y355" s="21" t="n">
        <x:f t="shared" ref="Y355:Y360" si="356">8.96*T355/1000</x:f>
        <x:v>1173.1615168</x:v>
      </x:c>
      <x:c r="Z355" s="21" t="n">
        <x:f>2*T355/1000</x:f>
        <x:v>261.86641000000003</x:v>
      </x:c>
      <x:c r="AA355" s="21" t="n">
        <x:f>W355/100*(1-0.44)*0.29*T355</x:f>
        <x:v>3229.9336235348005</x:v>
      </x:c>
      <x:c r="AB355" s="21" t="n">
        <x:f>W355/100*(1-0.44)*0.07*T355</x:f>
        <x:v>779.6391505084002</x:v>
      </x:c>
      <x:c r="AC355" s="21" t="n">
        <x:f t="shared" ref="AC355:AC359" si="357">0.002*AB355</x:f>
        <x:v>1.5592783010168005</x:v>
      </x:c>
      <x:c r="AD355" s="21"/>
      <x:c r="AE355" s="21" t="n">
        <x:f t="shared" ref="AE355:AE368" si="358">0.04*T355/1000</x:f>
        <x:v>5.2373282</x:v>
      </x:c>
      <x:c r="AF355" s="21"/>
      <x:c r="AG355" s="19" t="s">
        <x:v>78</x:v>
      </x:c>
      <x:c r="AH355" t="s">
        <x:v>78</x:v>
      </x:c>
      <x:c r="AI355" t="s">
        <x:v>78</x:v>
      </x:c>
      <x:c r="AJ355" s="19"/>
      <x:c r="AK355" s="19" t="s">
        <x:v>78</x:v>
      </x:c>
      <x:c r="AL355" t="s">
        <x:v>78</x:v>
      </x:c>
      <x:c r="AM355" s="19" t="s">
        <x:v>78</x:v>
      </x:c>
      <x:c r="AN355" s="21"/>
      <x:c r="AO355" s="21"/>
      <x:c r="AP355" s="21"/>
      <x:c r="AQ355" s="21"/>
      <x:c r="AR355" s="21"/>
      <x:c r="AS355" s="21"/>
      <x:c r="AT355" s="21"/>
      <x:c r="AU355" s="21"/>
      <x:c r="AV355" s="21"/>
      <x:c r="AW355" t="s">
        <x:v>78</x:v>
      </x:c>
      <x:c r="AX355" s="19"/>
      <x:c r="AY355" s="21"/>
      <x:c r="AZ355" s="21"/>
      <x:c r="BA355" s="21"/>
      <x:c r="BB355" s="21"/>
      <x:c r="BC355" s="21"/>
      <x:c r="BD355" s="21"/>
      <x:c r="BE355" s="21"/>
      <x:c r="BF355" s="21"/>
      <x:c r="BG355" s="21"/>
      <x:c r="BH355" t="s">
        <x:v>79</x:v>
      </x:c>
      <x:c r="BI355" s="18">
        <x:v>113</x:v>
      </x:c>
      <x:c r="BJ355" s="18">
        <x:v>35</x:v>
      </x:c>
      <x:c r="BK355" s="18">
        <x:v>15</x:v>
      </x:c>
      <x:c r="BL355" s="18">
        <x:v>22</x:v>
      </x:c>
      <x:c r="BM355" s="18">
        <x:v>56</x:v>
      </x:c>
      <x:c r="BN355" s="18">
        <x:v>25</x:v>
      </x:c>
      <x:c r="BO355" s="22">
        <x:v>113.58750000000001</x:v>
      </x:c>
      <x:c r="BP355" s="22">
        <x:v>22.940277777777801</x:v>
      </x:c>
      <x:c r="BQ355" s="18">
        <x:v>150</x:v>
      </x:c>
      <x:c r="BR355" s="18">
        <x:v>90739.94</x:v>
      </x:c>
      <x:c r="BS355" s="18">
        <x:v>335.84399999999999</x:v>
      </x:c>
      <x:c r="BT355" s="18">
        <x:v>10.797000000000001</x:v>
      </x:c>
      <x:c r="BU355" s="18">
        <x:v>124.387</x:v>
      </x:c>
      <x:c r="BV355" s="18">
        <x:v>43.534999999999997</x:v>
      </x:c>
      <x:c r="BW355" s="18">
        <x:v>5436.3469999999998</x:v>
      </x:c>
      <x:c r="BX355" s="18">
        <x:v>26.747</x:v>
      </x:c>
      <x:c r="BY355" s="18">
        <x:v>1780.692</x:v>
      </x:c>
      <x:c r="BZ355" s="18">
        <x:v>1780.692</x:v>
      </x:c>
      <x:c r="CA355" s="23">
        <x:f t="shared" si="315"/>
        <x:v>1268.7427564499999</x:v>
      </x:c>
      <x:c r="CB355" s="23">
        <x:f t="shared" si="316"/>
        <x:v>1173.1615168000001</x:v>
      </x:c>
      <x:c r="CC355" s="23">
        <x:f t="shared" si="317"/>
        <x:v>261.86641000000003</x:v>
      </x:c>
      <x:c r="CD355" s="23">
        <x:f t="shared" si="318"/>
        <x:v>3229.9336235348005</x:v>
      </x:c>
      <x:c r="CE355" s="23">
        <x:f t="shared" si="319"/>
        <x:v>779.63915050840023</x:v>
      </x:c>
      <x:c r="CF355" s="23">
        <x:f t="shared" si="320"/>
        <x:v>1.5592783010168005</x:v>
      </x:c>
      <x:c r="CG355" s="23">
        <x:f t="shared" si="321"/>
        <x:v>0</x:v>
      </x:c>
      <x:c r="CH355" s="23">
        <x:f t="shared" si="322"/>
        <x:v>5.2373282000000003</x:v>
      </x:c>
      <x:c r="CI355" s="23">
        <x:f t="shared" si="323"/>
        <x:v>0</x:v>
      </x:c>
      <x:c r="CJ355" s="24" t="s">
        <x:v>440</x:v>
      </x:c>
      <x:c r="CK355" s="29">
        <x:v>99.3</x:v>
      </x:c>
      <x:c r="CL355" s="26" t="s">
        <x:v>97</x:v>
      </x:c>
      <x:c r="CM355" s="28">
        <x:v>70</x:v>
      </x:c>
      <x:c r="CN355" s="30" t="s">
        <x:v>154</x:v>
      </x:c>
      <x:c r="CO355" s="27">
        <x:v>99.8</x:v>
      </x:c>
      <x:c r="CP355" s="27">
        <x:v>99.6</x:v>
      </x:c>
      <x:c r="CQ355" s="26">
        <x:f t="shared" si="324"/>
        <x:v>8.8811992951500063</x:v>
      </x:c>
      <x:c r="CR355" s="26">
        <x:f t="shared" si="325"/>
        <x:v>351.94845504000006</x:v>
      </x:c>
      <x:c r="CS355" s="26">
        <x:f t="shared" si="327"/>
        <x:v>261.86641000000003</x:v>
      </x:c>
      <x:c r="CT355" s="26">
        <x:f t="shared" si="350"/>
        <x:v>6.4598672470696066</x:v>
      </x:c>
      <x:c r="CU355" s="26">
        <x:f t="shared" si="351"/>
        <x:v>3.1185566020336037</x:v>
      </x:c>
      <x:c r="CV355" s="26">
        <x:f t="shared" si="352"/>
        <x:v>6.2371132040672074E-3</x:v>
      </x:c>
      <x:c r="CW355" s="26">
        <x:f t="shared" si="353"/>
        <x:v>0</x:v>
      </x:c>
      <x:c r="CX355" s="26">
        <x:f t="shared" si="328"/>
        <x:v>5.2373282000000003</x:v>
      </x:c>
      <x:c r="CY355" s="26">
        <x:f t="shared" si="329"/>
        <x:v>0</x:v>
      </x:c>
    </x:row>
    <x:row r="356">
      <x:c r="A356" s="18">
        <x:v>2022</x:v>
      </x:c>
      <x:c r="B356" t="s">
        <x:v>756</x:v>
      </x:c>
      <x:c r="C356" t="s">
        <x:v>757</x:v>
      </x:c>
      <x:c r="D356" t="s">
        <x:v>758</x:v>
      </x:c>
      <x:c r="E356" s="18">
        <x:v>441975</x:v>
      </x:c>
      <x:c r="F356" t="s">
        <x:v>759</x:v>
      </x:c>
      <x:c r="G356" s="8" t="s">
        <x:v>697</x:v>
      </x:c>
      <x:c r="H356" s="18">
        <x:v>2221</x:v>
      </x:c>
      <x:c r="I356" t="s">
        <x:v>158</x:v>
      </x:c>
      <x:c r="J356" t="s">
        <x:v>78</x:v>
      </x:c>
      <x:c r="K356" t="s">
        <x:v>109</x:v>
      </x:c>
      <x:c r="L356" s="20">
        <x:v>3.75</x:v>
      </x:c>
      <x:c r="M356" t="s">
        <x:v>125</x:v>
      </x:c>
      <x:c r="N356" s="18">
        <x:v>260</x:v>
      </x:c>
      <x:c r="O356" t="s">
        <x:v>88</x:v>
      </x:c>
      <x:c r="P356" s="18">
        <x:v>1</x:v>
      </x:c>
      <x:c r="Q356" s="19" t="s">
        <x:v>121</x:v>
      </x:c>
      <x:c r="R356" s="18">
        <x:v>130933.205</x:v>
      </x:c>
      <x:c r="S356" t="s">
        <x:v>112</x:v>
      </x:c>
      <x:c r="T356" s="19">
        <x:f t="shared" si="354"/>
        <x:v>130933.205</x:v>
      </x:c>
      <x:c r="U356" s="20">
        <x:v>0.56999999999999995</x:v>
      </x:c>
      <x:c r="V356" t="s">
        <x:v>113</x:v>
      </x:c>
      <x:c r="W356" s="20">
        <x:v>15.19</x:v>
      </x:c>
      <x:c r="X356" s="21">
        <x:f t="shared" si="355"/>
        <x:v>1268.7427564499999</x:v>
      </x:c>
      <x:c r="Y356" s="21">
        <x:f t="shared" si="356"/>
        <x:v>1173.1615168000001</x:v>
      </x:c>
      <x:c r="Z356" s="21" t="n">
        <x:f>2*T356/1000</x:f>
        <x:v>261.86641000000003</x:v>
      </x:c>
      <x:c r="AA356" s="21" t="n">
        <x:f>W356/100*(1-0.44)*0.29*T356</x:f>
        <x:v>3229.9336235348005</x:v>
      </x:c>
      <x:c r="AB356" s="21" t="n">
        <x:f>W356/100*(1-0.44)*0.07*T356</x:f>
        <x:v>779.6391505084002</x:v>
      </x:c>
      <x:c r="AC356" s="21">
        <x:f t="shared" si="357"/>
        <x:v>1.5592783010168005</x:v>
      </x:c>
      <x:c r="AD356" s="21"/>
      <x:c r="AE356" s="21">
        <x:f t="shared" si="358"/>
        <x:v>5.2373282000000003</x:v>
      </x:c>
      <x:c r="AF356" s="21"/>
      <x:c r="AG356" s="19" t="s">
        <x:v>78</x:v>
      </x:c>
      <x:c r="AH356" t="s">
        <x:v>78</x:v>
      </x:c>
      <x:c r="AI356" t="s">
        <x:v>78</x:v>
      </x:c>
      <x:c r="AJ356" s="19"/>
      <x:c r="AK356" s="19" t="s">
        <x:v>78</x:v>
      </x:c>
      <x:c r="AL356" t="s">
        <x:v>78</x:v>
      </x:c>
      <x:c r="AM356" s="19" t="s">
        <x:v>78</x:v>
      </x:c>
      <x:c r="AN356" s="21"/>
      <x:c r="AO356" s="21"/>
      <x:c r="AP356" s="21"/>
      <x:c r="AQ356" s="21"/>
      <x:c r="AR356" s="21"/>
      <x:c r="AS356" s="21"/>
      <x:c r="AT356" s="21"/>
      <x:c r="AU356" s="21"/>
      <x:c r="AV356" s="21"/>
      <x:c r="AW356" t="s">
        <x:v>78</x:v>
      </x:c>
      <x:c r="AX356" s="19"/>
      <x:c r="AY356" s="21"/>
      <x:c r="AZ356" s="21"/>
      <x:c r="BA356" s="21"/>
      <x:c r="BB356" s="21"/>
      <x:c r="BC356" s="21"/>
      <x:c r="BD356" s="21"/>
      <x:c r="BE356" s="21"/>
      <x:c r="BF356" s="21"/>
      <x:c r="BG356" s="21"/>
      <x:c r="BH356" t="s">
        <x:v>82</x:v>
      </x:c>
      <x:c r="BI356" s="18">
        <x:v>113</x:v>
      </x:c>
      <x:c r="BJ356" s="18">
        <x:v>35</x:v>
      </x:c>
      <x:c r="BK356" s="18">
        <x:v>15</x:v>
      </x:c>
      <x:c r="BL356" s="18">
        <x:v>22</x:v>
      </x:c>
      <x:c r="BM356" s="18">
        <x:v>56</x:v>
      </x:c>
      <x:c r="BN356" s="18">
        <x:v>25</x:v>
      </x:c>
      <x:c r="BO356" s="22">
        <x:v>113.58750000000001</x:v>
      </x:c>
      <x:c r="BP356" s="22">
        <x:v>22.940277777777801</x:v>
      </x:c>
      <x:c r="BQ356" s="18">
        <x:v>150</x:v>
      </x:c>
      <x:c r="BR356" s="18">
        <x:v>90739.94</x:v>
      </x:c>
      <x:c r="BS356" s="18">
        <x:v>335.84399999999999</x:v>
      </x:c>
      <x:c r="BT356" s="18">
        <x:v>10.797000000000001</x:v>
      </x:c>
      <x:c r="BU356" s="18">
        <x:v>124.387</x:v>
      </x:c>
      <x:c r="BV356" s="18">
        <x:v>43.534999999999997</x:v>
      </x:c>
      <x:c r="BW356" s="18">
        <x:v>5436.3469999999998</x:v>
      </x:c>
      <x:c r="BX356" s="18">
        <x:v>26.747</x:v>
      </x:c>
      <x:c r="BY356" s="18">
        <x:v>1780.692</x:v>
      </x:c>
      <x:c r="BZ356" s="18">
        <x:v>1780.692</x:v>
      </x:c>
      <x:c r="CA356" s="23">
        <x:f t="shared" si="315"/>
        <x:v>1268.7427564499999</x:v>
      </x:c>
      <x:c r="CB356" s="23">
        <x:f t="shared" si="316"/>
        <x:v>1173.1615168000001</x:v>
      </x:c>
      <x:c r="CC356" s="23">
        <x:f t="shared" si="317"/>
        <x:v>261.86641000000003</x:v>
      </x:c>
      <x:c r="CD356" s="23">
        <x:f t="shared" si="318"/>
        <x:v>3229.9336235348005</x:v>
      </x:c>
      <x:c r="CE356" s="23">
        <x:f t="shared" si="319"/>
        <x:v>779.63915050840023</x:v>
      </x:c>
      <x:c r="CF356" s="23">
        <x:f t="shared" si="320"/>
        <x:v>1.5592783010168005</x:v>
      </x:c>
      <x:c r="CG356" s="23">
        <x:f t="shared" si="321"/>
        <x:v>0</x:v>
      </x:c>
      <x:c r="CH356" s="23">
        <x:f t="shared" si="322"/>
        <x:v>5.2373282000000003</x:v>
      </x:c>
      <x:c r="CI356" s="23">
        <x:f t="shared" si="323"/>
        <x:v>0</x:v>
      </x:c>
      <x:c r="CJ356" s="24" t="s">
        <x:v>440</x:v>
      </x:c>
      <x:c r="CK356" s="29">
        <x:v>99.3</x:v>
      </x:c>
      <x:c r="CL356" s="26" t="s">
        <x:v>97</x:v>
      </x:c>
      <x:c r="CM356" s="28">
        <x:v>70</x:v>
      </x:c>
      <x:c r="CN356" s="30" t="s">
        <x:v>154</x:v>
      </x:c>
      <x:c r="CO356" s="27">
        <x:v>99.8</x:v>
      </x:c>
      <x:c r="CP356" s="27">
        <x:v>99.6</x:v>
      </x:c>
      <x:c r="CQ356" s="26">
        <x:f t="shared" si="324"/>
        <x:v>8.8811992951500063</x:v>
      </x:c>
      <x:c r="CR356" s="26">
        <x:f t="shared" si="325"/>
        <x:v>351.94845504000006</x:v>
      </x:c>
      <x:c r="CS356" s="26">
        <x:f t="shared" si="327"/>
        <x:v>261.86641000000003</x:v>
      </x:c>
      <x:c r="CT356" s="26">
        <x:f t="shared" si="350"/>
        <x:v>6.4598672470696066</x:v>
      </x:c>
      <x:c r="CU356" s="26">
        <x:f t="shared" si="351"/>
        <x:v>3.1185566020336037</x:v>
      </x:c>
      <x:c r="CV356" s="26">
        <x:f t="shared" si="352"/>
        <x:v>6.2371132040672074E-3</x:v>
      </x:c>
      <x:c r="CW356" s="26">
        <x:f t="shared" si="353"/>
        <x:v>0</x:v>
      </x:c>
      <x:c r="CX356" s="26">
        <x:f t="shared" si="328"/>
        <x:v>5.2373282000000003</x:v>
      </x:c>
      <x:c r="CY356" s="26">
        <x:f t="shared" si="329"/>
        <x:v>0</x:v>
      </x:c>
    </x:row>
    <x:row r="357">
      <x:c r="A357" s="18">
        <x:v>2022</x:v>
      </x:c>
      <x:c r="B357" t="s">
        <x:v>756</x:v>
      </x:c>
      <x:c r="C357" t="s">
        <x:v>757</x:v>
      </x:c>
      <x:c r="D357" t="s">
        <x:v>758</x:v>
      </x:c>
      <x:c r="E357" s="18">
        <x:v>441975</x:v>
      </x:c>
      <x:c r="F357" t="s">
        <x:v>759</x:v>
      </x:c>
      <x:c r="G357" s="8" t="s">
        <x:v>697</x:v>
      </x:c>
      <x:c r="H357" s="18">
        <x:v>2221</x:v>
      </x:c>
      <x:c r="I357" t="s">
        <x:v>158</x:v>
      </x:c>
      <x:c r="J357" t="s">
        <x:v>78</x:v>
      </x:c>
      <x:c r="K357" t="s">
        <x:v>109</x:v>
      </x:c>
      <x:c r="L357" s="20">
        <x:v>3.75</x:v>
      </x:c>
      <x:c r="M357" t="s">
        <x:v>125</x:v>
      </x:c>
      <x:c r="N357" s="18">
        <x:v>260</x:v>
      </x:c>
      <x:c r="O357" t="s">
        <x:v>88</x:v>
      </x:c>
      <x:c r="P357" s="18">
        <x:v>1</x:v>
      </x:c>
      <x:c r="Q357" s="19" t="s">
        <x:v>121</x:v>
      </x:c>
      <x:c r="R357" s="18">
        <x:v>130933.205</x:v>
      </x:c>
      <x:c r="S357" t="s">
        <x:v>112</x:v>
      </x:c>
      <x:c r="T357" s="19">
        <x:f t="shared" si="354"/>
        <x:v>130933.205</x:v>
      </x:c>
      <x:c r="U357" s="20">
        <x:v>0.56999999999999995</x:v>
      </x:c>
      <x:c r="V357" t="s">
        <x:v>113</x:v>
      </x:c>
      <x:c r="W357" s="20">
        <x:v>15.19</x:v>
      </x:c>
      <x:c r="X357" s="21">
        <x:f t="shared" si="355"/>
        <x:v>1268.7427564499999</x:v>
      </x:c>
      <x:c r="Y357" s="21">
        <x:f t="shared" si="356"/>
        <x:v>1173.1615168000001</x:v>
      </x:c>
      <x:c r="Z357" s="21" t="n">
        <x:f>2*T357/1000</x:f>
        <x:v>261.86641000000003</x:v>
      </x:c>
      <x:c r="AA357" s="21" t="n">
        <x:f>W357/100*(1-0.44)*0.29*T357</x:f>
        <x:v>3229.9336235348005</x:v>
      </x:c>
      <x:c r="AB357" s="21" t="n">
        <x:f>W357/100*(1-0.44)*0.07*T357</x:f>
        <x:v>779.6391505084002</x:v>
      </x:c>
      <x:c r="AC357" s="21">
        <x:f t="shared" si="357"/>
        <x:v>1.5592783010168005</x:v>
      </x:c>
      <x:c r="AD357" s="21"/>
      <x:c r="AE357" s="21">
        <x:f t="shared" si="358"/>
        <x:v>5.2373282000000003</x:v>
      </x:c>
      <x:c r="AF357" s="21"/>
      <x:c r="AG357" s="19" t="s">
        <x:v>78</x:v>
      </x:c>
      <x:c r="AH357" t="s">
        <x:v>78</x:v>
      </x:c>
      <x:c r="AI357" t="s">
        <x:v>78</x:v>
      </x:c>
      <x:c r="AJ357" s="19"/>
      <x:c r="AK357" s="19" t="s">
        <x:v>78</x:v>
      </x:c>
      <x:c r="AL357" t="s">
        <x:v>78</x:v>
      </x:c>
      <x:c r="AM357" s="19" t="s">
        <x:v>78</x:v>
      </x:c>
      <x:c r="AN357" s="21"/>
      <x:c r="AO357" s="21"/>
      <x:c r="AP357" s="21"/>
      <x:c r="AQ357" s="21"/>
      <x:c r="AR357" s="21"/>
      <x:c r="AS357" s="21"/>
      <x:c r="AT357" s="21"/>
      <x:c r="AU357" s="21"/>
      <x:c r="AV357" s="21"/>
      <x:c r="AW357" t="s">
        <x:v>78</x:v>
      </x:c>
      <x:c r="AX357" s="19"/>
      <x:c r="AY357" s="21"/>
      <x:c r="AZ357" s="21"/>
      <x:c r="BA357" s="21"/>
      <x:c r="BB357" s="21"/>
      <x:c r="BC357" s="21"/>
      <x:c r="BD357" s="21"/>
      <x:c r="BE357" s="21"/>
      <x:c r="BF357" s="21"/>
      <x:c r="BG357" s="21"/>
      <x:c r="BH357" t="s">
        <x:v>79</x:v>
      </x:c>
      <x:c r="BI357" s="18">
        <x:v>113</x:v>
      </x:c>
      <x:c r="BJ357" s="18">
        <x:v>35</x:v>
      </x:c>
      <x:c r="BK357" s="18">
        <x:v>15</x:v>
      </x:c>
      <x:c r="BL357" s="18">
        <x:v>22</x:v>
      </x:c>
      <x:c r="BM357" s="18">
        <x:v>56</x:v>
      </x:c>
      <x:c r="BN357" s="18">
        <x:v>25</x:v>
      </x:c>
      <x:c r="BO357" s="22">
        <x:v>113.58750000000001</x:v>
      </x:c>
      <x:c r="BP357" s="22">
        <x:v>22.940277777777801</x:v>
      </x:c>
      <x:c r="BQ357" s="18">
        <x:v>150</x:v>
      </x:c>
      <x:c r="BR357" s="18">
        <x:v>90739.94</x:v>
      </x:c>
      <x:c r="BS357" s="18">
        <x:v>335.84399999999999</x:v>
      </x:c>
      <x:c r="BT357" s="18">
        <x:v>10.797000000000001</x:v>
      </x:c>
      <x:c r="BU357" s="18">
        <x:v>124.387</x:v>
      </x:c>
      <x:c r="BV357" s="18">
        <x:v>43.534999999999997</x:v>
      </x:c>
      <x:c r="BW357" s="18">
        <x:v>5436.3469999999998</x:v>
      </x:c>
      <x:c r="BX357" s="18">
        <x:v>26.747</x:v>
      </x:c>
      <x:c r="BY357" s="18">
        <x:v>1780.692</x:v>
      </x:c>
      <x:c r="BZ357" s="18">
        <x:v>1780.692</x:v>
      </x:c>
      <x:c r="CA357" s="23">
        <x:f t="shared" si="315"/>
        <x:v>1268.7427564499999</x:v>
      </x:c>
      <x:c r="CB357" s="23">
        <x:f t="shared" si="316"/>
        <x:v>1173.1615168000001</x:v>
      </x:c>
      <x:c r="CC357" s="23">
        <x:f t="shared" si="317"/>
        <x:v>261.86641000000003</x:v>
      </x:c>
      <x:c r="CD357" s="23">
        <x:f t="shared" si="318"/>
        <x:v>3229.9336235348005</x:v>
      </x:c>
      <x:c r="CE357" s="23">
        <x:f t="shared" si="319"/>
        <x:v>779.63915050840023</x:v>
      </x:c>
      <x:c r="CF357" s="23">
        <x:f t="shared" si="320"/>
        <x:v>1.5592783010168005</x:v>
      </x:c>
      <x:c r="CG357" s="23">
        <x:f t="shared" si="321"/>
        <x:v>0</x:v>
      </x:c>
      <x:c r="CH357" s="23">
        <x:f t="shared" si="322"/>
        <x:v>5.2373282000000003</x:v>
      </x:c>
      <x:c r="CI357" s="23">
        <x:f t="shared" si="323"/>
        <x:v>0</x:v>
      </x:c>
      <x:c r="CJ357" s="24" t="s">
        <x:v>440</x:v>
      </x:c>
      <x:c r="CK357" s="29">
        <x:v>99.3</x:v>
      </x:c>
      <x:c r="CL357" s="26" t="s">
        <x:v>97</x:v>
      </x:c>
      <x:c r="CM357" s="28">
        <x:v>70</x:v>
      </x:c>
      <x:c r="CN357" s="30" t="s">
        <x:v>154</x:v>
      </x:c>
      <x:c r="CO357" s="27">
        <x:v>99.8</x:v>
      </x:c>
      <x:c r="CP357" s="27">
        <x:v>99.6</x:v>
      </x:c>
      <x:c r="CQ357" s="26">
        <x:f t="shared" si="324"/>
        <x:v>8.8811992951500063</x:v>
      </x:c>
      <x:c r="CR357" s="26">
        <x:f t="shared" si="325"/>
        <x:v>351.94845504000006</x:v>
      </x:c>
      <x:c r="CS357" s="26">
        <x:f t="shared" si="327"/>
        <x:v>261.86641000000003</x:v>
      </x:c>
      <x:c r="CT357" s="26">
        <x:f t="shared" si="350"/>
        <x:v>6.4598672470696066</x:v>
      </x:c>
      <x:c r="CU357" s="26">
        <x:f t="shared" si="351"/>
        <x:v>3.1185566020336037</x:v>
      </x:c>
      <x:c r="CV357" s="26">
        <x:f t="shared" si="352"/>
        <x:v>6.2371132040672074E-3</x:v>
      </x:c>
      <x:c r="CW357" s="26">
        <x:f t="shared" si="353"/>
        <x:v>0</x:v>
      </x:c>
      <x:c r="CX357" s="26">
        <x:f t="shared" si="328"/>
        <x:v>5.2373282000000003</x:v>
      </x:c>
      <x:c r="CY357" s="26">
        <x:f t="shared" si="329"/>
        <x:v>0</x:v>
      </x:c>
    </x:row>
    <x:row r="358">
      <x:c r="A358" s="18">
        <x:v>2022</x:v>
      </x:c>
      <x:c r="B358" t="s">
        <x:v>756</x:v>
      </x:c>
      <x:c r="C358" t="s">
        <x:v>757</x:v>
      </x:c>
      <x:c r="D358" t="s">
        <x:v>758</x:v>
      </x:c>
      <x:c r="E358" s="18">
        <x:v>441975</x:v>
      </x:c>
      <x:c r="F358" t="s">
        <x:v>759</x:v>
      </x:c>
      <x:c r="G358" s="8" t="s">
        <x:v>697</x:v>
      </x:c>
      <x:c r="H358" s="18">
        <x:v>2221</x:v>
      </x:c>
      <x:c r="I358" t="s">
        <x:v>158</x:v>
      </x:c>
      <x:c r="J358" t="s">
        <x:v>78</x:v>
      </x:c>
      <x:c r="K358" t="s">
        <x:v>109</x:v>
      </x:c>
      <x:c r="L358" s="20">
        <x:v>3.75</x:v>
      </x:c>
      <x:c r="M358" t="s">
        <x:v>125</x:v>
      </x:c>
      <x:c r="N358" s="18">
        <x:v>260</x:v>
      </x:c>
      <x:c r="O358" t="s">
        <x:v>88</x:v>
      </x:c>
      <x:c r="P358" s="18">
        <x:v>1</x:v>
      </x:c>
      <x:c r="Q358" s="19" t="s">
        <x:v>121</x:v>
      </x:c>
      <x:c r="R358" s="18">
        <x:v>130933.205</x:v>
      </x:c>
      <x:c r="S358" t="s">
        <x:v>112</x:v>
      </x:c>
      <x:c r="T358" s="19">
        <x:f t="shared" si="354"/>
        <x:v>130933.205</x:v>
      </x:c>
      <x:c r="U358" s="20">
        <x:v>0.56999999999999995</x:v>
      </x:c>
      <x:c r="V358" t="s">
        <x:v>113</x:v>
      </x:c>
      <x:c r="W358" s="20">
        <x:v>15.19</x:v>
      </x:c>
      <x:c r="X358" s="21">
        <x:f t="shared" si="355"/>
        <x:v>1268.7427564499999</x:v>
      </x:c>
      <x:c r="Y358" s="21">
        <x:f t="shared" si="356"/>
        <x:v>1173.1615168000001</x:v>
      </x:c>
      <x:c r="Z358" s="21" t="n">
        <x:f>2*T358/1000</x:f>
        <x:v>261.86641000000003</x:v>
      </x:c>
      <x:c r="AA358" s="21" t="n">
        <x:f>W358/100*(1-0.44)*0.29*T358</x:f>
        <x:v>3229.9336235348005</x:v>
      </x:c>
      <x:c r="AB358" s="21" t="n">
        <x:f>W358/100*(1-0.44)*0.07*T358</x:f>
        <x:v>779.6391505084002</x:v>
      </x:c>
      <x:c r="AC358" s="21">
        <x:f t="shared" si="357"/>
        <x:v>1.5592783010168005</x:v>
      </x:c>
      <x:c r="AD358" s="21"/>
      <x:c r="AE358" s="21">
        <x:f t="shared" si="358"/>
        <x:v>5.2373282000000003</x:v>
      </x:c>
      <x:c r="AF358" s="21"/>
      <x:c r="AG358" s="19" t="s">
        <x:v>78</x:v>
      </x:c>
      <x:c r="AH358" t="s">
        <x:v>78</x:v>
      </x:c>
      <x:c r="AI358" t="s">
        <x:v>78</x:v>
      </x:c>
      <x:c r="AJ358" s="19"/>
      <x:c r="AK358" s="19" t="s">
        <x:v>78</x:v>
      </x:c>
      <x:c r="AL358" t="s">
        <x:v>78</x:v>
      </x:c>
      <x:c r="AM358" s="19" t="s">
        <x:v>78</x:v>
      </x:c>
      <x:c r="AN358" s="21"/>
      <x:c r="AO358" s="21"/>
      <x:c r="AP358" s="21"/>
      <x:c r="AQ358" s="21"/>
      <x:c r="AR358" s="21"/>
      <x:c r="AS358" s="21"/>
      <x:c r="AT358" s="21"/>
      <x:c r="AU358" s="21"/>
      <x:c r="AV358" s="21"/>
      <x:c r="AW358" t="s">
        <x:v>78</x:v>
      </x:c>
      <x:c r="AX358" s="19"/>
      <x:c r="AY358" s="21"/>
      <x:c r="AZ358" s="21"/>
      <x:c r="BA358" s="21"/>
      <x:c r="BB358" s="21"/>
      <x:c r="BC358" s="21"/>
      <x:c r="BD358" s="21"/>
      <x:c r="BE358" s="21"/>
      <x:c r="BF358" s="21"/>
      <x:c r="BG358" s="21"/>
      <x:c r="BH358" t="s">
        <x:v>82</x:v>
      </x:c>
      <x:c r="BI358" s="18">
        <x:v>113</x:v>
      </x:c>
      <x:c r="BJ358" s="18">
        <x:v>35</x:v>
      </x:c>
      <x:c r="BK358" s="18">
        <x:v>15</x:v>
      </x:c>
      <x:c r="BL358" s="18">
        <x:v>22</x:v>
      </x:c>
      <x:c r="BM358" s="18">
        <x:v>56</x:v>
      </x:c>
      <x:c r="BN358" s="18">
        <x:v>25</x:v>
      </x:c>
      <x:c r="BO358" s="22">
        <x:v>113.58750000000001</x:v>
      </x:c>
      <x:c r="BP358" s="22">
        <x:v>22.940277777777801</x:v>
      </x:c>
      <x:c r="BQ358" s="18">
        <x:v>150</x:v>
      </x:c>
      <x:c r="BR358" s="18">
        <x:v>90739.94</x:v>
      </x:c>
      <x:c r="BS358" s="18">
        <x:v>335.84399999999999</x:v>
      </x:c>
      <x:c r="BT358" s="18">
        <x:v>10.797000000000001</x:v>
      </x:c>
      <x:c r="BU358" s="18">
        <x:v>124.387</x:v>
      </x:c>
      <x:c r="BV358" s="18">
        <x:v>43.534999999999997</x:v>
      </x:c>
      <x:c r="BW358" s="18">
        <x:v>5436.3469999999998</x:v>
      </x:c>
      <x:c r="BX358" s="18">
        <x:v>26.747</x:v>
      </x:c>
      <x:c r="BY358" s="18">
        <x:v>1780.692</x:v>
      </x:c>
      <x:c r="BZ358" s="18">
        <x:v>1780.692</x:v>
      </x:c>
      <x:c r="CA358" s="23">
        <x:f t="shared" si="315"/>
        <x:v>1268.7427564499999</x:v>
      </x:c>
      <x:c r="CB358" s="23">
        <x:f t="shared" si="316"/>
        <x:v>1173.1615168000001</x:v>
      </x:c>
      <x:c r="CC358" s="23">
        <x:f t="shared" si="317"/>
        <x:v>261.86641000000003</x:v>
      </x:c>
      <x:c r="CD358" s="23">
        <x:f t="shared" si="318"/>
        <x:v>3229.9336235348005</x:v>
      </x:c>
      <x:c r="CE358" s="23">
        <x:f t="shared" si="319"/>
        <x:v>779.63915050840023</x:v>
      </x:c>
      <x:c r="CF358" s="23">
        <x:f t="shared" si="320"/>
        <x:v>1.5592783010168005</x:v>
      </x:c>
      <x:c r="CG358" s="23">
        <x:f t="shared" si="321"/>
        <x:v>0</x:v>
      </x:c>
      <x:c r="CH358" s="23">
        <x:f t="shared" si="322"/>
        <x:v>5.2373282000000003</x:v>
      </x:c>
      <x:c r="CI358" s="23">
        <x:f t="shared" si="323"/>
        <x:v>0</x:v>
      </x:c>
      <x:c r="CJ358" s="24" t="s">
        <x:v>440</x:v>
      </x:c>
      <x:c r="CK358" s="29">
        <x:v>99.3</x:v>
      </x:c>
      <x:c r="CL358" s="26" t="s">
        <x:v>97</x:v>
      </x:c>
      <x:c r="CM358" s="28">
        <x:v>70</x:v>
      </x:c>
      <x:c r="CN358" s="30" t="s">
        <x:v>154</x:v>
      </x:c>
      <x:c r="CO358" s="27">
        <x:v>99.8</x:v>
      </x:c>
      <x:c r="CP358" s="27">
        <x:v>99.6</x:v>
      </x:c>
      <x:c r="CQ358" s="26">
        <x:f t="shared" si="324"/>
        <x:v>8.8811992951500063</x:v>
      </x:c>
      <x:c r="CR358" s="26">
        <x:f t="shared" si="325"/>
        <x:v>351.94845504000006</x:v>
      </x:c>
      <x:c r="CS358" s="26">
        <x:f t="shared" si="327"/>
        <x:v>261.86641000000003</x:v>
      </x:c>
      <x:c r="CT358" s="26">
        <x:f t="shared" si="350"/>
        <x:v>6.4598672470696066</x:v>
      </x:c>
      <x:c r="CU358" s="26">
        <x:f t="shared" si="351"/>
        <x:v>3.1185566020336037</x:v>
      </x:c>
      <x:c r="CV358" s="26">
        <x:f t="shared" si="352"/>
        <x:v>6.2371132040672074E-3</x:v>
      </x:c>
      <x:c r="CW358" s="26">
        <x:f t="shared" si="353"/>
        <x:v>0</x:v>
      </x:c>
      <x:c r="CX358" s="26">
        <x:f t="shared" si="328"/>
        <x:v>5.2373282000000003</x:v>
      </x:c>
      <x:c r="CY358" s="26">
        <x:f t="shared" si="329"/>
        <x:v>0</x:v>
      </x:c>
    </x:row>
    <x:row r="359">
      <x:c r="A359" s="18">
        <x:v>2022</x:v>
      </x:c>
      <x:c r="B359" t="s">
        <x:v>760</x:v>
      </x:c>
      <x:c r="C359" t="s">
        <x:v>761</x:v>
      </x:c>
      <x:c r="D359" t="s">
        <x:v>762</x:v>
      </x:c>
      <x:c r="E359" s="18">
        <x:v>441976</x:v>
      </x:c>
      <x:c r="F359" t="s">
        <x:v>763</x:v>
      </x:c>
      <x:c r="G359" s="8" t="s">
        <x:v>697</x:v>
      </x:c>
      <x:c r="H359" s="18">
        <x:v>1391</x:v>
      </x:c>
      <x:c r="I359" t="s">
        <x:v>764</x:v>
      </x:c>
      <x:c r="J359" t="s">
        <x:v>765</x:v>
      </x:c>
      <x:c r="K359" t="s">
        <x:v>109</x:v>
      </x:c>
      <x:c r="L359" s="20">
        <x:v>1.5</x:v>
      </x:c>
      <x:c r="M359" t="s">
        <x:v>136</x:v>
      </x:c>
      <x:c r="N359" s="18">
        <x:v>85</x:v>
      </x:c>
      <x:c r="O359" t="s">
        <x:v>88</x:v>
      </x:c>
      <x:c r="P359" s="18">
        <x:v>8</x:v>
      </x:c>
      <x:c r="Q359" s="19" t="s">
        <x:v>339</x:v>
      </x:c>
      <x:c r="R359" s="18">
        <x:v>58051.360000000001</x:v>
      </x:c>
      <x:c r="S359" t="s">
        <x:v>112</x:v>
      </x:c>
      <x:c r="T359" s="19">
        <x:f t="shared" si="354"/>
        <x:v>58051.360000000001</x:v>
      </x:c>
      <x:c r="U359" s="20">
        <x:v>0.28999999999999998</x:v>
      </x:c>
      <x:c r="V359" t="s">
        <x:v>113</x:v>
      </x:c>
      <x:c r="W359" s="20">
        <x:v>6.32</x:v>
      </x:c>
      <x:c r="X359" s="21">
        <x:f t="shared" si="355"/>
        <x:v>286.19320479999999</x:v>
      </x:c>
      <x:c r="Y359" s="21">
        <x:f t="shared" si="356"/>
        <x:v>520.1401856</x:v>
      </x:c>
      <x:c r="Z359" s="21" t="n">
        <x:f>8*T359/1000</x:f>
        <x:v>464.41088</x:v>
      </x:c>
      <x:c r="AA359" s="21" t="n">
        <x:f>W359/100*(1-0.85)*0.33*T359</x:f>
        <x:v>181.60787462400006</x:v>
      </x:c>
      <x:c r="AB359" s="21" t="n">
        <x:f>W359/100*(1-0.85)*0.1*T359</x:f>
        <x:v>55.032689280000014</x:v>
      </x:c>
      <x:c r="AC359" s="21">
        <x:f t="shared" si="357"/>
        <x:v>0.11006537856000002</x:v>
      </x:c>
      <x:c r="AD359" s="21"/>
      <x:c r="AE359" s="21">
        <x:f t="shared" si="358"/>
        <x:v>2.3220543999999999</x:v>
      </x:c>
      <x:c r="AF359" s="21"/>
      <x:c r="AG359" s="19" t="s">
        <x:v>78</x:v>
      </x:c>
      <x:c r="AH359" t="s">
        <x:v>78</x:v>
      </x:c>
      <x:c r="AI359" t="s">
        <x:v>78</x:v>
      </x:c>
      <x:c r="AJ359" s="19"/>
      <x:c r="AK359" s="19" t="s">
        <x:v>78</x:v>
      </x:c>
      <x:c r="AL359" t="s">
        <x:v>78</x:v>
      </x:c>
      <x:c r="AM359" s="19" t="s">
        <x:v>78</x:v>
      </x:c>
      <x:c r="AN359" s="21"/>
      <x:c r="AO359" s="21"/>
      <x:c r="AP359" s="21"/>
      <x:c r="AQ359" s="21"/>
      <x:c r="AR359" s="21"/>
      <x:c r="AS359" s="21"/>
      <x:c r="AT359" s="21"/>
      <x:c r="AU359" s="21"/>
      <x:c r="AV359" s="21"/>
      <x:c r="AW359" t="s">
        <x:v>78</x:v>
      </x:c>
      <x:c r="AX359" s="19"/>
      <x:c r="AY359" s="21"/>
      <x:c r="AZ359" s="21"/>
      <x:c r="BA359" s="21"/>
      <x:c r="BB359" s="21"/>
      <x:c r="BC359" s="21"/>
      <x:c r="BD359" s="21"/>
      <x:c r="BE359" s="21"/>
      <x:c r="BF359" s="21"/>
      <x:c r="BG359" s="21"/>
      <x:c r="BH359" t="s">
        <x:v>81</x:v>
      </x:c>
      <x:c r="BI359" s="18">
        <x:v>113</x:v>
      </x:c>
      <x:c r="BJ359" s="18">
        <x:v>32</x:v>
      </x:c>
      <x:c r="BK359" s="18">
        <x:v>56</x:v>
      </x:c>
      <x:c r="BL359" s="18">
        <x:v>22</x:v>
      </x:c>
      <x:c r="BM359" s="18">
        <x:v>59</x:v>
      </x:c>
      <x:c r="BN359" s="18">
        <x:v>10</x:v>
      </x:c>
      <x:c r="BO359" s="22">
        <x:v>113.548888888889</x:v>
      </x:c>
      <x:c r="BP359" s="22">
        <x:v>22.9861111111111</x:v>
      </x:c>
      <x:c r="BQ359" s="18">
        <x:v>85</x:v>
      </x:c>
      <x:c r="BR359" s="18">
        <x:v>99929.32</x:v>
      </x:c>
      <x:c r="BS359" s="18">
        <x:v>334.95600000000002</x:v>
      </x:c>
      <x:c r="BT359" s="18">
        <x:v>31.094000000000001</x:v>
      </x:c>
      <x:c r="BU359" s="18">
        <x:v>69.662000000000006</x:v>
      </x:c>
      <x:c r="BV359" s="18">
        <x:v>20.898</x:v>
      </x:c>
      <x:c r="BW359" s="18">
        <x:v>7773.6580000000004</x:v>
      </x:c>
      <x:c r="BX359" s="18">
        <x:v>12.127000000000001</x:v>
      </x:c>
      <x:c r="BY359" s="18">
        <x:v>1451.2840000000001</x:v>
      </x:c>
      <x:c r="BZ359" s="18">
        <x:v>1451.2840000000001</x:v>
      </x:c>
      <x:c r="CA359" s="23">
        <x:f t="shared" si="315"/>
        <x:v>286.19320479999999</x:v>
      </x:c>
      <x:c r="CB359" s="23">
        <x:f t="shared" si="316"/>
        <x:v>520.1401856</x:v>
      </x:c>
      <x:c r="CC359" s="23">
        <x:f t="shared" si="317"/>
        <x:v>464.41088000000002</x:v>
      </x:c>
      <x:c r="CD359" s="23">
        <x:f t="shared" si="318"/>
        <x:v>181.60787462400006</x:v>
      </x:c>
      <x:c r="CE359" s="23">
        <x:f t="shared" si="319"/>
        <x:v>55.032689280000014</x:v>
      </x:c>
      <x:c r="CF359" s="23">
        <x:f t="shared" si="320"/>
        <x:v>0.11006537856000002</x:v>
      </x:c>
      <x:c r="CG359" s="23">
        <x:f t="shared" si="321"/>
        <x:v>0</x:v>
      </x:c>
      <x:c r="CH359" s="23">
        <x:f t="shared" si="322"/>
        <x:v>2.3220543999999999</x:v>
      </x:c>
      <x:c r="CI359" s="23">
        <x:f t="shared" si="323"/>
        <x:v>0</x:v>
      </x:c>
      <x:c r="CJ359" s="24" t="s">
        <x:v>180</x:v>
      </x:c>
      <x:c r="CK359" s="29">
        <x:v>93.69</x:v>
      </x:c>
      <x:c r="CL359" s="26" t="s">
        <x:v>97</x:v>
      </x:c>
      <x:c r="CM359" s="28">
        <x:v>75</x:v>
      </x:c>
      <x:c r="CN359" s="30" t="s">
        <x:v>154</x:v>
      </x:c>
      <x:c r="CO359" s="27">
        <x:v>99.8</x:v>
      </x:c>
      <x:c r="CP359" s="27">
        <x:v>99.6</x:v>
      </x:c>
      <x:c r="CQ359" s="26">
        <x:f t="shared" si="324"/>
        <x:v>18.058791222880011</x:v>
      </x:c>
      <x:c r="CR359" s="26">
        <x:f t="shared" si="325"/>
        <x:v>130.0350464</x:v>
      </x:c>
      <x:c r="CS359" s="26">
        <x:f t="shared" si="327"/>
        <x:v>464.41088000000002</x:v>
      </x:c>
      <x:c r="CT359" s="26">
        <x:f t="shared" si="350"/>
        <x:v>0.36321574924800043</x:v>
      </x:c>
      <x:c r="CU359" s="26">
        <x:f t="shared" si="351"/>
        <x:v>0.22013075712000024</x:v>
      </x:c>
      <x:c r="CV359" s="26">
        <x:f t="shared" si="352"/>
        <x:v>4.4026151424000047E-4</x:v>
      </x:c>
      <x:c r="CW359" s="26">
        <x:f t="shared" si="353"/>
        <x:v>0</x:v>
      </x:c>
      <x:c r="CX359" s="26">
        <x:f t="shared" si="328"/>
        <x:v>2.3220543999999999</x:v>
      </x:c>
      <x:c r="CY359" s="26">
        <x:f t="shared" si="329"/>
        <x:v>0</x:v>
      </x:c>
    </x:row>
    <x:row r="360">
      <x:c r="A360" s="18">
        <x:v>2022</x:v>
      </x:c>
      <x:c r="B360" t="s">
        <x:v>766</x:v>
      </x:c>
      <x:c r="C360" t="s">
        <x:v>767</x:v>
      </x:c>
      <x:c r="D360" t="s">
        <x:v>768</x:v>
      </x:c>
      <x:c r="E360" s="18">
        <x:v>441976</x:v>
      </x:c>
      <x:c r="F360" t="s">
        <x:v>763</x:v>
      </x:c>
      <x:c r="G360" s="8" t="s">
        <x:v>697</x:v>
      </x:c>
      <x:c r="H360" s="18">
        <x:v>2221</x:v>
      </x:c>
      <x:c r="I360" t="s">
        <x:v>158</x:v>
      </x:c>
      <x:c r="J360" t="s">
        <x:v>769</x:v>
      </x:c>
      <x:c r="K360" t="s">
        <x:v>109</x:v>
      </x:c>
      <x:c r="L360" s="20">
        <x:v>5</x:v>
      </x:c>
      <x:c r="M360" t="s">
        <x:v>110</x:v>
      </x:c>
      <x:c r="N360" s="18">
        <x:v>280</x:v>
      </x:c>
      <x:c r="O360" t="s">
        <x:v>88</x:v>
      </x:c>
      <x:c r="P360" s="18">
        <x:v>4</x:v>
      </x:c>
      <x:c r="Q360" s="19" t="s">
        <x:v>111</x:v>
      </x:c>
      <x:c r="R360" s="18">
        <x:v>201326</x:v>
      </x:c>
      <x:c r="S360" t="s">
        <x:v>112</x:v>
      </x:c>
      <x:c r="T360" s="19">
        <x:f t="shared" si="354"/>
        <x:v>201326</x:v>
      </x:c>
      <x:c r="U360" s="20">
        <x:v>0.77</x:v>
      </x:c>
      <x:c r="V360" t="s">
        <x:v>113</x:v>
      </x:c>
      <x:c r="W360" s="20">
        <x:v>21.25</x:v>
      </x:c>
      <x:c r="X360" s="21">
        <x:f t="shared" si="355"/>
        <x:v>2635.35734</x:v>
      </x:c>
      <x:c r="Y360" s="21">
        <x:f t="shared" si="356"/>
        <x:v>1803.8809600000002</x:v>
      </x:c>
      <x:c r="Z360" s="21" t="n">
        <x:f t="shared" ref="Z360:Z368" si="359">2*T360/1000</x:f>
        <x:v>402.652</x:v>
      </x:c>
      <x:c r="AA360" s="21" t="n">
        <x:f>W360/100*(1-0.25)*0.23*T360</x:f>
        <x:v>7379.8561875000005</x:v>
      </x:c>
      <x:c r="AB360" s="21" t="n">
        <x:f>W360/100*(1-0.25)*0.06*T360</x:f>
        <x:v>1925.179875</x:v>
      </x:c>
      <x:c r="AC360" s="21" t="n">
        <x:f t="shared" ref="AC360:AC368" si="360">0.002*AB360</x:f>
        <x:v>3.85035975</x:v>
      </x:c>
      <x:c r="AD360" s="21"/>
      <x:c r="AE360" s="21">
        <x:f t="shared" si="358"/>
        <x:v>8.0530399999999993</x:v>
      </x:c>
      <x:c r="AF360" s="21"/>
      <x:c r="AG360" s="19" t="s">
        <x:v>78</x:v>
      </x:c>
      <x:c r="AH360" t="s">
        <x:v>78</x:v>
      </x:c>
      <x:c r="AI360" t="s">
        <x:v>78</x:v>
      </x:c>
      <x:c r="AJ360" s="19"/>
      <x:c r="AK360" s="19" t="s">
        <x:v>78</x:v>
      </x:c>
      <x:c r="AL360" t="s">
        <x:v>78</x:v>
      </x:c>
      <x:c r="AM360" s="19" t="s">
        <x:v>78</x:v>
      </x:c>
      <x:c r="AN360" s="21"/>
      <x:c r="AO360" s="21"/>
      <x:c r="AP360" s="21"/>
      <x:c r="AQ360" s="21"/>
      <x:c r="AR360" s="21"/>
      <x:c r="AS360" s="21"/>
      <x:c r="AT360" s="21"/>
      <x:c r="AU360" s="21"/>
      <x:c r="AV360" s="21"/>
      <x:c r="AW360" t="s">
        <x:v>78</x:v>
      </x:c>
      <x:c r="AX360" s="19"/>
      <x:c r="AY360" s="21"/>
      <x:c r="AZ360" s="21"/>
      <x:c r="BA360" s="21"/>
      <x:c r="BB360" s="21"/>
      <x:c r="BC360" s="21"/>
      <x:c r="BD360" s="21"/>
      <x:c r="BE360" s="21"/>
      <x:c r="BF360" s="21"/>
      <x:c r="BG360" s="21"/>
      <x:c r="BH360" t="s">
        <x:v>81</x:v>
      </x:c>
      <x:c r="BI360" s="18">
        <x:v>113</x:v>
      </x:c>
      <x:c r="BJ360" s="18">
        <x:v>32</x:v>
      </x:c>
      <x:c r="BK360" s="18">
        <x:v>12.23</x:v>
      </x:c>
      <x:c r="BL360" s="18">
        <x:v>23</x:v>
      </x:c>
      <x:c r="BM360" s="18">
        <x:v>2</x:v>
      </x:c>
      <x:c r="BN360" s="18">
        <x:v>3.84</x:v>
      </x:c>
      <x:c r="BO360" s="22">
        <x:v>113.53673055555601</x:v>
      </x:c>
      <x:c r="BP360" s="22">
        <x:v>23.034400000000002</x:v>
      </x:c>
      <x:c r="BQ360" s="18">
        <x:v>150</x:v>
      </x:c>
      <x:c r="BR360" s="18">
        <x:v>183888.986</x:v>
      </x:c>
      <x:c r="BS360" s="18">
        <x:v>1689.125</x:v>
      </x:c>
      <x:c r="BT360" s="18">
        <x:v>21.114000000000001</x:v>
      </x:c>
      <x:c r="BU360" s="18">
        <x:v>454.99700000000001</x:v>
      </x:c>
      <x:c r="BV360" s="18">
        <x:v>86.448999999999998</x:v>
      </x:c>
      <x:c r="BW360" s="18">
        <x:v>32252.424999999999</x:v>
      </x:c>
      <x:c r="BX360" s="18">
        <x:v>1.427</x:v>
      </x:c>
      <x:c r="BY360" s="18">
        <x:v>2375.6469999999999</x:v>
      </x:c>
      <x:c r="BZ360" s="18">
        <x:v>2375.6469999999999</x:v>
      </x:c>
      <x:c r="CA360" s="23">
        <x:f t="shared" si="315"/>
        <x:v>2635.35734</x:v>
      </x:c>
      <x:c r="CB360" s="23">
        <x:f t="shared" si="316"/>
        <x:v>1803.8809600000002</x:v>
      </x:c>
      <x:c r="CC360" s="23">
        <x:f t="shared" si="317"/>
        <x:v>402.65199999999999</x:v>
      </x:c>
      <x:c r="CD360" s="23">
        <x:f t="shared" si="318"/>
        <x:v>7379.8561875000005</x:v>
      </x:c>
      <x:c r="CE360" s="23">
        <x:f t="shared" si="319"/>
        <x:v>1925.179875</x:v>
      </x:c>
      <x:c r="CF360" s="23">
        <x:f t="shared" si="320"/>
        <x:v>3.85035975</x:v>
      </x:c>
      <x:c r="CG360" s="23">
        <x:f t="shared" si="321"/>
        <x:v>0</x:v>
      </x:c>
      <x:c r="CH360" s="23">
        <x:f t="shared" si="322"/>
        <x:v>8.0530399999999993</x:v>
      </x:c>
      <x:c r="CI360" s="23">
        <x:f t="shared" si="323"/>
        <x:v>0</x:v>
      </x:c>
      <x:c r="CJ360" s="24" t="s">
        <x:v>770</x:v>
      </x:c>
      <x:c r="CK360" s="25">
        <x:v>98.94</x:v>
      </x:c>
      <x:c r="CL360" s="26" t="s">
        <x:v>123</x:v>
      </x:c>
      <x:c r="CM360" s="26">
        <x:v>86.35</x:v>
      </x:c>
      <x:c r="CN360" s="27" t="s">
        <x:v>233</x:v>
      </x:c>
      <x:c r="CO360" s="27">
        <x:v>99.4</x:v>
      </x:c>
      <x:c r="CP360" s="27">
        <x:v>98.3</x:v>
      </x:c>
      <x:c r="CQ360" s="26">
        <x:f t="shared" si="324"/>
        <x:v>27.934787804000141</x:v>
      </x:c>
      <x:c r="CR360" s="26">
        <x:f t="shared" si="325"/>
        <x:v>246.22975104000014</x:v>
      </x:c>
      <x:c r="CS360" s="26">
        <x:f t="shared" si="327"/>
        <x:v>402.65199999999999</x:v>
      </x:c>
      <x:c r="CT360" s="26">
        <x:f t="shared" si="350"/>
        <x:v>44.279137124999224</x:v>
      </x:c>
      <x:c r="CU360" s="26">
        <x:f t="shared" si="351"/>
        <x:v>32.728057875000033</x:v>
      </x:c>
      <x:c r="CV360" s="26">
        <x:f t="shared" si="352"/>
        <x:v>6.5456115750000057E-2</x:v>
      </x:c>
      <x:c r="CW360" s="26">
        <x:f t="shared" si="353"/>
        <x:v>0</x:v>
      </x:c>
      <x:c r="CX360" s="26">
        <x:f t="shared" si="328"/>
        <x:v>8.0530399999999993</x:v>
      </x:c>
      <x:c r="CY360" s="26">
        <x:f t="shared" si="329"/>
        <x:v>0</x:v>
      </x:c>
    </x:row>
    <x:row r="361">
      <x:c r="A361" s="18">
        <x:v>2022</x:v>
      </x:c>
      <x:c r="B361" t="s">
        <x:v>766</x:v>
      </x:c>
      <x:c r="C361" t="s">
        <x:v>767</x:v>
      </x:c>
      <x:c r="D361" t="s">
        <x:v>768</x:v>
      </x:c>
      <x:c r="E361" s="18">
        <x:v>441976</x:v>
      </x:c>
      <x:c r="F361" t="s">
        <x:v>763</x:v>
      </x:c>
      <x:c r="G361" s="8" t="s">
        <x:v>697</x:v>
      </x:c>
      <x:c r="H361" s="18">
        <x:v>2221</x:v>
      </x:c>
      <x:c r="I361" t="s">
        <x:v>158</x:v>
      </x:c>
      <x:c r="J361" t="s">
        <x:v>769</x:v>
      </x:c>
      <x:c r="K361" t="s">
        <x:v>109</x:v>
      </x:c>
      <x:c r="L361" s="20">
        <x:v>21</x:v>
      </x:c>
      <x:c r="M361" t="s">
        <x:v>110</x:v>
      </x:c>
      <x:c r="N361" s="18">
        <x:v>680</x:v>
      </x:c>
      <x:c r="O361" t="s">
        <x:v>88</x:v>
      </x:c>
      <x:c r="P361" s="18">
        <x:v>4</x:v>
      </x:c>
      <x:c r="Q361" s="19" t="s">
        <x:v>111</x:v>
      </x:c>
      <x:c r="R361" s="18">
        <x:v>525827</x:v>
      </x:c>
      <x:c r="S361" t="s">
        <x:v>112</x:v>
      </x:c>
      <x:c r="T361" s="19">
        <x:f t="shared" si="354"/>
        <x:v>525827</x:v>
      </x:c>
      <x:c r="U361" s="20">
        <x:v>0.77</x:v>
      </x:c>
      <x:c r="V361" t="s">
        <x:v>113</x:v>
      </x:c>
      <x:c r="W361" s="20">
        <x:v>21.25</x:v>
      </x:c>
      <x:c r="X361" s="21">
        <x:f t="shared" si="355"/>
        <x:v>6883.0754300000008</x:v>
      </x:c>
      <x:c r="Y361" s="21" t="n">
        <x:f>8.19*T361/1000</x:f>
        <x:v>4306.52313</x:v>
      </x:c>
      <x:c r="Z361" s="21">
        <x:f t="shared" si="359"/>
        <x:v>1051.654</x:v>
      </x:c>
      <x:c r="AA361" s="21" t="n">
        <x:f>W361/100*(1-0.25)*0.23*T361</x:f>
        <x:v>19274.84596875</x:v>
      </x:c>
      <x:c r="AB361" s="21" t="n">
        <x:f>W361/100*(1-0.25)*0.06*T361</x:f>
        <x:v>5028.2206875</x:v>
      </x:c>
      <x:c r="AC361" s="21">
        <x:f t="shared" si="360"/>
        <x:v>10.056441375</x:v>
      </x:c>
      <x:c r="AD361" s="21"/>
      <x:c r="AE361" s="21">
        <x:f t="shared" si="358"/>
        <x:v>21.033080000000002</x:v>
      </x:c>
      <x:c r="AF361" s="21"/>
      <x:c r="AG361" s="19" t="s">
        <x:v>78</x:v>
      </x:c>
      <x:c r="AH361" t="s">
        <x:v>78</x:v>
      </x:c>
      <x:c r="AI361" t="s">
        <x:v>78</x:v>
      </x:c>
      <x:c r="AJ361" s="19"/>
      <x:c r="AK361" s="19" t="s">
        <x:v>78</x:v>
      </x:c>
      <x:c r="AL361" t="s">
        <x:v>78</x:v>
      </x:c>
      <x:c r="AM361" s="19" t="s">
        <x:v>78</x:v>
      </x:c>
      <x:c r="AN361" s="21"/>
      <x:c r="AO361" s="21"/>
      <x:c r="AP361" s="21"/>
      <x:c r="AQ361" s="21"/>
      <x:c r="AR361" s="21"/>
      <x:c r="AS361" s="21"/>
      <x:c r="AT361" s="21"/>
      <x:c r="AU361" s="21"/>
      <x:c r="AV361" s="21"/>
      <x:c r="AW361" t="s">
        <x:v>78</x:v>
      </x:c>
      <x:c r="AX361" s="19"/>
      <x:c r="AY361" s="21"/>
      <x:c r="AZ361" s="21"/>
      <x:c r="BA361" s="21"/>
      <x:c r="BB361" s="21"/>
      <x:c r="BC361" s="21"/>
      <x:c r="BD361" s="21"/>
      <x:c r="BE361" s="21"/>
      <x:c r="BF361" s="21"/>
      <x:c r="BG361" s="21"/>
      <x:c r="BH361" t="s">
        <x:v>771</x:v>
      </x:c>
      <x:c r="BI361" s="18">
        <x:v>113</x:v>
      </x:c>
      <x:c r="BJ361" s="18">
        <x:v>31</x:v>
      </x:c>
      <x:c r="BK361" s="18">
        <x:v>52.1</x:v>
      </x:c>
      <x:c r="BL361" s="18">
        <x:v>23</x:v>
      </x:c>
      <x:c r="BM361" s="18">
        <x:v>1</x:v>
      </x:c>
      <x:c r="BN361" s="18">
        <x:v>58.96</x:v>
      </x:c>
      <x:c r="BO361" s="22">
        <x:v>113.531138888889</x:v>
      </x:c>
      <x:c r="BP361" s="22">
        <x:v>23.0330444444444</x:v>
      </x:c>
      <x:c r="BQ361" s="18">
        <x:v>150</x:v>
      </x:c>
      <x:c r="BR361" s="18">
        <x:v>547058.09299999999</x:v>
      </x:c>
      <x:c r="BS361" s="18">
        <x:v>4501.0789999999997</x:v>
      </x:c>
      <x:c r="BT361" s="18">
        <x:v>69.766999999999996</x:v>
      </x:c>
      <x:c r="BU361" s="18">
        <x:v>1624.8050000000001</x:v>
      </x:c>
      <x:c r="BV361" s="18">
        <x:v>243.721</x:v>
      </x:c>
      <x:c r="BW361" s="18">
        <x:v>77301.827000000005</x:v>
      </x:c>
      <x:c r="BX361" s="18">
        <x:v>8.4719999999999995</x:v>
      </x:c>
      <x:c r="BY361" s="18">
        <x:v>6204.759</x:v>
      </x:c>
      <x:c r="BZ361" s="18">
        <x:v>6204.759</x:v>
      </x:c>
      <x:c r="CA361" s="23">
        <x:f t="shared" si="315"/>
        <x:v>6883.0754300000008</x:v>
      </x:c>
      <x:c r="CB361" s="23">
        <x:f t="shared" si="316"/>
        <x:v>4306.5231299999996</x:v>
      </x:c>
      <x:c r="CC361" s="23">
        <x:f t="shared" si="317"/>
        <x:v>1051.654</x:v>
      </x:c>
      <x:c r="CD361" s="23">
        <x:f t="shared" si="318"/>
        <x:v>19274.84596875</x:v>
      </x:c>
      <x:c r="CE361" s="23">
        <x:f t="shared" si="319"/>
        <x:v>5028.2206875000002</x:v>
      </x:c>
      <x:c r="CF361" s="23">
        <x:f t="shared" si="320"/>
        <x:v>10.056441375</x:v>
      </x:c>
      <x:c r="CG361" s="23">
        <x:f t="shared" si="321"/>
        <x:v>0</x:v>
      </x:c>
      <x:c r="CH361" s="23">
        <x:f t="shared" si="322"/>
        <x:v>21.033080000000002</x:v>
      </x:c>
      <x:c r="CI361" s="23">
        <x:f t="shared" si="323"/>
        <x:v>0</x:v>
      </x:c>
      <x:c r="CJ361" s="24" t="s">
        <x:v>770</x:v>
      </x:c>
      <x:c r="CK361" s="25">
        <x:v>98.47</x:v>
      </x:c>
      <x:c r="CL361" s="26" t="s">
        <x:v>123</x:v>
      </x:c>
      <x:c r="CM361" s="26">
        <x:v>80.180000000000007</x:v>
      </x:c>
      <x:c r="CN361" s="27" t="s">
        <x:v>233</x:v>
      </x:c>
      <x:c r="CO361" s="27">
        <x:v>99.4</x:v>
      </x:c>
      <x:c r="CP361" s="27">
        <x:v>98.3</x:v>
      </x:c>
      <x:c r="CQ361" s="26">
        <x:f t="shared" si="324"/>
        <x:v>105.31105407899987</x:v>
      </x:c>
      <x:c r="CR361" s="26">
        <x:f t="shared" si="325"/>
        <x:v>853.5528843659996</x:v>
      </x:c>
      <x:c r="CS361" s="26">
        <x:f t="shared" si="327"/>
        <x:v>1051.654</x:v>
      </x:c>
      <x:c r="CT361" s="26">
        <x:f t="shared" si="350"/>
        <x:v>115.64907581249795</x:v>
      </x:c>
      <x:c r="CU361" s="26">
        <x:f t="shared" si="351"/>
        <x:v>85.479751687500084</x:v>
      </x:c>
      <x:c r="CV361" s="26">
        <x:f t="shared" si="352"/>
        <x:v>0.17095950337500015</x:v>
      </x:c>
      <x:c r="CW361" s="26">
        <x:f t="shared" si="353"/>
        <x:v>0</x:v>
      </x:c>
      <x:c r="CX361" s="26">
        <x:f t="shared" si="328"/>
        <x:v>21.033080000000002</x:v>
      </x:c>
      <x:c r="CY361" s="26">
        <x:f t="shared" si="329"/>
        <x:v>0</x:v>
      </x:c>
    </x:row>
    <x:row r="362">
      <x:c r="A362" s="18">
        <x:v>2022</x:v>
      </x:c>
      <x:c r="B362" t="s">
        <x:v>766</x:v>
      </x:c>
      <x:c r="C362" t="s">
        <x:v>767</x:v>
      </x:c>
      <x:c r="D362" t="s">
        <x:v>768</x:v>
      </x:c>
      <x:c r="E362" s="18">
        <x:v>441976</x:v>
      </x:c>
      <x:c r="F362" t="s">
        <x:v>763</x:v>
      </x:c>
      <x:c r="G362" s="8" t="s">
        <x:v>697</x:v>
      </x:c>
      <x:c r="H362" s="18">
        <x:v>2221</x:v>
      </x:c>
      <x:c r="I362" t="s">
        <x:v>158</x:v>
      </x:c>
      <x:c r="J362" t="s">
        <x:v>769</x:v>
      </x:c>
      <x:c r="K362" t="s">
        <x:v>109</x:v>
      </x:c>
      <x:c r="L362" s="20">
        <x:v>5</x:v>
      </x:c>
      <x:c r="M362" t="s">
        <x:v>125</x:v>
      </x:c>
      <x:c r="N362" s="18">
        <x:v>320</x:v>
      </x:c>
      <x:c r="O362" t="s">
        <x:v>88</x:v>
      </x:c>
      <x:c r="P362" s="18">
        <x:v>4</x:v>
      </x:c>
      <x:c r="Q362" s="19" t="s">
        <x:v>111</x:v>
      </x:c>
      <x:c r="R362" s="18">
        <x:v>163746.215</x:v>
      </x:c>
      <x:c r="S362" t="s">
        <x:v>112</x:v>
      </x:c>
      <x:c r="T362" s="19">
        <x:f t="shared" si="354"/>
        <x:v>163746.215</x:v>
      </x:c>
      <x:c r="U362" s="20">
        <x:v>0.75</x:v>
      </x:c>
      <x:c r="V362" t="s">
        <x:v>113</x:v>
      </x:c>
      <x:c r="W362" s="20">
        <x:v>25.45</x:v>
      </x:c>
      <x:c r="X362" s="21">
        <x:f t="shared" si="355"/>
        <x:v>2087.7642412499999</x:v>
      </x:c>
      <x:c r="Y362" s="21" t="n">
        <x:f t="shared" ref="Y362:Y368" si="361">8.96*T362/1000</x:f>
        <x:v>1467.1660864</x:v>
      </x:c>
      <x:c r="Z362" s="21">
        <x:f t="shared" si="359"/>
        <x:v>327.49243000000001</x:v>
      </x:c>
      <x:c r="AA362" s="21" t="n">
        <x:f t="shared" ref="AA362:AA368" si="362">W362/100*(1-0.44)*0.29*T362</x:f>
        <x:v>6767.762062922</x:v>
      </x:c>
      <x:c r="AB362" s="21" t="n">
        <x:f t="shared" ref="AB362:AB368" si="363">W362/100*(1-0.44)*0.07*T362</x:f>
        <x:v>1633.5977393260002</x:v>
      </x:c>
      <x:c r="AC362" s="21">
        <x:f t="shared" si="360"/>
        <x:v>3.2671954786520003</x:v>
      </x:c>
      <x:c r="AD362" s="21"/>
      <x:c r="AE362" s="21">
        <x:f t="shared" si="358"/>
        <x:v>6.5498486000000007</x:v>
      </x:c>
      <x:c r="AF362" s="21"/>
      <x:c r="AG362" s="19" t="s">
        <x:v>78</x:v>
      </x:c>
      <x:c r="AH362" t="s">
        <x:v>78</x:v>
      </x:c>
      <x:c r="AI362" t="s">
        <x:v>78</x:v>
      </x:c>
      <x:c r="AJ362" s="19"/>
      <x:c r="AK362" s="19" t="s">
        <x:v>78</x:v>
      </x:c>
      <x:c r="AL362" t="s">
        <x:v>78</x:v>
      </x:c>
      <x:c r="AM362" s="19" t="s">
        <x:v>78</x:v>
      </x:c>
      <x:c r="AN362" s="21"/>
      <x:c r="AO362" s="21"/>
      <x:c r="AP362" s="21"/>
      <x:c r="AQ362" s="21"/>
      <x:c r="AR362" s="21"/>
      <x:c r="AS362" s="21"/>
      <x:c r="AT362" s="21"/>
      <x:c r="AU362" s="21"/>
      <x:c r="AV362" s="21"/>
      <x:c r="AW362" t="s">
        <x:v>78</x:v>
      </x:c>
      <x:c r="AX362" s="19"/>
      <x:c r="AY362" s="21"/>
      <x:c r="AZ362" s="21"/>
      <x:c r="BA362" s="21"/>
      <x:c r="BB362" s="21"/>
      <x:c r="BC362" s="21"/>
      <x:c r="BD362" s="21"/>
      <x:c r="BE362" s="21"/>
      <x:c r="BF362" s="21"/>
      <x:c r="BG362" s="21"/>
      <x:c r="BH362" t="s">
        <x:v>79</x:v>
      </x:c>
      <x:c r="BI362" s="18">
        <x:v>113</x:v>
      </x:c>
      <x:c r="BJ362" s="18">
        <x:v>32</x:v>
      </x:c>
      <x:c r="BK362" s="18">
        <x:v>43.95</x:v>
      </x:c>
      <x:c r="BL362" s="18">
        <x:v>23</x:v>
      </x:c>
      <x:c r="BM362" s="18">
        <x:v>2</x:v>
      </x:c>
      <x:c r="BN362" s="18">
        <x:v>4.2699999999999996</x:v>
      </x:c>
      <x:c r="BO362" s="22">
        <x:v>113.54554166666701</x:v>
      </x:c>
      <x:c r="BP362" s="22">
        <x:v>23.034519444444399</x:v>
      </x:c>
      <x:c r="BQ362" s="18">
        <x:v>80</x:v>
      </x:c>
      <x:c r="BR362" s="18">
        <x:v>129151.678</x:v>
      </x:c>
      <x:c r="BS362" s="18">
        <x:v>368.42899999999997</x:v>
      </x:c>
      <x:c r="BT362" s="18">
        <x:v>11.974</x:v>
      </x:c>
      <x:c r="BU362" s="18">
        <x:v>155.559</x:v>
      </x:c>
      <x:c r="BV362" s="18">
        <x:v>54.445999999999998</x:v>
      </x:c>
      <x:c r="BW362" s="18">
        <x:v>13597.486000000001</x:v>
      </x:c>
      <x:c r="BX362" s="18">
        <x:v>2.274</x:v>
      </x:c>
      <x:c r="BY362" s="18">
        <x:v>4683.1419999999998</x:v>
      </x:c>
      <x:c r="BZ362" s="18">
        <x:v>4683.1419999999998</x:v>
      </x:c>
      <x:c r="CA362" s="23">
        <x:f t="shared" si="315"/>
        <x:v>2087.7642412499999</x:v>
      </x:c>
      <x:c r="CB362" s="23">
        <x:f t="shared" si="316"/>
        <x:v>1467.1660864</x:v>
      </x:c>
      <x:c r="CC362" s="23">
        <x:f t="shared" si="317"/>
        <x:v>327.49243000000001</x:v>
      </x:c>
      <x:c r="CD362" s="23">
        <x:f t="shared" si="318"/>
        <x:v>6767.762062922</x:v>
      </x:c>
      <x:c r="CE362" s="23">
        <x:f t="shared" si="319"/>
        <x:v>1633.5977393260002</x:v>
      </x:c>
      <x:c r="CF362" s="23">
        <x:f t="shared" si="320"/>
        <x:v>3.2671954786520003</x:v>
      </x:c>
      <x:c r="CG362" s="23">
        <x:f t="shared" si="321"/>
        <x:v>0</x:v>
      </x:c>
      <x:c r="CH362" s="23">
        <x:f t="shared" si="322"/>
        <x:v>6.5498486000000007</x:v>
      </x:c>
      <x:c r="CI362" s="23">
        <x:f t="shared" si="323"/>
        <x:v>0</x:v>
      </x:c>
      <x:c r="CJ362" s="24" t="s">
        <x:v>770</x:v>
      </x:c>
      <x:c r="CK362" s="25">
        <x:v>98.96</x:v>
      </x:c>
      <x:c r="CL362" s="26" t="s">
        <x:v>127</x:v>
      </x:c>
      <x:c r="CM362" s="26">
        <x:v>86.35</x:v>
      </x:c>
      <x:c r="CN362" s="27" t="s">
        <x:v>233</x:v>
      </x:c>
      <x:c r="CO362" s="27">
        <x:v>99.4</x:v>
      </x:c>
      <x:c r="CP362" s="27">
        <x:v>98.3</x:v>
      </x:c>
      <x:c r="CQ362" s="26">
        <x:f t="shared" si="324"/>
        <x:v>21.71274810900016</x:v>
      </x:c>
      <x:c r="CR362" s="26">
        <x:f t="shared" si="325"/>
        <x:v>200.26817079360009</x:v>
      </x:c>
      <x:c r="CS362" s="26">
        <x:f t="shared" si="327"/>
        <x:v>327.49243000000001</x:v>
      </x:c>
      <x:c r="CT362" s="26">
        <x:f t="shared" si="350"/>
        <x:v>40.606572377531286</x:v>
      </x:c>
      <x:c r="CU362" s="26">
        <x:f t="shared" si="351"/>
        <x:v>27.771161568542027</x:v>
      </x:c>
      <x:c r="CV362" s="26">
        <x:f t="shared" si="352"/>
        <x:v>5.5542323137084057E-2</x:v>
      </x:c>
      <x:c r="CW362" s="26">
        <x:f t="shared" si="353"/>
        <x:v>0</x:v>
      </x:c>
      <x:c r="CX362" s="26">
        <x:f t="shared" si="328"/>
        <x:v>6.5498486000000007</x:v>
      </x:c>
      <x:c r="CY362" s="26">
        <x:f t="shared" si="329"/>
        <x:v>0</x:v>
      </x:c>
    </x:row>
    <x:row r="363">
      <x:c r="A363" s="18">
        <x:v>2022</x:v>
      </x:c>
      <x:c r="B363" t="s">
        <x:v>766</x:v>
      </x:c>
      <x:c r="C363" t="s">
        <x:v>767</x:v>
      </x:c>
      <x:c r="D363" t="s">
        <x:v>768</x:v>
      </x:c>
      <x:c r="E363" s="18">
        <x:v>441976</x:v>
      </x:c>
      <x:c r="F363" t="s">
        <x:v>763</x:v>
      </x:c>
      <x:c r="G363" s="8" t="s">
        <x:v>697</x:v>
      </x:c>
      <x:c r="H363" s="18">
        <x:v>2221</x:v>
      </x:c>
      <x:c r="I363" t="s">
        <x:v>158</x:v>
      </x:c>
      <x:c r="J363" t="s">
        <x:v>769</x:v>
      </x:c>
      <x:c r="K363" t="s">
        <x:v>109</x:v>
      </x:c>
      <x:c r="L363" s="20">
        <x:v>5</x:v>
      </x:c>
      <x:c r="M363" t="s">
        <x:v>125</x:v>
      </x:c>
      <x:c r="N363" s="18">
        <x:v>320</x:v>
      </x:c>
      <x:c r="O363" t="s">
        <x:v>88</x:v>
      </x:c>
      <x:c r="P363" s="18">
        <x:v>4</x:v>
      </x:c>
      <x:c r="Q363" s="19" t="s">
        <x:v>111</x:v>
      </x:c>
      <x:c r="R363" s="18">
        <x:v>163746.215</x:v>
      </x:c>
      <x:c r="S363" t="s">
        <x:v>112</x:v>
      </x:c>
      <x:c r="T363" s="19">
        <x:f t="shared" si="354"/>
        <x:v>163746.215</x:v>
      </x:c>
      <x:c r="U363" s="20">
        <x:v>0.75</x:v>
      </x:c>
      <x:c r="V363" t="s">
        <x:v>113</x:v>
      </x:c>
      <x:c r="W363" s="20">
        <x:v>25.45</x:v>
      </x:c>
      <x:c r="X363" s="21">
        <x:f t="shared" si="355"/>
        <x:v>2087.7642412499999</x:v>
      </x:c>
      <x:c r="Y363" s="21">
        <x:f t="shared" si="361"/>
        <x:v>1467.1660864</x:v>
      </x:c>
      <x:c r="Z363" s="21">
        <x:f t="shared" si="359"/>
        <x:v>327.49243000000001</x:v>
      </x:c>
      <x:c r="AA363" s="21">
        <x:f t="shared" si="362"/>
        <x:v>6767.762062922</x:v>
      </x:c>
      <x:c r="AB363" s="21">
        <x:f t="shared" si="363"/>
        <x:v>1633.5977393260002</x:v>
      </x:c>
      <x:c r="AC363" s="21">
        <x:f t="shared" si="360"/>
        <x:v>3.2671954786520003</x:v>
      </x:c>
      <x:c r="AD363" s="21"/>
      <x:c r="AE363" s="21">
        <x:f t="shared" si="358"/>
        <x:v>6.5498486000000007</x:v>
      </x:c>
      <x:c r="AF363" s="21"/>
      <x:c r="AG363" s="19" t="s">
        <x:v>78</x:v>
      </x:c>
      <x:c r="AH363" t="s">
        <x:v>78</x:v>
      </x:c>
      <x:c r="AI363" t="s">
        <x:v>78</x:v>
      </x:c>
      <x:c r="AJ363" s="19"/>
      <x:c r="AK363" s="19" t="s">
        <x:v>78</x:v>
      </x:c>
      <x:c r="AL363" t="s">
        <x:v>78</x:v>
      </x:c>
      <x:c r="AM363" s="19" t="s">
        <x:v>78</x:v>
      </x:c>
      <x:c r="AN363" s="21"/>
      <x:c r="AO363" s="21"/>
      <x:c r="AP363" s="21"/>
      <x:c r="AQ363" s="21"/>
      <x:c r="AR363" s="21"/>
      <x:c r="AS363" s="21"/>
      <x:c r="AT363" s="21"/>
      <x:c r="AU363" s="21"/>
      <x:c r="AV363" s="21"/>
      <x:c r="AW363" t="s">
        <x:v>78</x:v>
      </x:c>
      <x:c r="AX363" s="19"/>
      <x:c r="AY363" s="21"/>
      <x:c r="AZ363" s="21"/>
      <x:c r="BA363" s="21"/>
      <x:c r="BB363" s="21"/>
      <x:c r="BC363" s="21"/>
      <x:c r="BD363" s="21"/>
      <x:c r="BE363" s="21"/>
      <x:c r="BF363" s="21"/>
      <x:c r="BG363" s="21"/>
      <x:c r="BH363" t="s">
        <x:v>79</x:v>
      </x:c>
      <x:c r="BI363" s="18">
        <x:v>113</x:v>
      </x:c>
      <x:c r="BJ363" s="18">
        <x:v>32</x:v>
      </x:c>
      <x:c r="BK363" s="18">
        <x:v>33.54</x:v>
      </x:c>
      <x:c r="BL363" s="18">
        <x:v>23</x:v>
      </x:c>
      <x:c r="BM363" s="18">
        <x:v>2</x:v>
      </x:c>
      <x:c r="BN363" s="18">
        <x:v>4.99</x:v>
      </x:c>
      <x:c r="BO363" s="22">
        <x:v>113.54264999999999</x:v>
      </x:c>
      <x:c r="BP363" s="22">
        <x:v>23.034719444444399</x:v>
      </x:c>
      <x:c r="BQ363" s="18">
        <x:v>80</x:v>
      </x:c>
      <x:c r="BR363" s="18">
        <x:v>129151.678</x:v>
      </x:c>
      <x:c r="BS363" s="18">
        <x:v>368.42899999999997</x:v>
      </x:c>
      <x:c r="BT363" s="18">
        <x:v>11.974</x:v>
      </x:c>
      <x:c r="BU363" s="18">
        <x:v>155.559</x:v>
      </x:c>
      <x:c r="BV363" s="18">
        <x:v>54.445999999999998</x:v>
      </x:c>
      <x:c r="BW363" s="18">
        <x:v>13597.486000000001</x:v>
      </x:c>
      <x:c r="BX363" s="18">
        <x:v>2.274</x:v>
      </x:c>
      <x:c r="BY363" s="18">
        <x:v>4683.1419999999998</x:v>
      </x:c>
      <x:c r="BZ363" s="18">
        <x:v>4683.1419999999998</x:v>
      </x:c>
      <x:c r="CA363" s="23">
        <x:f t="shared" si="315"/>
        <x:v>2087.7642412499999</x:v>
      </x:c>
      <x:c r="CB363" s="23">
        <x:f t="shared" si="316"/>
        <x:v>1467.1660864</x:v>
      </x:c>
      <x:c r="CC363" s="23">
        <x:f t="shared" si="317"/>
        <x:v>327.49243000000001</x:v>
      </x:c>
      <x:c r="CD363" s="23">
        <x:f t="shared" si="318"/>
        <x:v>6767.762062922</x:v>
      </x:c>
      <x:c r="CE363" s="23">
        <x:f t="shared" si="319"/>
        <x:v>1633.5977393260002</x:v>
      </x:c>
      <x:c r="CF363" s="23">
        <x:f t="shared" si="320"/>
        <x:v>3.2671954786520003</x:v>
      </x:c>
      <x:c r="CG363" s="23">
        <x:f t="shared" si="321"/>
        <x:v>0</x:v>
      </x:c>
      <x:c r="CH363" s="23">
        <x:f t="shared" si="322"/>
        <x:v>6.5498486000000007</x:v>
      </x:c>
      <x:c r="CI363" s="23">
        <x:f t="shared" si="323"/>
        <x:v>0</x:v>
      </x:c>
      <x:c r="CJ363" s="24" t="s">
        <x:v>770</x:v>
      </x:c>
      <x:c r="CK363" s="25">
        <x:v>98.96</x:v>
      </x:c>
      <x:c r="CL363" s="26" t="s">
        <x:v>127</x:v>
      </x:c>
      <x:c r="CM363" s="26">
        <x:v>86.35</x:v>
      </x:c>
      <x:c r="CN363" s="27" t="s">
        <x:v>233</x:v>
      </x:c>
      <x:c r="CO363" s="27">
        <x:v>99.4</x:v>
      </x:c>
      <x:c r="CP363" s="27">
        <x:v>98.3</x:v>
      </x:c>
      <x:c r="CQ363" s="26">
        <x:f t="shared" si="324"/>
        <x:v>21.71274810900016</x:v>
      </x:c>
      <x:c r="CR363" s="26">
        <x:f t="shared" si="325"/>
        <x:v>200.26817079360009</x:v>
      </x:c>
      <x:c r="CS363" s="26">
        <x:f t="shared" si="327"/>
        <x:v>327.49243000000001</x:v>
      </x:c>
      <x:c r="CT363" s="26">
        <x:f t="shared" si="350"/>
        <x:v>40.606572377531286</x:v>
      </x:c>
      <x:c r="CU363" s="26">
        <x:f t="shared" si="351"/>
        <x:v>27.771161568542027</x:v>
      </x:c>
      <x:c r="CV363" s="26">
        <x:f t="shared" si="352"/>
        <x:v>5.5542323137084057E-2</x:v>
      </x:c>
      <x:c r="CW363" s="26">
        <x:f t="shared" si="353"/>
        <x:v>0</x:v>
      </x:c>
      <x:c r="CX363" s="26">
        <x:f t="shared" si="328"/>
        <x:v>6.5498486000000007</x:v>
      </x:c>
      <x:c r="CY363" s="26">
        <x:f t="shared" si="329"/>
        <x:v>0</x:v>
      </x:c>
    </x:row>
    <x:row r="364">
      <x:c r="A364" s="18">
        <x:v>2022</x:v>
      </x:c>
      <x:c r="B364" t="s">
        <x:v>766</x:v>
      </x:c>
      <x:c r="C364" t="s">
        <x:v>767</x:v>
      </x:c>
      <x:c r="D364" t="s">
        <x:v>768</x:v>
      </x:c>
      <x:c r="E364" s="18">
        <x:v>441976</x:v>
      </x:c>
      <x:c r="F364" t="s">
        <x:v>763</x:v>
      </x:c>
      <x:c r="G364" s="8" t="s">
        <x:v>697</x:v>
      </x:c>
      <x:c r="H364" s="18">
        <x:v>2221</x:v>
      </x:c>
      <x:c r="I364" t="s">
        <x:v>158</x:v>
      </x:c>
      <x:c r="J364" t="s">
        <x:v>769</x:v>
      </x:c>
      <x:c r="K364" t="s">
        <x:v>109</x:v>
      </x:c>
      <x:c r="L364" s="20">
        <x:v>6</x:v>
      </x:c>
      <x:c r="M364" t="s">
        <x:v>125</x:v>
      </x:c>
      <x:c r="N364" s="18">
        <x:v>410</x:v>
      </x:c>
      <x:c r="O364" t="s">
        <x:v>88</x:v>
      </x:c>
      <x:c r="P364" s="18">
        <x:v>4</x:v>
      </x:c>
      <x:c r="Q364" s="19" t="s">
        <x:v>111</x:v>
      </x:c>
      <x:c r="R364" s="18">
        <x:v>277776.05</x:v>
      </x:c>
      <x:c r="S364" t="s">
        <x:v>112</x:v>
      </x:c>
      <x:c r="T364" s="19">
        <x:f t="shared" si="354"/>
        <x:v>277776.05</x:v>
      </x:c>
      <x:c r="U364" s="20">
        <x:v>0.75</x:v>
      </x:c>
      <x:c r="V364" t="s">
        <x:v>113</x:v>
      </x:c>
      <x:c r="W364" s="20">
        <x:v>25.45</x:v>
      </x:c>
      <x:c r="X364" s="21">
        <x:f t="shared" si="355"/>
        <x:v>3541.6446374999996</x:v>
      </x:c>
      <x:c r="Y364" s="21">
        <x:f t="shared" si="361"/>
        <x:v>2488.8734080000004</x:v>
      </x:c>
      <x:c r="Z364" s="21">
        <x:f t="shared" si="359"/>
        <x:v>555.5521</x:v>
      </x:c>
      <x:c r="AA364" s="21">
        <x:f t="shared" si="362"/>
        <x:v>11480.706367339999</x:v>
      </x:c>
      <x:c r="AB364" s="21">
        <x:f t="shared" si="363"/>
        <x:v>2771.2049852200003</x:v>
      </x:c>
      <x:c r="AC364" s="21">
        <x:f t="shared" si="360"/>
        <x:v>5.5424099704400005</x:v>
      </x:c>
      <x:c r="AD364" s="21"/>
      <x:c r="AE364" s="21">
        <x:f t="shared" si="358"/>
        <x:v>11.111041999999999</x:v>
      </x:c>
      <x:c r="AF364" s="21"/>
      <x:c r="AG364" s="19" t="s">
        <x:v>78</x:v>
      </x:c>
      <x:c r="AH364" t="s">
        <x:v>78</x:v>
      </x:c>
      <x:c r="AI364" t="s">
        <x:v>78</x:v>
      </x:c>
      <x:c r="AJ364" s="19"/>
      <x:c r="AK364" s="19" t="s">
        <x:v>78</x:v>
      </x:c>
      <x:c r="AL364" t="s">
        <x:v>78</x:v>
      </x:c>
      <x:c r="AM364" s="19" t="s">
        <x:v>78</x:v>
      </x:c>
      <x:c r="AN364" s="21"/>
      <x:c r="AO364" s="21"/>
      <x:c r="AP364" s="21"/>
      <x:c r="AQ364" s="21"/>
      <x:c r="AR364" s="21"/>
      <x:c r="AS364" s="21"/>
      <x:c r="AT364" s="21"/>
      <x:c r="AU364" s="21"/>
      <x:c r="AV364" s="21"/>
      <x:c r="AW364" t="s">
        <x:v>78</x:v>
      </x:c>
      <x:c r="AX364" s="19"/>
      <x:c r="AY364" s="21"/>
      <x:c r="AZ364" s="21"/>
      <x:c r="BA364" s="21"/>
      <x:c r="BB364" s="21"/>
      <x:c r="BC364" s="21"/>
      <x:c r="BD364" s="21"/>
      <x:c r="BE364" s="21"/>
      <x:c r="BF364" s="21"/>
      <x:c r="BG364" s="21"/>
      <x:c r="BH364" t="s">
        <x:v>82</x:v>
      </x:c>
      <x:c r="BI364" s="18">
        <x:v>113</x:v>
      </x:c>
      <x:c r="BJ364" s="18">
        <x:v>32</x:v>
      </x:c>
      <x:c r="BK364" s="18">
        <x:v>33.94</x:v>
      </x:c>
      <x:c r="BL364" s="18">
        <x:v>23</x:v>
      </x:c>
      <x:c r="BM364" s="18">
        <x:v>2</x:v>
      </x:c>
      <x:c r="BN364" s="18">
        <x:v>4.99</x:v>
      </x:c>
      <x:c r="BO364" s="22">
        <x:v>113.54276111111101</x:v>
      </x:c>
      <x:c r="BP364" s="22">
        <x:v>23.034719444444399</x:v>
      </x:c>
      <x:c r="BQ364" s="18">
        <x:v>150</x:v>
      </x:c>
      <x:c r="BR364" s="18">
        <x:v>224817.83100000001</x:v>
      </x:c>
      <x:c r="BS364" s="18">
        <x:v>624.99599999999998</x:v>
      </x:c>
      <x:c r="BT364" s="18">
        <x:v>20.312000000000001</x:v>
      </x:c>
      <x:c r="BU364" s="18">
        <x:v>263.887</x:v>
      </x:c>
      <x:c r="BV364" s="18">
        <x:v>92.361000000000004</x:v>
      </x:c>
      <x:c r="BW364" s="18">
        <x:v>23066.523000000001</x:v>
      </x:c>
      <x:c r="BX364" s="18">
        <x:v>3.8570000000000002</x:v>
      </x:c>
      <x:c r="BY364" s="18">
        <x:v>7944.3950000000004</x:v>
      </x:c>
      <x:c r="BZ364" s="18">
        <x:v>7944.3950000000004</x:v>
      </x:c>
      <x:c r="CA364" s="23">
        <x:f t="shared" si="315"/>
        <x:v>3541.6446374999996</x:v>
      </x:c>
      <x:c r="CB364" s="23">
        <x:f t="shared" si="316"/>
        <x:v>2488.8734080000004</x:v>
      </x:c>
      <x:c r="CC364" s="23">
        <x:f t="shared" si="317"/>
        <x:v>555.5521</x:v>
      </x:c>
      <x:c r="CD364" s="23">
        <x:f t="shared" si="318"/>
        <x:v>11480.706367339999</x:v>
      </x:c>
      <x:c r="CE364" s="23">
        <x:f t="shared" si="319"/>
        <x:v>2771.2049852200003</x:v>
      </x:c>
      <x:c r="CF364" s="23">
        <x:f t="shared" si="320"/>
        <x:v>5.5424099704400005</x:v>
      </x:c>
      <x:c r="CG364" s="23">
        <x:f t="shared" si="321"/>
        <x:v>0</x:v>
      </x:c>
      <x:c r="CH364" s="23">
        <x:f t="shared" si="322"/>
        <x:v>11.111041999999999</x:v>
      </x:c>
      <x:c r="CI364" s="23">
        <x:f t="shared" si="323"/>
        <x:v>0</x:v>
      </x:c>
      <x:c r="CJ364" s="24" t="s">
        <x:v>770</x:v>
      </x:c>
      <x:c r="CK364" s="25">
        <x:v>98.96</x:v>
      </x:c>
      <x:c r="CL364" s="26" t="s">
        <x:v>127</x:v>
      </x:c>
      <x:c r="CM364" s="26">
        <x:v>86.35</x:v>
      </x:c>
      <x:c r="CN364" s="27" t="s">
        <x:v>233</x:v>
      </x:c>
      <x:c r="CO364" s="27">
        <x:v>99.4</x:v>
      </x:c>
      <x:c r="CP364" s="27">
        <x:v>98.3</x:v>
      </x:c>
      <x:c r="CQ364" s="26">
        <x:f t="shared" si="324"/>
        <x:v>36.833104230000266</x:v>
      </x:c>
      <x:c r="CR364" s="26">
        <x:f t="shared" si="325"/>
        <x:v>339.73122019200019</x:v>
      </x:c>
      <x:c r="CS364" s="26">
        <x:f t="shared" si="327"/>
        <x:v>555.5521</x:v>
      </x:c>
      <x:c r="CT364" s="26">
        <x:f t="shared" si="350"/>
        <x:v>68.88423820403878</x:v>
      </x:c>
      <x:c r="CU364" s="26">
        <x:f t="shared" si="351"/>
        <x:v>47.110484748740049</x:v>
      </x:c>
      <x:c r="CV364" s="26">
        <x:f t="shared" si="352"/>
        <x:v>9.4220969497480087E-2</x:v>
      </x:c>
      <x:c r="CW364" s="26">
        <x:f t="shared" si="353"/>
        <x:v>0</x:v>
      </x:c>
      <x:c r="CX364" s="26">
        <x:f t="shared" si="328"/>
        <x:v>11.111041999999999</x:v>
      </x:c>
      <x:c r="CY364" s="26">
        <x:f t="shared" si="329"/>
        <x:v>0</x:v>
      </x:c>
    </x:row>
    <x:row r="365">
      <x:c r="A365" s="18">
        <x:v>2022</x:v>
      </x:c>
      <x:c r="B365" t="s">
        <x:v>766</x:v>
      </x:c>
      <x:c r="C365" t="s">
        <x:v>767</x:v>
      </x:c>
      <x:c r="D365" t="s">
        <x:v>768</x:v>
      </x:c>
      <x:c r="E365" s="18">
        <x:v>441976</x:v>
      </x:c>
      <x:c r="F365" t="s">
        <x:v>763</x:v>
      </x:c>
      <x:c r="G365" s="8" t="s">
        <x:v>697</x:v>
      </x:c>
      <x:c r="H365" s="18">
        <x:v>2221</x:v>
      </x:c>
      <x:c r="I365" t="s">
        <x:v>158</x:v>
      </x:c>
      <x:c r="J365" t="s">
        <x:v>769</x:v>
      </x:c>
      <x:c r="K365" t="s">
        <x:v>109</x:v>
      </x:c>
      <x:c r="L365" s="20">
        <x:v>6</x:v>
      </x:c>
      <x:c r="M365" t="s">
        <x:v>125</x:v>
      </x:c>
      <x:c r="N365" s="18">
        <x:v>410</x:v>
      </x:c>
      <x:c r="O365" t="s">
        <x:v>88</x:v>
      </x:c>
      <x:c r="P365" s="18">
        <x:v>4</x:v>
      </x:c>
      <x:c r="Q365" s="19" t="s">
        <x:v>111</x:v>
      </x:c>
      <x:c r="R365" s="18">
        <x:v>305500.46999999997</x:v>
      </x:c>
      <x:c r="S365" t="s">
        <x:v>112</x:v>
      </x:c>
      <x:c r="T365" s="19">
        <x:f t="shared" si="354"/>
        <x:v>305500.46999999997</x:v>
      </x:c>
      <x:c r="U365" s="20">
        <x:v>0.75</x:v>
      </x:c>
      <x:c r="V365" t="s">
        <x:v>113</x:v>
      </x:c>
      <x:c r="W365" s="20">
        <x:v>25.45</x:v>
      </x:c>
      <x:c r="X365" s="21">
        <x:f t="shared" si="355"/>
        <x:v>3895.1309924999996</x:v>
      </x:c>
      <x:c r="Y365" s="21">
        <x:f t="shared" si="361"/>
        <x:v>2737.2842111999998</x:v>
      </x:c>
      <x:c r="Z365" s="21">
        <x:f t="shared" si="359"/>
        <x:v>611.0009399999999</x:v>
      </x:c>
      <x:c r="AA365" s="21">
        <x:f t="shared" si="362"/>
        <x:v>12626.578825475999</x:v>
      </x:c>
      <x:c r="AB365" s="21">
        <x:f t="shared" si="363"/>
        <x:v>3047.7948889080003</x:v>
      </x:c>
      <x:c r="AC365" s="21">
        <x:f t="shared" si="360"/>
        <x:v>6.0955897778160004</x:v>
      </x:c>
      <x:c r="AD365" s="21"/>
      <x:c r="AE365" s="21">
        <x:f t="shared" si="358"/>
        <x:v>12.2200188</x:v>
      </x:c>
      <x:c r="AF365" s="21"/>
      <x:c r="AG365" s="19" t="s">
        <x:v>78</x:v>
      </x:c>
      <x:c r="AH365" t="s">
        <x:v>78</x:v>
      </x:c>
      <x:c r="AI365" t="s">
        <x:v>78</x:v>
      </x:c>
      <x:c r="AJ365" s="19"/>
      <x:c r="AK365" s="19" t="s">
        <x:v>78</x:v>
      </x:c>
      <x:c r="AL365" t="s">
        <x:v>78</x:v>
      </x:c>
      <x:c r="AM365" s="19" t="s">
        <x:v>78</x:v>
      </x:c>
      <x:c r="AN365" s="21"/>
      <x:c r="AO365" s="21"/>
      <x:c r="AP365" s="21"/>
      <x:c r="AQ365" s="21"/>
      <x:c r="AR365" s="21"/>
      <x:c r="AS365" s="21"/>
      <x:c r="AT365" s="21"/>
      <x:c r="AU365" s="21"/>
      <x:c r="AV365" s="21"/>
      <x:c r="AW365" t="s">
        <x:v>78</x:v>
      </x:c>
      <x:c r="AX365" s="19"/>
      <x:c r="AY365" s="21"/>
      <x:c r="AZ365" s="21"/>
      <x:c r="BA365" s="21"/>
      <x:c r="BB365" s="21"/>
      <x:c r="BC365" s="21"/>
      <x:c r="BD365" s="21"/>
      <x:c r="BE365" s="21"/>
      <x:c r="BF365" s="21"/>
      <x:c r="BG365" s="21"/>
      <x:c r="BH365" t="s">
        <x:v>83</x:v>
      </x:c>
      <x:c r="BI365" s="18">
        <x:v>113</x:v>
      </x:c>
      <x:c r="BJ365" s="18">
        <x:v>32</x:v>
      </x:c>
      <x:c r="BK365" s="18">
        <x:v>36.020000000000003</x:v>
      </x:c>
      <x:c r="BL365" s="18">
        <x:v>23</x:v>
      </x:c>
      <x:c r="BM365" s="18">
        <x:v>2</x:v>
      </x:c>
      <x:c r="BN365" s="18">
        <x:v>4.3099999999999996</x:v>
      </x:c>
      <x:c r="BO365" s="22">
        <x:v>113.543338888889</x:v>
      </x:c>
      <x:c r="BP365" s="22">
        <x:v>23.034530555555602</x:v>
      </x:c>
      <x:c r="BQ365" s="18">
        <x:v>150</x:v>
      </x:c>
      <x:c r="BR365" s="18">
        <x:v>311760.288</x:v>
      </x:c>
      <x:c r="BS365" s="18">
        <x:v>687.37599999999998</x:v>
      </x:c>
      <x:c r="BT365" s="18">
        <x:v>22.34</x:v>
      </x:c>
      <x:c r="BU365" s="18">
        <x:v>290.22500000000002</x:v>
      </x:c>
      <x:c r="BV365" s="18">
        <x:v>101.57899999999999</x:v>
      </x:c>
      <x:c r="BW365" s="18">
        <x:v>25368.758999999998</x:v>
      </x:c>
      <x:c r="BX365" s="18">
        <x:v>4.242</x:v>
      </x:c>
      <x:c r="BY365" s="18">
        <x:v>8737.3130000000001</x:v>
      </x:c>
      <x:c r="BZ365" s="18">
        <x:v>8737.3130000000001</x:v>
      </x:c>
      <x:c r="CA365" s="23">
        <x:f t="shared" si="315"/>
        <x:v>3895.1309924999996</x:v>
      </x:c>
      <x:c r="CB365" s="23">
        <x:f t="shared" si="316"/>
        <x:v>2737.2842111999998</x:v>
      </x:c>
      <x:c r="CC365" s="23">
        <x:f t="shared" si="317"/>
        <x:v>611.0009399999999</x:v>
      </x:c>
      <x:c r="CD365" s="23">
        <x:f t="shared" si="318"/>
        <x:v>12626.578825475999</x:v>
      </x:c>
      <x:c r="CE365" s="23">
        <x:f t="shared" si="319"/>
        <x:v>3047.7948889080003</x:v>
      </x:c>
      <x:c r="CF365" s="23">
        <x:f t="shared" si="320"/>
        <x:v>6.0955897778160004</x:v>
      </x:c>
      <x:c r="CG365" s="23">
        <x:f t="shared" si="321"/>
        <x:v>0</x:v>
      </x:c>
      <x:c r="CH365" s="23">
        <x:f t="shared" si="322"/>
        <x:v>12.2200188</x:v>
      </x:c>
      <x:c r="CI365" s="23">
        <x:f t="shared" si="323"/>
        <x:v>0</x:v>
      </x:c>
      <x:c r="CJ365" s="24" t="s">
        <x:v>770</x:v>
      </x:c>
      <x:c r="CK365" s="25">
        <x:v>99.31</x:v>
      </x:c>
      <x:c r="CL365" s="26" t="s">
        <x:v>127</x:v>
      </x:c>
      <x:c r="CM365" s="26">
        <x:v>86.35</x:v>
      </x:c>
      <x:c r="CN365" s="27" t="s">
        <x:v>233</x:v>
      </x:c>
      <x:c r="CO365" s="27">
        <x:v>99.4</x:v>
      </x:c>
      <x:c r="CP365" s="27">
        <x:v>98.3</x:v>
      </x:c>
      <x:c r="CQ365" s="26">
        <x:f t="shared" si="324"/>
        <x:v>26.876403848250064</x:v>
      </x:c>
      <x:c r="CR365" s="26">
        <x:f t="shared" si="325"/>
        <x:v>373.63929482880013</x:v>
      </x:c>
      <x:c r="CS365" s="26">
        <x:f t="shared" si="327"/>
        <x:v>611.0009399999999</x:v>
      </x:c>
      <x:c r="CT365" s="26">
        <x:f t="shared" si="350"/>
        <x:v>75.759472952854665</x:v>
      </x:c>
      <x:c r="CU365" s="26">
        <x:f t="shared" si="351"/>
        <x:v>51.812513111436054</x:v>
      </x:c>
      <x:c r="CV365" s="26">
        <x:f t="shared" si="352"/>
        <x:v>0.1036250262228721</x:v>
      </x:c>
      <x:c r="CW365" s="26">
        <x:f t="shared" si="353"/>
        <x:v>0</x:v>
      </x:c>
      <x:c r="CX365" s="26">
        <x:f t="shared" si="328"/>
        <x:v>12.2200188</x:v>
      </x:c>
      <x:c r="CY365" s="26">
        <x:f t="shared" si="329"/>
        <x:v>0</x:v>
      </x:c>
    </x:row>
    <x:row r="366">
      <x:c r="A366" s="18">
        <x:v>2022</x:v>
      </x:c>
      <x:c r="B366" t="s">
        <x:v>766</x:v>
      </x:c>
      <x:c r="C366" t="s">
        <x:v>767</x:v>
      </x:c>
      <x:c r="D366" t="s">
        <x:v>768</x:v>
      </x:c>
      <x:c r="E366" s="18">
        <x:v>441976</x:v>
      </x:c>
      <x:c r="F366" t="s">
        <x:v>763</x:v>
      </x:c>
      <x:c r="G366" s="8" t="s">
        <x:v>697</x:v>
      </x:c>
      <x:c r="H366" s="18">
        <x:v>2221</x:v>
      </x:c>
      <x:c r="I366" t="s">
        <x:v>158</x:v>
      </x:c>
      <x:c r="J366" t="s">
        <x:v>769</x:v>
      </x:c>
      <x:c r="K366" t="s">
        <x:v>109</x:v>
      </x:c>
      <x:c r="L366" s="20">
        <x:v>6</x:v>
      </x:c>
      <x:c r="M366" t="s">
        <x:v>125</x:v>
      </x:c>
      <x:c r="N366" s="18">
        <x:v>410</x:v>
      </x:c>
      <x:c r="O366" t="s">
        <x:v>88</x:v>
      </x:c>
      <x:c r="P366" s="18">
        <x:v>4</x:v>
      </x:c>
      <x:c r="Q366" s="19" t="s">
        <x:v>111</x:v>
      </x:c>
      <x:c r="R366" s="18">
        <x:v>320672.98</x:v>
      </x:c>
      <x:c r="S366" t="s">
        <x:v>112</x:v>
      </x:c>
      <x:c r="T366" s="19">
        <x:f t="shared" si="354"/>
        <x:v>320672.98</x:v>
      </x:c>
      <x:c r="U366" s="20">
        <x:v>0.75</x:v>
      </x:c>
      <x:c r="V366" t="s">
        <x:v>113</x:v>
      </x:c>
      <x:c r="W366" s="20">
        <x:v>25.45</x:v>
      </x:c>
      <x:c r="X366" s="21">
        <x:f t="shared" si="355"/>
        <x:v>4088.5804949999997</x:v>
      </x:c>
      <x:c r="Y366" s="21">
        <x:f t="shared" si="361"/>
        <x:v>2873.2299008</x:v>
      </x:c>
      <x:c r="Z366" s="21">
        <x:f t="shared" si="359"/>
        <x:v>641.34595999999999</x:v>
      </x:c>
      <x:c r="AA366" s="21">
        <x:f t="shared" si="362"/>
        <x:v>13253.670801783999</x:v>
      </x:c>
      <x:c r="AB366" s="21">
        <x:f t="shared" si="363"/>
        <x:v>3199.1619176720005</x:v>
      </x:c>
      <x:c r="AC366" s="21">
        <x:f t="shared" si="360"/>
        <x:v>6.3983238353440015</x:v>
      </x:c>
      <x:c r="AD366" s="21"/>
      <x:c r="AE366" s="21">
        <x:f t="shared" si="358"/>
        <x:v>12.826919200000001</x:v>
      </x:c>
      <x:c r="AF366" s="21"/>
      <x:c r="AG366" s="19" t="s">
        <x:v>78</x:v>
      </x:c>
      <x:c r="AH366" t="s">
        <x:v>78</x:v>
      </x:c>
      <x:c r="AI366" t="s">
        <x:v>78</x:v>
      </x:c>
      <x:c r="AJ366" s="19"/>
      <x:c r="AK366" s="19" t="s">
        <x:v>78</x:v>
      </x:c>
      <x:c r="AL366" t="s">
        <x:v>78</x:v>
      </x:c>
      <x:c r="AM366" s="19" t="s">
        <x:v>78</x:v>
      </x:c>
      <x:c r="AN366" s="21"/>
      <x:c r="AO366" s="21"/>
      <x:c r="AP366" s="21"/>
      <x:c r="AQ366" s="21"/>
      <x:c r="AR366" s="21"/>
      <x:c r="AS366" s="21"/>
      <x:c r="AT366" s="21"/>
      <x:c r="AU366" s="21"/>
      <x:c r="AV366" s="21"/>
      <x:c r="AW366" t="s">
        <x:v>78</x:v>
      </x:c>
      <x:c r="AX366" s="19"/>
      <x:c r="AY366" s="21"/>
      <x:c r="AZ366" s="21"/>
      <x:c r="BA366" s="21"/>
      <x:c r="BB366" s="21"/>
      <x:c r="BC366" s="21"/>
      <x:c r="BD366" s="21"/>
      <x:c r="BE366" s="21"/>
      <x:c r="BF366" s="21"/>
      <x:c r="BG366" s="21"/>
      <x:c r="BH366" t="s">
        <x:v>89</x:v>
      </x:c>
      <x:c r="BI366" s="18">
        <x:v>113</x:v>
      </x:c>
      <x:c r="BJ366" s="18">
        <x:v>32</x:v>
      </x:c>
      <x:c r="BK366" s="18">
        <x:v>35.880000000000003</x:v>
      </x:c>
      <x:c r="BL366" s="18">
        <x:v>23</x:v>
      </x:c>
      <x:c r="BM366" s="18">
        <x:v>2</x:v>
      </x:c>
      <x:c r="BN366" s="18">
        <x:v>3.66</x:v>
      </x:c>
      <x:c r="BO366" s="22">
        <x:v>113.5433</x:v>
      </x:c>
      <x:c r="BP366" s="22">
        <x:v>23.03435</x:v>
      </x:c>
      <x:c r="BQ366" s="18">
        <x:v>150</x:v>
      </x:c>
      <x:c r="BR366" s="18">
        <x:v>261499.18700000001</x:v>
      </x:c>
      <x:c r="BS366" s="18">
        <x:v>721.51400000000001</x:v>
      </x:c>
      <x:c r="BT366" s="18">
        <x:v>23.449000000000002</x:v>
      </x:c>
      <x:c r="BU366" s="18">
        <x:v>304.63900000000001</x:v>
      </x:c>
      <x:c r="BV366" s="18">
        <x:v>106.624</x:v>
      </x:c>
      <x:c r="BW366" s="18">
        <x:v>26628.684000000001</x:v>
      </x:c>
      <x:c r="BX366" s="18">
        <x:v>4.452</x:v>
      </x:c>
      <x:c r="BY366" s="18">
        <x:v>9171.2469999999994</x:v>
      </x:c>
      <x:c r="BZ366" s="18">
        <x:v>9171.2469999999994</x:v>
      </x:c>
      <x:c r="CA366" s="23">
        <x:f t="shared" si="315"/>
        <x:v>4088.5804949999997</x:v>
      </x:c>
      <x:c r="CB366" s="23">
        <x:f t="shared" si="316"/>
        <x:v>2873.2299008</x:v>
      </x:c>
      <x:c r="CC366" s="23">
        <x:f t="shared" si="317"/>
        <x:v>641.34595999999999</x:v>
      </x:c>
      <x:c r="CD366" s="23">
        <x:f t="shared" si="318"/>
        <x:v>13253.670801783999</x:v>
      </x:c>
      <x:c r="CE366" s="23">
        <x:f t="shared" si="319"/>
        <x:v>3199.1619176720005</x:v>
      </x:c>
      <x:c r="CF366" s="23">
        <x:f t="shared" si="320"/>
        <x:v>6.3983238353440015</x:v>
      </x:c>
      <x:c r="CG366" s="23">
        <x:f t="shared" si="321"/>
        <x:v>0</x:v>
      </x:c>
      <x:c r="CH366" s="23">
        <x:f t="shared" si="322"/>
        <x:v>12.826919200000001</x:v>
      </x:c>
      <x:c r="CI366" s="23">
        <x:f t="shared" si="323"/>
        <x:v>0</x:v>
      </x:c>
      <x:c r="CJ366" s="24" t="s">
        <x:v>770</x:v>
      </x:c>
      <x:c r="CK366" s="25">
        <x:v>99.06</x:v>
      </x:c>
      <x:c r="CL366" s="26" t="s">
        <x:v>127</x:v>
      </x:c>
      <x:c r="CM366" s="26">
        <x:v>86.35</x:v>
      </x:c>
      <x:c r="CN366" s="27" t="s">
        <x:v>233</x:v>
      </x:c>
      <x:c r="CO366" s="27">
        <x:v>99.4</x:v>
      </x:c>
      <x:c r="CP366" s="27">
        <x:v>98.3</x:v>
      </x:c>
      <x:c r="CQ366" s="26">
        <x:f t="shared" si="324"/>
        <x:v>38.432656652999853</x:v>
      </x:c>
      <x:c r="CR366" s="26">
        <x:f t="shared" si="325"/>
        <x:v>392.19588145920017</x:v>
      </x:c>
      <x:c r="CS366" s="26">
        <x:f t="shared" si="327"/>
        <x:v>641.34595999999999</x:v>
      </x:c>
      <x:c r="CT366" s="26">
        <x:f t="shared" si="350"/>
        <x:v>79.52202481070259</x:v>
      </x:c>
      <x:c r="CU366" s="26">
        <x:f t="shared" si="351"/>
        <x:v>54.385752600424055</x:v>
      </x:c>
      <x:c r="CV366" s="26">
        <x:f t="shared" si="352"/>
        <x:v>0.10877150520084812</x:v>
      </x:c>
      <x:c r="CW366" s="26">
        <x:f t="shared" si="353"/>
        <x:v>0</x:v>
      </x:c>
      <x:c r="CX366" s="26">
        <x:f t="shared" si="328"/>
        <x:v>12.826919200000001</x:v>
      </x:c>
      <x:c r="CY366" s="26">
        <x:f t="shared" si="329"/>
        <x:v>0</x:v>
      </x:c>
    </x:row>
    <x:row r="367">
      <x:c r="A367" s="18">
        <x:v>2022</x:v>
      </x:c>
      <x:c r="B367" t="s">
        <x:v>772</x:v>
      </x:c>
      <x:c r="C367" t="s">
        <x:v>773</x:v>
      </x:c>
      <x:c r="D367" t="s">
        <x:v>774</x:v>
      </x:c>
      <x:c r="E367" s="18">
        <x:v>441976</x:v>
      </x:c>
      <x:c r="F367" t="s">
        <x:v>763</x:v>
      </x:c>
      <x:c r="G367" s="8" t="s">
        <x:v>697</x:v>
      </x:c>
      <x:c r="H367" s="18">
        <x:v>1713</x:v>
      </x:c>
      <x:c r="I367" t="s">
        <x:v>162</x:v>
      </x:c>
      <x:c r="J367" t="s">
        <x:v>78</x:v>
      </x:c>
      <x:c r="K367" t="s">
        <x:v>78</x:v>
      </x:c>
      <x:c r="L367" s="20">
        <x:v>3</x:v>
      </x:c>
      <x:c r="M367" t="s">
        <x:v>125</x:v>
      </x:c>
      <x:c r="N367" s="18">
        <x:v>300</x:v>
      </x:c>
      <x:c r="O367" t="s">
        <x:v>88</x:v>
      </x:c>
      <x:c r="P367" s="18">
        <x:v>4</x:v>
      </x:c>
      <x:c r="Q367" s="19" t="s">
        <x:v>111</x:v>
      </x:c>
      <x:c r="R367" s="18">
        <x:v>145001</x:v>
      </x:c>
      <x:c r="S367" t="s">
        <x:v>112</x:v>
      </x:c>
      <x:c r="T367" s="19">
        <x:f t="shared" si="354"/>
        <x:v>145001</x:v>
      </x:c>
      <x:c r="U367" s="20">
        <x:v>0.55000000000000004</x:v>
      </x:c>
      <x:c r="V367" t="s">
        <x:v>113</x:v>
      </x:c>
      <x:c r="W367" s="20">
        <x:v>26.76</x:v>
      </x:c>
      <x:c r="X367" s="21">
        <x:f t="shared" si="355"/>
        <x:v>1355.75935</x:v>
      </x:c>
      <x:c r="Y367" s="21">
        <x:f t="shared" si="361"/>
        <x:v>1299.2089600000002</x:v>
      </x:c>
      <x:c r="Z367" s="21">
        <x:f t="shared" si="359"/>
        <x:v>290.00200000000001</x:v>
      </x:c>
      <x:c r="AA367" s="21">
        <x:f t="shared" si="362"/>
        <x:v>6301.4882582400005</x:v>
      </x:c>
      <x:c r="AB367" s="21">
        <x:f t="shared" si="363"/>
        <x:v>1521.0488899200002</x:v>
      </x:c>
      <x:c r="AC367" s="21">
        <x:f t="shared" si="360"/>
        <x:v>3.0420977798400006</x:v>
      </x:c>
      <x:c r="AD367" s="21"/>
      <x:c r="AE367" s="21">
        <x:f t="shared" si="358"/>
        <x:v>5.8000400000000001</x:v>
      </x:c>
      <x:c r="AF367" s="21"/>
      <x:c r="AG367" s="19" t="s">
        <x:v>78</x:v>
      </x:c>
      <x:c r="AH367" t="s">
        <x:v>78</x:v>
      </x:c>
      <x:c r="AI367" t="s">
        <x:v>78</x:v>
      </x:c>
      <x:c r="AJ367" s="19"/>
      <x:c r="AK367" s="19" t="s">
        <x:v>78</x:v>
      </x:c>
      <x:c r="AL367" t="s">
        <x:v>78</x:v>
      </x:c>
      <x:c r="AM367" s="19" t="s">
        <x:v>78</x:v>
      </x:c>
      <x:c r="AN367" s="21"/>
      <x:c r="AO367" s="21"/>
      <x:c r="AP367" s="21"/>
      <x:c r="AQ367" s="21"/>
      <x:c r="AR367" s="21"/>
      <x:c r="AS367" s="21"/>
      <x:c r="AT367" s="21"/>
      <x:c r="AU367" s="21"/>
      <x:c r="AV367" s="21"/>
      <x:c r="AW367" t="s">
        <x:v>78</x:v>
      </x:c>
      <x:c r="AX367" s="19"/>
      <x:c r="AY367" s="21"/>
      <x:c r="AZ367" s="21"/>
      <x:c r="BA367" s="21"/>
      <x:c r="BB367" s="21"/>
      <x:c r="BC367" s="21"/>
      <x:c r="BD367" s="21"/>
      <x:c r="BE367" s="21"/>
      <x:c r="BF367" s="21"/>
      <x:c r="BG367" s="21"/>
      <x:c r="BH367" t="s">
        <x:v>81</x:v>
      </x:c>
      <x:c r="BI367" s="18">
        <x:v>113</x:v>
      </x:c>
      <x:c r="BJ367" s="18">
        <x:v>36</x:v>
      </x:c>
      <x:c r="BK367" s="18">
        <x:v>17</x:v>
      </x:c>
      <x:c r="BL367" s="18">
        <x:v>23</x:v>
      </x:c>
      <x:c r="BM367" s="18">
        <x:v>3</x:v>
      </x:c>
      <x:c r="BN367" s="18">
        <x:v>15</x:v>
      </x:c>
      <x:c r="BO367" s="22">
        <x:v>113.60472222222199</x:v>
      </x:c>
      <x:c r="BP367" s="22">
        <x:v>23.054166666666699</x:v>
      </x:c>
      <x:c r="BQ367" s="18">
        <x:v>100</x:v>
      </x:c>
      <x:c r="BR367" s="18">
        <x:v>217989.3</x:v>
      </x:c>
      <x:c r="BS367" s="18">
        <x:v>476.98099999999999</x:v>
      </x:c>
      <x:c r="BT367" s="18">
        <x:v>53.911999999999999</x:v>
      </x:c>
      <x:c r="BU367" s="18">
        <x:v>174.001</x:v>
      </x:c>
      <x:c r="BV367" s="18">
        <x:v>52.2</x:v>
      </x:c>
      <x:c r="BW367" s="18">
        <x:v>30514.735000000001</x:v>
      </x:c>
      <x:c r="BX367" s="18">
        <x:v>38.405999999999999</x:v>
      </x:c>
      <x:c r="BY367" t="s">
        <x:v>78</x:v>
      </x:c>
      <x:c r="BZ367" t="s">
        <x:v>78</x:v>
      </x:c>
      <x:c r="CA367" s="23">
        <x:f t="shared" si="315"/>
        <x:v>1355.75935</x:v>
      </x:c>
      <x:c r="CB367" s="23">
        <x:f t="shared" si="316"/>
        <x:v>1299.2089600000002</x:v>
      </x:c>
      <x:c r="CC367" s="23">
        <x:f t="shared" si="317"/>
        <x:v>290.00200000000001</x:v>
      </x:c>
      <x:c r="CD367" s="23">
        <x:f t="shared" si="318"/>
        <x:v>6301.4882582400005</x:v>
      </x:c>
      <x:c r="CE367" s="23">
        <x:f t="shared" si="319"/>
        <x:v>1521.0488899200002</x:v>
      </x:c>
      <x:c r="CF367" s="23">
        <x:f t="shared" si="320"/>
        <x:v>3.0420977798400006</x:v>
      </x:c>
      <x:c r="CG367" s="23">
        <x:f t="shared" si="321"/>
        <x:v>0</x:v>
      </x:c>
      <x:c r="CH367" s="23">
        <x:f t="shared" si="322"/>
        <x:v>5.8000400000000001</x:v>
      </x:c>
      <x:c r="CI367" s="23">
        <x:f t="shared" si="323"/>
        <x:v>0</x:v>
      </x:c>
      <x:c r="CJ367" s="24" t="s">
        <x:v>770</x:v>
      </x:c>
      <x:c r="CK367" s="25">
        <x:v>98.34</x:v>
      </x:c>
      <x:c r="CL367" s="26" t="s">
        <x:v>127</x:v>
      </x:c>
      <x:c r="CM367" s="26">
        <x:v>69.81</x:v>
      </x:c>
      <x:c r="CN367" s="27" t="s">
        <x:v>775</x:v>
      </x:c>
      <x:c r="CO367" s="27">
        <x:v>99.4</x:v>
      </x:c>
      <x:c r="CP367" s="27">
        <x:v>98.3</x:v>
      </x:c>
      <x:c r="CQ367" s="26">
        <x:f t="shared" si="324"/>
        <x:v>22.505605209999931</x:v>
      </x:c>
      <x:c r="CR367" s="26">
        <x:f t="shared" si="325"/>
        <x:v>392.23118502399996</x:v>
      </x:c>
      <x:c r="CS367" s="26">
        <x:f t="shared" si="327"/>
        <x:v>290.00200000000001</x:v>
      </x:c>
      <x:c r="CT367" s="26">
        <x:f t="shared" si="350"/>
        <x:v>37.808929549439334</x:v>
      </x:c>
      <x:c r="CU367" s="26">
        <x:f t="shared" si="351"/>
        <x:v>25.857831128640026</x:v>
      </x:c>
      <x:c r="CV367" s="26">
        <x:f t="shared" si="352"/>
        <x:v>5.1715662257280054E-2</x:v>
      </x:c>
      <x:c r="CW367" s="26">
        <x:f t="shared" si="353"/>
        <x:v>0</x:v>
      </x:c>
      <x:c r="CX367" s="26">
        <x:f t="shared" si="328"/>
        <x:v>5.8000400000000001</x:v>
      </x:c>
      <x:c r="CY367" s="26">
        <x:f t="shared" si="329"/>
        <x:v>0</x:v>
      </x:c>
    </x:row>
    <x:row r="368">
      <x:c r="A368" s="18">
        <x:v>2022</x:v>
      </x:c>
      <x:c r="B368" t="s">
        <x:v>772</x:v>
      </x:c>
      <x:c r="C368" t="s">
        <x:v>773</x:v>
      </x:c>
      <x:c r="D368" t="s">
        <x:v>774</x:v>
      </x:c>
      <x:c r="E368" s="18">
        <x:v>441976</x:v>
      </x:c>
      <x:c r="F368" t="s">
        <x:v>763</x:v>
      </x:c>
      <x:c r="G368" s="8" t="s">
        <x:v>697</x:v>
      </x:c>
      <x:c r="H368" s="18">
        <x:v>1713</x:v>
      </x:c>
      <x:c r="I368" t="s">
        <x:v>162</x:v>
      </x:c>
      <x:c r="J368" t="s">
        <x:v>78</x:v>
      </x:c>
      <x:c r="K368" t="s">
        <x:v>78</x:v>
      </x:c>
      <x:c r="L368" s="20">
        <x:v>2.5</x:v>
      </x:c>
      <x:c r="M368" t="s">
        <x:v>125</x:v>
      </x:c>
      <x:c r="N368" s="18">
        <x:v>260</x:v>
      </x:c>
      <x:c r="O368" t="s">
        <x:v>74</x:v>
      </x:c>
      <x:c r="P368" s="18">
        <x:v>4</x:v>
      </x:c>
      <x:c r="Q368" s="19" t="s">
        <x:v>111</x:v>
      </x:c>
      <x:c r="R368" s="18">
        <x:v>187316</x:v>
      </x:c>
      <x:c r="S368" t="s">
        <x:v>112</x:v>
      </x:c>
      <x:c r="T368" s="19">
        <x:f t="shared" si="354"/>
        <x:v>187316</x:v>
      </x:c>
      <x:c r="U368" s="20">
        <x:v>0.55000000000000004</x:v>
      </x:c>
      <x:c r="V368" t="s">
        <x:v>113</x:v>
      </x:c>
      <x:c r="W368" s="20">
        <x:v>26.61</x:v>
      </x:c>
      <x:c r="X368" s="21">
        <x:f t="shared" si="355"/>
        <x:v>1751.4046000000001</x:v>
      </x:c>
      <x:c r="Y368" s="21">
        <x:f t="shared" si="361"/>
        <x:v>1678.3513600000001</x:v>
      </x:c>
      <x:c r="Z368" s="21">
        <x:f t="shared" si="359"/>
        <x:v>374.63200000000001</x:v>
      </x:c>
      <x:c r="AA368" s="21">
        <x:f t="shared" si="362"/>
        <x:v>8094.7935062400002</x:v>
      </x:c>
      <x:c r="AB368" s="21">
        <x:f t="shared" si="363"/>
        <x:v>1953.9156739200005</x:v>
      </x:c>
      <x:c r="AC368" s="21">
        <x:f t="shared" si="360"/>
        <x:v>3.9078313478400011</x:v>
      </x:c>
      <x:c r="AD368" s="21"/>
      <x:c r="AE368" s="21">
        <x:f t="shared" si="358"/>
        <x:v>7.4926400000000006</x:v>
      </x:c>
      <x:c r="AF368" s="21"/>
      <x:c r="AG368" s="19" t="s">
        <x:v>78</x:v>
      </x:c>
      <x:c r="AH368" t="s">
        <x:v>78</x:v>
      </x:c>
      <x:c r="AI368" t="s">
        <x:v>78</x:v>
      </x:c>
      <x:c r="AJ368" s="19"/>
      <x:c r="AK368" s="19" t="s">
        <x:v>78</x:v>
      </x:c>
      <x:c r="AL368" t="s">
        <x:v>78</x:v>
      </x:c>
      <x:c r="AM368" s="19" t="s">
        <x:v>78</x:v>
      </x:c>
      <x:c r="AN368" s="21"/>
      <x:c r="AO368" s="21"/>
      <x:c r="AP368" s="21"/>
      <x:c r="AQ368" s="21"/>
      <x:c r="AR368" s="21"/>
      <x:c r="AS368" s="21"/>
      <x:c r="AT368" s="21"/>
      <x:c r="AU368" s="21"/>
      <x:c r="AV368" s="21"/>
      <x:c r="AW368" t="s">
        <x:v>78</x:v>
      </x:c>
      <x:c r="AX368" s="19"/>
      <x:c r="AY368" s="21"/>
      <x:c r="AZ368" s="21"/>
      <x:c r="BA368" s="21"/>
      <x:c r="BB368" s="21"/>
      <x:c r="BC368" s="21"/>
      <x:c r="BD368" s="21"/>
      <x:c r="BE368" s="21"/>
      <x:c r="BF368" s="21"/>
      <x:c r="BG368" s="21"/>
      <x:c r="BH368" t="s">
        <x:v>79</x:v>
      </x:c>
      <x:c r="BI368" s="18">
        <x:v>113</x:v>
      </x:c>
      <x:c r="BJ368" s="18">
        <x:v>36</x:v>
      </x:c>
      <x:c r="BK368" s="18">
        <x:v>56</x:v>
      </x:c>
      <x:c r="BL368" s="18">
        <x:v>23</x:v>
      </x:c>
      <x:c r="BM368" s="18">
        <x:v>5</x:v>
      </x:c>
      <x:c r="BN368" s="18">
        <x:v>50</x:v>
      </x:c>
      <x:c r="BO368" s="22">
        <x:v>113.615555555556</x:v>
      </x:c>
      <x:c r="BP368" s="22">
        <x:v>23.0972222222222</x:v>
      </x:c>
      <x:c r="BQ368" s="18">
        <x:v>120</x:v>
      </x:c>
      <x:c r="BR368" s="18">
        <x:v>186785.6</x:v>
      </x:c>
      <x:c r="BS368" s="18">
        <x:v>616.17600000000004</x:v>
      </x:c>
      <x:c r="BT368" s="18">
        <x:v>69.644999999999996</x:v>
      </x:c>
      <x:c r="BU368" s="18">
        <x:v>224.779</x:v>
      </x:c>
      <x:c r="BV368" s="18">
        <x:v>67.433999999999997</x:v>
      </x:c>
      <x:c r="BW368" s="18">
        <x:v>39242.701999999997</x:v>
      </x:c>
      <x:c r="BX368" s="18">
        <x:v>49.567</x:v>
      </x:c>
      <x:c r="BY368" t="s">
        <x:v>78</x:v>
      </x:c>
      <x:c r="BZ368" t="s">
        <x:v>78</x:v>
      </x:c>
      <x:c r="CA368" s="23">
        <x:f t="shared" si="315"/>
        <x:v>1751.4046000000001</x:v>
      </x:c>
      <x:c r="CB368" s="23">
        <x:f t="shared" si="316"/>
        <x:v>1678.3513600000001</x:v>
      </x:c>
      <x:c r="CC368" s="23">
        <x:f t="shared" si="317"/>
        <x:v>374.63200000000001</x:v>
      </x:c>
      <x:c r="CD368" s="23">
        <x:f t="shared" si="318"/>
        <x:v>8094.7935062400002</x:v>
      </x:c>
      <x:c r="CE368" s="23">
        <x:f t="shared" si="319"/>
        <x:v>1953.9156739200005</x:v>
      </x:c>
      <x:c r="CF368" s="23">
        <x:f t="shared" si="320"/>
        <x:v>3.9078313478400011</x:v>
      </x:c>
      <x:c r="CG368" s="23">
        <x:f t="shared" si="321"/>
        <x:v>0</x:v>
      </x:c>
      <x:c r="CH368" s="23">
        <x:f t="shared" si="322"/>
        <x:v>7.4926400000000006</x:v>
      </x:c>
      <x:c r="CI368" s="23">
        <x:f t="shared" si="323"/>
        <x:v>0</x:v>
      </x:c>
      <x:c r="CJ368" s="24" t="s">
        <x:v>770</x:v>
      </x:c>
      <x:c r="CK368" s="25">
        <x:v>97.31</x:v>
      </x:c>
      <x:c r="CL368" s="26" t="s">
        <x:v>127</x:v>
      </x:c>
      <x:c r="CM368" s="26">
        <x:v>70.069999999999993</x:v>
      </x:c>
      <x:c r="CN368" s="27" t="s">
        <x:v>775</x:v>
      </x:c>
      <x:c r="CO368" s="27">
        <x:v>99.4</x:v>
      </x:c>
      <x:c r="CP368" s="27">
        <x:v>98.3</x:v>
      </x:c>
      <x:c r="CQ368" s="26">
        <x:f t="shared" si="324"/>
        <x:v>47.11278373999987</x:v>
      </x:c>
      <x:c r="CR368" s="26">
        <x:f t="shared" si="325"/>
        <x:v>502.33056204800022</x:v>
      </x:c>
      <x:c r="CS368" s="26">
        <x:f t="shared" si="327"/>
        <x:v>374.63200000000001</x:v>
      </x:c>
      <x:c r="CT368" s="26">
        <x:f t="shared" si="350"/>
        <x:v>48.568761037439145</x:v>
      </x:c>
      <x:c r="CU368" s="26">
        <x:f t="shared" si="351"/>
        <x:v>33.216566456640038</x:v>
      </x:c>
      <x:c r="CV368" s="26">
        <x:f t="shared" si="352"/>
        <x:v>6.6433132913280082E-2</x:v>
      </x:c>
      <x:c r="CW368" s="26">
        <x:f t="shared" si="353"/>
        <x:v>0</x:v>
      </x:c>
      <x:c r="CX368" s="26">
        <x:f t="shared" si="328"/>
        <x:v>7.4926400000000006</x:v>
      </x:c>
      <x:c r="CY368" s="26">
        <x:f t="shared" si="329"/>
        <x:v>0</x:v>
      </x:c>
    </x:row>
    <x:row r="369" s="8" customFormat="1">
      <x:c r="A369" s="31">
        <x:v>2022</x:v>
      </x:c>
      <x:c r="B369" s="8" t="s">
        <x:v>776</x:v>
      </x:c>
      <x:c r="C369" s="8" t="s">
        <x:v>777</x:v>
      </x:c>
      <x:c r="D369" s="8" t="s">
        <x:v>778</x:v>
      </x:c>
      <x:c r="E369" s="31">
        <x:v>441976</x:v>
      </x:c>
      <x:c r="F369" s="8" t="s">
        <x:v>763</x:v>
      </x:c>
      <x:c r="G369" s="8" t="s">
        <x:v>697</x:v>
      </x:c>
      <x:c r="H369" s="31">
        <x:v>4430</x:v>
      </x:c>
      <x:c r="I369" s="8" t="s">
        <x:v>389</x:v>
      </x:c>
      <x:c r="J369" s="8" t="s">
        <x:v>78</x:v>
      </x:c>
      <x:c r="K369" s="8" t="s">
        <x:v>80</x:v>
      </x:c>
      <x:c r="L369" s="31">
        <x:v>6.5</x:v>
      </x:c>
      <x:c r="M369" s="8" t="s">
        <x:v>78</x:v>
      </x:c>
      <x:c r="N369" s="31">
        <x:v>14.5</x:v>
      </x:c>
      <x:c r="O369" s="8" t="s">
        <x:v>88</x:v>
      </x:c>
      <x:c r="P369" s="31">
        <x:v>15</x:v>
      </x:c>
      <x:c r="Q369" s="32" t="s">
        <x:v>96</x:v>
      </x:c>
      <x:c r="R369" s="31">
        <x:v>49.28</x:v>
      </x:c>
      <x:c r="S369" s="8" t="s">
        <x:v>76</x:v>
      </x:c>
      <x:c r="T369" s="32">
        <x:f t="shared" si="354"/>
        <x:v>49.28</x:v>
      </x:c>
      <x:c r="U369" s="36">
        <x:v>0.51</x:v>
      </x:c>
      <x:c r="V369" s="8" t="s">
        <x:v>77</x:v>
      </x:c>
      <x:c r="W369" s="32" t="s">
        <x:v>78</x:v>
      </x:c>
      <x:c r="X369" s="33" t="n">
        <x:f>2*U369*T369*10000/1000000000</x:f>
        <x:v>0.000502656</x:v>
      </x:c>
      <x:c r="Y369" s="21" t="n">
        <x:f>4.1*T369*10000/1000000</x:f>
        <x:v>2.0204799999999996</x:v>
      </x:c>
      <x:c r="Z369" s="21" t="n">
        <x:f>1.3*T369*10000/1000000</x:f>
        <x:v>0.6406400000000001</x:v>
      </x:c>
      <x:c r="AA369" s="21" t="n">
        <x:f>0.03*T369*10000/1000000</x:f>
        <x:v>0.014784</x:v>
      </x:c>
      <x:c r="AB369" s="21" t="n">
        <x:f>0.03*T369*10000/1000000</x:f>
        <x:v>0.014784</x:v>
      </x:c>
      <x:c r="AC369" s="33"/>
      <x:c r="AD369" s="33"/>
      <x:c r="AE369" s="21" t="n">
        <x:f>0.02*T369*10000/1000000</x:f>
        <x:v>0.009856</x:v>
      </x:c>
      <x:c r="AF369" s="33"/>
      <x:c r="AG369" s="32" t="s">
        <x:v>78</x:v>
      </x:c>
      <x:c r="AH369" s="8" t="s">
        <x:v>78</x:v>
      </x:c>
      <x:c r="AI369" s="8" t="s">
        <x:v>78</x:v>
      </x:c>
      <x:c r="AJ369" s="32"/>
      <x:c r="AK369" s="32" t="s">
        <x:v>78</x:v>
      </x:c>
      <x:c r="AL369" s="8" t="s">
        <x:v>78</x:v>
      </x:c>
      <x:c r="AM369" s="32" t="s">
        <x:v>78</x:v>
      </x:c>
      <x:c r="AN369" s="33"/>
      <x:c r="AO369" s="33"/>
      <x:c r="AP369" s="33"/>
      <x:c r="AQ369" s="33"/>
      <x:c r="AR369" s="33"/>
      <x:c r="AS369" s="33"/>
      <x:c r="AT369" s="33"/>
      <x:c r="AU369" s="33"/>
      <x:c r="AV369" s="33"/>
      <x:c r="AW369" s="8" t="s">
        <x:v>78</x:v>
      </x:c>
      <x:c r="AX369" s="32"/>
      <x:c r="AY369" s="33"/>
      <x:c r="AZ369" s="33"/>
      <x:c r="BA369" s="33"/>
      <x:c r="BB369" s="33"/>
      <x:c r="BC369" s="33"/>
      <x:c r="BD369" s="33"/>
      <x:c r="BE369" s="33"/>
      <x:c r="BF369" s="33"/>
      <x:c r="BG369" s="33"/>
      <x:c r="BH369" s="8" t="s">
        <x:v>79</x:v>
      </x:c>
      <x:c r="BI369" s="31">
        <x:v>113</x:v>
      </x:c>
      <x:c r="BJ369" s="31">
        <x:v>33</x:v>
      </x:c>
      <x:c r="BK369" s="31">
        <x:v>35.06</x:v>
      </x:c>
      <x:c r="BL369" s="31">
        <x:v>23</x:v>
      </x:c>
      <x:c r="BM369" s="31">
        <x:v>3</x:v>
      </x:c>
      <x:c r="BN369" s="31">
        <x:v>54.36</x:v>
      </x:c>
      <x:c r="BO369" s="22">
        <x:v>113.559738888889</x:v>
      </x:c>
      <x:c r="BP369" s="22">
        <x:v>23.065100000000001</x:v>
      </x:c>
      <x:c r="BQ369" s="31">
        <x:v>15</x:v>
      </x:c>
      <x:c r="BR369" s="31">
        <x:v>883.14</x:v>
      </x:c>
      <x:c r="BS369" s="8" t="s">
        <x:v>78</x:v>
      </x:c>
      <x:c r="BT369" s="8" t="s">
        <x:v>78</x:v>
      </x:c>
      <x:c r="BU369" s="31">
        <x:v>0.626</x:v>
      </x:c>
      <x:c r="BV369" s="31">
        <x:v>0.626</x:v>
      </x:c>
      <x:c r="BW369" s="8" t="s">
        <x:v>78</x:v>
      </x:c>
      <x:c r="BX369" s="8" t="s">
        <x:v>78</x:v>
      </x:c>
      <x:c r="BY369" s="8" t="s">
        <x:v>78</x:v>
      </x:c>
      <x:c r="BZ369" s="8" t="s">
        <x:v>78</x:v>
      </x:c>
      <x:c r="CA369" s="23">
        <x:f t="shared" si="315"/>
        <x:v>5.0265599999999998E-4</x:v>
      </x:c>
      <x:c r="CB369" s="23">
        <x:f t="shared" si="316"/>
        <x:v>2.0204799999999996</x:v>
      </x:c>
      <x:c r="CC369" s="23">
        <x:f t="shared" si="317"/>
        <x:v>0.6406400000000001</x:v>
      </x:c>
      <x:c r="CD369" s="23">
        <x:f t="shared" si="318"/>
        <x:v>1.4784E-2</x:v>
      </x:c>
      <x:c r="CE369" s="23">
        <x:f t="shared" si="319"/>
        <x:v>1.4784E-2</x:v>
      </x:c>
      <x:c r="CF369" s="23">
        <x:f t="shared" si="320"/>
        <x:v>0</x:v>
      </x:c>
      <x:c r="CG369" s="23">
        <x:f t="shared" si="321"/>
        <x:v>0</x:v>
      </x:c>
      <x:c r="CH369" s="23">
        <x:f t="shared" si="322"/>
        <x:v>9.8560000000000002E-3</x:v>
      </x:c>
      <x:c r="CI369" s="23">
        <x:f t="shared" si="323"/>
        <x:v>0</x:v>
      </x:c>
      <x:c r="CJ369" s="25" t="s">
        <x:v>78</x:v>
      </x:c>
      <x:c r="CK369" s="25">
        <x:v>0</x:v>
      </x:c>
      <x:c r="CL369" s="34" t="s">
        <x:v>78</x:v>
      </x:c>
      <x:c r="CM369" s="26">
        <x:v>42</x:v>
      </x:c>
      <x:c r="CN369" s="35" t="s">
        <x:v>78</x:v>
      </x:c>
      <x:c r="CO369" s="27">
        <x:v>0</x:v>
      </x:c>
      <x:c r="CP369" s="27">
        <x:v>0</x:v>
      </x:c>
      <x:c r="CQ369" s="26">
        <x:f t="shared" si="324"/>
        <x:v>5.0265599999999998E-4</x:v>
      </x:c>
      <x:c r="CR369" s="26">
        <x:f t="shared" si="325"/>
        <x:v>1.1718784</x:v>
      </x:c>
      <x:c r="CS369" s="26">
        <x:f t="shared" si="327"/>
        <x:v>0.6406400000000001</x:v>
      </x:c>
      <x:c r="CT369" s="26">
        <x:f t="shared" si="350"/>
        <x:v>1.4784E-2</x:v>
      </x:c>
      <x:c r="CU369" s="26">
        <x:f t="shared" si="351"/>
        <x:v>1.4784E-2</x:v>
      </x:c>
      <x:c r="CV369" s="26">
        <x:f t="shared" si="352"/>
        <x:v>0</x:v>
      </x:c>
      <x:c r="CW369" s="26">
        <x:f t="shared" si="353"/>
        <x:v>0</x:v>
      </x:c>
      <x:c r="CX369" s="26">
        <x:f t="shared" si="328"/>
        <x:v>9.8560000000000002E-3</x:v>
      </x:c>
      <x:c r="CY369" s="26">
        <x:f t="shared" si="329"/>
        <x:v>0</x:v>
      </x:c>
    </x:row>
    <x:row r="370">
      <x:c r="A370" s="18">
        <x:v>2022</x:v>
      </x:c>
      <x:c r="B370" t="s">
        <x:v>779</x:v>
      </x:c>
      <x:c r="C370" t="s">
        <x:v>780</x:v>
      </x:c>
      <x:c r="D370" t="s">
        <x:v>781</x:v>
      </x:c>
      <x:c r="E370" s="18">
        <x:v>441977</x:v>
      </x:c>
      <x:c r="F370" t="s">
        <x:v>782</x:v>
      </x:c>
      <x:c r="G370" s="8" t="s">
        <x:v>697</x:v>
      </x:c>
      <x:c r="H370" s="18">
        <x:v>2221</x:v>
      </x:c>
      <x:c r="I370" t="s">
        <x:v>158</x:v>
      </x:c>
      <x:c r="J370" t="s">
        <x:v>78</x:v>
      </x:c>
      <x:c r="K370" t="s">
        <x:v>109</x:v>
      </x:c>
      <x:c r="L370" s="20">
        <x:v>0.3</x:v>
      </x:c>
      <x:c r="M370" t="s">
        <x:v>125</x:v>
      </x:c>
      <x:c r="N370" s="18">
        <x:v>35</x:v>
      </x:c>
      <x:c r="O370" t="s">
        <x:v>88</x:v>
      </x:c>
      <x:c r="P370" s="18">
        <x:v>2</x:v>
      </x:c>
      <x:c r="Q370" s="19" t="s">
        <x:v>231</x:v>
      </x:c>
      <x:c r="R370" s="18">
        <x:v>48375</x:v>
      </x:c>
      <x:c r="S370" t="s">
        <x:v>112</x:v>
      </x:c>
      <x:c r="T370" s="19" t="n">
        <x:f t="shared" ref="T370:T382" si="364">R370</x:f>
        <x:v>48375</x:v>
      </x:c>
      <x:c r="U370" s="20">
        <x:v>0.23100000000000001</x:v>
      </x:c>
      <x:c r="V370" t="s">
        <x:v>113</x:v>
      </x:c>
      <x:c r="W370" s="20">
        <x:v>38.65</x:v>
      </x:c>
      <x:c r="X370" s="21" t="n">
        <x:f t="shared" ref="X370:X381" si="365">2*U370/100*(1-0.15)*T370</x:f>
        <x:v>189.968625</x:v>
      </x:c>
      <x:c r="Y370" s="21" t="n">
        <x:f t="shared" ref="Y370:Y376" si="366">8.96*T370/1000</x:f>
        <x:v>433.44000000000005</x:v>
      </x:c>
      <x:c r="Z370" s="21" t="n">
        <x:f t="shared" ref="Z370:Z381" si="367">2*T370/1000</x:f>
        <x:v>96.75</x:v>
      </x:c>
      <x:c r="AA370" s="21" t="n">
        <x:f t="shared" ref="AA370:AA381" si="368">W370/100*(1-0.44)*0.29*T370</x:f>
        <x:v>3036.3826500000005</x:v>
      </x:c>
      <x:c r="AB370" s="21" t="n">
        <x:f t="shared" ref="AB370:AB381" si="369">W370/100*(1-0.44)*0.07*T370</x:f>
        <x:v>732.9199500000001</x:v>
      </x:c>
      <x:c r="AC370" s="21" t="n">
        <x:f t="shared" ref="AC370:AC381" si="370">0.002*AB370</x:f>
        <x:v>1.4658399000000002</x:v>
      </x:c>
      <x:c r="AD370" s="21"/>
      <x:c r="AE370" s="21" t="n">
        <x:f t="shared" ref="AE370:AE381" si="371">0.04*T370/1000</x:f>
        <x:v>1.935</x:v>
      </x:c>
      <x:c r="AF370" s="21"/>
      <x:c r="AG370" s="19" t="s">
        <x:v>78</x:v>
      </x:c>
      <x:c r="AH370" t="s">
        <x:v>78</x:v>
      </x:c>
      <x:c r="AI370" t="s">
        <x:v>78</x:v>
      </x:c>
      <x:c r="AJ370" s="19"/>
      <x:c r="AK370" s="19" t="s">
        <x:v>78</x:v>
      </x:c>
      <x:c r="AL370" t="s">
        <x:v>78</x:v>
      </x:c>
      <x:c r="AM370" s="19" t="s">
        <x:v>78</x:v>
      </x:c>
      <x:c r="AN370" s="21"/>
      <x:c r="AO370" s="21"/>
      <x:c r="AP370" s="21"/>
      <x:c r="AQ370" s="21"/>
      <x:c r="AR370" s="21"/>
      <x:c r="AS370" s="21"/>
      <x:c r="AT370" s="21"/>
      <x:c r="AU370" s="21"/>
      <x:c r="AV370" s="21"/>
      <x:c r="AW370" t="s">
        <x:v>78</x:v>
      </x:c>
      <x:c r="AX370" s="19"/>
      <x:c r="AY370" s="21"/>
      <x:c r="AZ370" s="21"/>
      <x:c r="BA370" s="21"/>
      <x:c r="BB370" s="21"/>
      <x:c r="BC370" s="21"/>
      <x:c r="BD370" s="21"/>
      <x:c r="BE370" s="21"/>
      <x:c r="BF370" s="21"/>
      <x:c r="BG370" s="21"/>
      <x:c r="BH370" t="s">
        <x:v>81</x:v>
      </x:c>
      <x:c r="BI370" s="18">
        <x:v>113</x:v>
      </x:c>
      <x:c r="BJ370" s="18">
        <x:v>35</x:v>
      </x:c>
      <x:c r="BK370" s="18">
        <x:v>43</x:v>
      </x:c>
      <x:c r="BL370" s="18">
        <x:v>23</x:v>
      </x:c>
      <x:c r="BM370" s="18">
        <x:v>1</x:v>
      </x:c>
      <x:c r="BN370" s="18">
        <x:v>43</x:v>
      </x:c>
      <x:c r="BO370" s="22">
        <x:v>113.59527777777799</x:v>
      </x:c>
      <x:c r="BP370" s="22">
        <x:v>23.0286111111111</x:v>
      </x:c>
      <x:c r="BQ370" s="18">
        <x:v>60</x:v>
      </x:c>
      <x:c r="BR370" s="18">
        <x:v>30746.198</x:v>
      </x:c>
      <x:c r="BS370" s="18">
        <x:v>199.857</x:v>
      </x:c>
      <x:c r="BT370" s="18">
        <x:v>9.2240000000000002</x:v>
      </x:c>
      <x:c r="BU370" s="18">
        <x:v>141.43700000000001</x:v>
      </x:c>
      <x:c r="BV370" s="18">
        <x:v>23.367999999999999</x:v>
      </x:c>
      <x:c r="BW370" s="18">
        <x:v>907.04399999999998</x:v>
      </x:c>
      <x:c r="BX370" s="18">
        <x:v>2.2749999999999999</x:v>
      </x:c>
      <x:c r="BY370" s="18">
        <x:v>201.72399999999999</x:v>
      </x:c>
      <x:c r="BZ370" s="18">
        <x:v>201.72399999999999</x:v>
      </x:c>
      <x:c r="CA370" s="23">
        <x:f t="shared" si="315"/>
        <x:v>189.968625</x:v>
      </x:c>
      <x:c r="CB370" s="23">
        <x:f t="shared" si="316"/>
        <x:v>433.44000000000005</x:v>
      </x:c>
      <x:c r="CC370" s="23">
        <x:f t="shared" si="317"/>
        <x:v>96.75</x:v>
      </x:c>
      <x:c r="CD370" s="23">
        <x:f t="shared" si="318"/>
        <x:v>3036.3826500000005</x:v>
      </x:c>
      <x:c r="CE370" s="23">
        <x:f t="shared" si="319"/>
        <x:v>732.91995000000009</x:v>
      </x:c>
      <x:c r="CF370" s="23">
        <x:f t="shared" si="320"/>
        <x:v>1.4658399000000002</x:v>
      </x:c>
      <x:c r="CG370" s="23">
        <x:f t="shared" si="321"/>
        <x:v>0</x:v>
      </x:c>
      <x:c r="CH370" s="23">
        <x:f t="shared" si="322"/>
        <x:v>1.9350000000000001</x:v>
      </x:c>
      <x:c r="CI370" s="23">
        <x:f t="shared" si="323"/>
        <x:v>0</x:v>
      </x:c>
      <x:c r="CJ370" s="24" t="s">
        <x:v>624</x:v>
      </x:c>
      <x:c r="CK370" s="25">
        <x:v>92.17</x:v>
      </x:c>
      <x:c r="CL370" s="26" t="s">
        <x:v>127</x:v>
      </x:c>
      <x:c r="CM370" s="26">
        <x:v>62.8</x:v>
      </x:c>
      <x:c r="CN370" s="27" t="s">
        <x:v>124</x:v>
      </x:c>
      <x:c r="CO370" s="27">
        <x:v>99.8</x:v>
      </x:c>
      <x:c r="CP370" s="27">
        <x:v>99.6</x:v>
      </x:c>
      <x:c r="CQ370" s="26">
        <x:f t="shared" si="324"/>
        <x:v>14.874543337500008</x:v>
      </x:c>
      <x:c r="CR370" s="26">
        <x:f t="shared" si="325"/>
        <x:v>161.23968000000002</x:v>
      </x:c>
      <x:c r="CS370" s="26">
        <x:f t="shared" si="327"/>
        <x:v>96.75</x:v>
      </x:c>
      <x:c r="CT370" s="26">
        <x:f t="shared" si="350"/>
        <x:v>6.0727653000000066</x:v>
      </x:c>
      <x:c r="CU370" s="26">
        <x:f t="shared" si="351"/>
        <x:v>2.9316798000000031</x:v>
      </x:c>
      <x:c r="CV370" s="26">
        <x:f t="shared" si="352"/>
        <x:v>5.8633596000000057E-3</x:v>
      </x:c>
      <x:c r="CW370" s="26">
        <x:f t="shared" si="353"/>
        <x:v>0</x:v>
      </x:c>
      <x:c r="CX370" s="26">
        <x:f t="shared" si="328"/>
        <x:v>1.9350000000000001</x:v>
      </x:c>
      <x:c r="CY370" s="26">
        <x:f t="shared" si="329"/>
        <x:v>0</x:v>
      </x:c>
    </x:row>
    <x:row r="371">
      <x:c r="A371" s="18">
        <x:v>2022</x:v>
      </x:c>
      <x:c r="B371" t="s">
        <x:v>779</x:v>
      </x:c>
      <x:c r="C371" t="s">
        <x:v>780</x:v>
      </x:c>
      <x:c r="D371" t="s">
        <x:v>781</x:v>
      </x:c>
      <x:c r="E371" s="18">
        <x:v>441977</x:v>
      </x:c>
      <x:c r="F371" t="s">
        <x:v>782</x:v>
      </x:c>
      <x:c r="G371" s="8" t="s">
        <x:v>697</x:v>
      </x:c>
      <x:c r="H371" s="18">
        <x:v>2221</x:v>
      </x:c>
      <x:c r="I371" t="s">
        <x:v>158</x:v>
      </x:c>
      <x:c r="J371" t="s">
        <x:v>78</x:v>
      </x:c>
      <x:c r="K371" t="s">
        <x:v>109</x:v>
      </x:c>
      <x:c r="L371" s="20">
        <x:v>0.6</x:v>
      </x:c>
      <x:c r="M371" t="s">
        <x:v>125</x:v>
      </x:c>
      <x:c r="N371" s="18">
        <x:v>35</x:v>
      </x:c>
      <x:c r="O371" t="s">
        <x:v>88</x:v>
      </x:c>
      <x:c r="P371" s="18">
        <x:v>2</x:v>
      </x:c>
      <x:c r="Q371" s="19" t="s">
        <x:v>231</x:v>
      </x:c>
      <x:c r="R371" s="18">
        <x:v>40397</x:v>
      </x:c>
      <x:c r="S371" t="s">
        <x:v>112</x:v>
      </x:c>
      <x:c r="T371" s="19">
        <x:f t="shared" si="364"/>
        <x:v>40397</x:v>
      </x:c>
      <x:c r="U371" s="20">
        <x:v>0.23100000000000001</x:v>
      </x:c>
      <x:c r="V371" t="s">
        <x:v>113</x:v>
      </x:c>
      <x:c r="W371" s="20">
        <x:v>38.65</x:v>
      </x:c>
      <x:c r="X371" s="21">
        <x:f t="shared" si="365"/>
        <x:v>158.63901899999999</x:v>
      </x:c>
      <x:c r="Y371" s="21">
        <x:f t="shared" si="366"/>
        <x:v>361.95712000000003</x:v>
      </x:c>
      <x:c r="Z371" s="21">
        <x:f t="shared" si="367"/>
        <x:v>80.793999999999997</x:v>
      </x:c>
      <x:c r="AA371" s="21">
        <x:f t="shared" si="368"/>
        <x:v>2535.6227372000003</x:v>
      </x:c>
      <x:c r="AB371" s="21">
        <x:f t="shared" si="369"/>
        <x:v>612.04686760000016</x:v>
      </x:c>
      <x:c r="AC371" s="21">
        <x:f t="shared" si="370"/>
        <x:v>1.2240937352000003</x:v>
      </x:c>
      <x:c r="AD371" s="21"/>
      <x:c r="AE371" s="21">
        <x:f t="shared" si="371"/>
        <x:v>1.6158800000000002</x:v>
      </x:c>
      <x:c r="AF371" s="21"/>
      <x:c r="AG371" s="19" t="s">
        <x:v>78</x:v>
      </x:c>
      <x:c r="AH371" t="s">
        <x:v>78</x:v>
      </x:c>
      <x:c r="AI371" t="s">
        <x:v>78</x:v>
      </x:c>
      <x:c r="AJ371" s="19"/>
      <x:c r="AK371" s="19" t="s">
        <x:v>78</x:v>
      </x:c>
      <x:c r="AL371" t="s">
        <x:v>78</x:v>
      </x:c>
      <x:c r="AM371" s="19" t="s">
        <x:v>78</x:v>
      </x:c>
      <x:c r="AN371" s="21"/>
      <x:c r="AO371" s="21"/>
      <x:c r="AP371" s="21"/>
      <x:c r="AQ371" s="21"/>
      <x:c r="AR371" s="21"/>
      <x:c r="AS371" s="21"/>
      <x:c r="AT371" s="21"/>
      <x:c r="AU371" s="21"/>
      <x:c r="AV371" s="21"/>
      <x:c r="AW371" t="s">
        <x:v>78</x:v>
      </x:c>
      <x:c r="AX371" s="19"/>
      <x:c r="AY371" s="21"/>
      <x:c r="AZ371" s="21"/>
      <x:c r="BA371" s="21"/>
      <x:c r="BB371" s="21"/>
      <x:c r="BC371" s="21"/>
      <x:c r="BD371" s="21"/>
      <x:c r="BE371" s="21"/>
      <x:c r="BF371" s="21"/>
      <x:c r="BG371" s="21"/>
      <x:c r="BH371" t="s">
        <x:v>81</x:v>
      </x:c>
      <x:c r="BI371" s="18">
        <x:v>113</x:v>
      </x:c>
      <x:c r="BJ371" s="18">
        <x:v>35</x:v>
      </x:c>
      <x:c r="BK371" s="18">
        <x:v>43</x:v>
      </x:c>
      <x:c r="BL371" s="18">
        <x:v>23</x:v>
      </x:c>
      <x:c r="BM371" s="18">
        <x:v>1</x:v>
      </x:c>
      <x:c r="BN371" s="18">
        <x:v>43</x:v>
      </x:c>
      <x:c r="BO371" s="22">
        <x:v>113.59527777777799</x:v>
      </x:c>
      <x:c r="BP371" s="22">
        <x:v>23.0286111111111</x:v>
      </x:c>
      <x:c r="BQ371" s="18">
        <x:v>60</x:v>
      </x:c>
      <x:c r="BR371" s="18">
        <x:v>25683.142</x:v>
      </x:c>
      <x:c r="BS371" s="18">
        <x:v>166.922</x:v>
      </x:c>
      <x:c r="BT371" s="18">
        <x:v>7.7039999999999997</x:v>
      </x:c>
      <x:c r="BU371" s="18">
        <x:v>118.13</x:v>
      </x:c>
      <x:c r="BV371" s="18">
        <x:v>19.516999999999999</x:v>
      </x:c>
      <x:c r="BW371" s="18">
        <x:v>757.57</x:v>
      </x:c>
      <x:c r="BX371" s="18">
        <x:v>1.9</x:v>
      </x:c>
      <x:c r="BY371" s="18">
        <x:v>168.45500000000001</x:v>
      </x:c>
      <x:c r="BZ371" s="18">
        <x:v>168.45500000000001</x:v>
      </x:c>
      <x:c r="CA371" s="23">
        <x:f t="shared" si="315"/>
        <x:v>158.63901899999999</x:v>
      </x:c>
      <x:c r="CB371" s="23">
        <x:f t="shared" si="316"/>
        <x:v>361.95712000000003</x:v>
      </x:c>
      <x:c r="CC371" s="23">
        <x:f t="shared" si="317"/>
        <x:v>80.793999999999997</x:v>
      </x:c>
      <x:c r="CD371" s="23">
        <x:f t="shared" si="318"/>
        <x:v>2535.6227372000003</x:v>
      </x:c>
      <x:c r="CE371" s="23">
        <x:f t="shared" si="319"/>
        <x:v>612.04686760000016</x:v>
      </x:c>
      <x:c r="CF371" s="23">
        <x:f t="shared" si="320"/>
        <x:v>1.2240937352000003</x:v>
      </x:c>
      <x:c r="CG371" s="23">
        <x:f t="shared" si="321"/>
        <x:v>0</x:v>
      </x:c>
      <x:c r="CH371" s="23">
        <x:f t="shared" si="322"/>
        <x:v>1.6158800000000002</x:v>
      </x:c>
      <x:c r="CI371" s="23">
        <x:f t="shared" si="323"/>
        <x:v>0</x:v>
      </x:c>
      <x:c r="CJ371" s="24" t="s">
        <x:v>624</x:v>
      </x:c>
      <x:c r="CK371" s="25">
        <x:v>92.53</x:v>
      </x:c>
      <x:c r="CL371" s="26" t="s">
        <x:v>127</x:v>
      </x:c>
      <x:c r="CM371" s="26">
        <x:v>63.47</x:v>
      </x:c>
      <x:c r="CN371" s="27" t="s">
        <x:v>124</x:v>
      </x:c>
      <x:c r="CO371" s="27">
        <x:v>99.8</x:v>
      </x:c>
      <x:c r="CP371" s="27">
        <x:v>99.6</x:v>
      </x:c>
      <x:c r="CQ371" s="26">
        <x:f t="shared" si="324"/>
        <x:v>11.850334719299997</x:v>
      </x:c>
      <x:c r="CR371" s="26">
        <x:f t="shared" si="325"/>
        <x:v>132.222935936</x:v>
      </x:c>
      <x:c r="CS371" s="26">
        <x:f t="shared" si="327"/>
        <x:v>80.793999999999997</x:v>
      </x:c>
      <x:c r="CT371" s="26">
        <x:f t="shared" si="350"/>
        <x:v>5.0712454744000048</x:v>
      </x:c>
      <x:c r="CU371" s="26">
        <x:f t="shared" si="351"/>
        <x:v>2.4481874704000028</x:v>
      </x:c>
      <x:c r="CV371" s="26">
        <x:f t="shared" si="352"/>
        <x:v>4.8963749408000058E-3</x:v>
      </x:c>
      <x:c r="CW371" s="26">
        <x:f t="shared" si="353"/>
        <x:v>0</x:v>
      </x:c>
      <x:c r="CX371" s="26">
        <x:f t="shared" si="328"/>
        <x:v>1.6158800000000002</x:v>
      </x:c>
      <x:c r="CY371" s="26">
        <x:f t="shared" si="329"/>
        <x:v>0</x:v>
      </x:c>
    </x:row>
    <x:row r="372">
      <x:c r="A372" s="18">
        <x:v>2022</x:v>
      </x:c>
      <x:c r="B372" t="s">
        <x:v>779</x:v>
      </x:c>
      <x:c r="C372" t="s">
        <x:v>780</x:v>
      </x:c>
      <x:c r="D372" t="s">
        <x:v>781</x:v>
      </x:c>
      <x:c r="E372" s="18">
        <x:v>441977</x:v>
      </x:c>
      <x:c r="F372" t="s">
        <x:v>782</x:v>
      </x:c>
      <x:c r="G372" s="8" t="s">
        <x:v>697</x:v>
      </x:c>
      <x:c r="H372" s="18">
        <x:v>2221</x:v>
      </x:c>
      <x:c r="I372" t="s">
        <x:v>158</x:v>
      </x:c>
      <x:c r="J372" t="s">
        <x:v>78</x:v>
      </x:c>
      <x:c r="K372" t="s">
        <x:v>109</x:v>
      </x:c>
      <x:c r="L372" s="20">
        <x:v>0.6</x:v>
      </x:c>
      <x:c r="M372" t="s">
        <x:v>125</x:v>
      </x:c>
      <x:c r="N372" s="18">
        <x:v>90</x:v>
      </x:c>
      <x:c r="O372" t="s">
        <x:v>88</x:v>
      </x:c>
      <x:c r="P372" s="18">
        <x:v>2</x:v>
      </x:c>
      <x:c r="Q372" s="19" t="s">
        <x:v>231</x:v>
      </x:c>
      <x:c r="R372" s="18">
        <x:v>120006</x:v>
      </x:c>
      <x:c r="S372" t="s">
        <x:v>112</x:v>
      </x:c>
      <x:c r="T372" s="19">
        <x:f t="shared" si="364"/>
        <x:v>120006</x:v>
      </x:c>
      <x:c r="U372" s="20">
        <x:v>0.23100000000000001</x:v>
      </x:c>
      <x:c r="V372" t="s">
        <x:v>113</x:v>
      </x:c>
      <x:c r="W372" s="20">
        <x:v>38.65</x:v>
      </x:c>
      <x:c r="X372" s="21">
        <x:f t="shared" si="365"/>
        <x:v>471.26356199999998</x:v>
      </x:c>
      <x:c r="Y372" s="21">
        <x:f t="shared" si="366"/>
        <x:v>1075.2537600000001</x:v>
      </x:c>
      <x:c r="Z372" s="21">
        <x:f t="shared" si="367"/>
        <x:v>240.012</x:v>
      </x:c>
      <x:c r="AA372" s="21">
        <x:f t="shared" si="368"/>
        <x:v>7532.4886056000005</x:v>
      </x:c>
      <x:c r="AB372" s="21">
        <x:f t="shared" si="369"/>
        <x:v>1818.1869048000003</x:v>
      </x:c>
      <x:c r="AC372" s="21">
        <x:f t="shared" si="370"/>
        <x:v>3.6363738096000007</x:v>
      </x:c>
      <x:c r="AD372" s="21"/>
      <x:c r="AE372" s="21">
        <x:f t="shared" si="371"/>
        <x:v>4.8002399999999996</x:v>
      </x:c>
      <x:c r="AF372" s="21"/>
      <x:c r="AG372" s="19" t="s">
        <x:v>78</x:v>
      </x:c>
      <x:c r="AH372" t="s">
        <x:v>78</x:v>
      </x:c>
      <x:c r="AI372" t="s">
        <x:v>78</x:v>
      </x:c>
      <x:c r="AJ372" s="19"/>
      <x:c r="AK372" s="19" t="s">
        <x:v>78</x:v>
      </x:c>
      <x:c r="AL372" t="s">
        <x:v>78</x:v>
      </x:c>
      <x:c r="AM372" s="19" t="s">
        <x:v>78</x:v>
      </x:c>
      <x:c r="AN372" s="21"/>
      <x:c r="AO372" s="21"/>
      <x:c r="AP372" s="21"/>
      <x:c r="AQ372" s="21"/>
      <x:c r="AR372" s="21"/>
      <x:c r="AS372" s="21"/>
      <x:c r="AT372" s="21"/>
      <x:c r="AU372" s="21"/>
      <x:c r="AV372" s="21"/>
      <x:c r="AW372" t="s">
        <x:v>78</x:v>
      </x:c>
      <x:c r="AX372" s="19"/>
      <x:c r="AY372" s="21"/>
      <x:c r="AZ372" s="21"/>
      <x:c r="BA372" s="21"/>
      <x:c r="BB372" s="21"/>
      <x:c r="BC372" s="21"/>
      <x:c r="BD372" s="21"/>
      <x:c r="BE372" s="21"/>
      <x:c r="BF372" s="21"/>
      <x:c r="BG372" s="21"/>
      <x:c r="BH372" t="s">
        <x:v>79</x:v>
      </x:c>
      <x:c r="BI372" s="18">
        <x:v>113</x:v>
      </x:c>
      <x:c r="BJ372" s="18">
        <x:v>35</x:v>
      </x:c>
      <x:c r="BK372" s="18">
        <x:v>43</x:v>
      </x:c>
      <x:c r="BL372" s="18">
        <x:v>23</x:v>
      </x:c>
      <x:c r="BM372" s="18">
        <x:v>1</x:v>
      </x:c>
      <x:c r="BN372" s="18">
        <x:v>43</x:v>
      </x:c>
      <x:c r="BO372" s="22">
        <x:v>113.59527777777799</x:v>
      </x:c>
      <x:c r="BP372" s="22">
        <x:v>23.0286111111111</x:v>
      </x:c>
      <x:c r="BQ372" s="18">
        <x:v>80</x:v>
      </x:c>
      <x:c r="BR372" s="18">
        <x:v>59305.82</x:v>
      </x:c>
      <x:c r="BS372" s="18">
        <x:v>385.48200000000003</x:v>
      </x:c>
      <x:c r="BT372" s="18">
        <x:v>18.978000000000002</x:v>
      </x:c>
      <x:c r="BU372" s="18">
        <x:v>166.054</x:v>
      </x:c>
      <x:c r="BV372" s="18">
        <x:v>39.140999999999998</x:v>
      </x:c>
      <x:c r="BW372" s="18">
        <x:v>1749.4970000000001</x:v>
      </x:c>
      <x:c r="BX372" s="18">
        <x:v>4.2110000000000003</x:v>
      </x:c>
      <x:c r="BY372" s="18">
        <x:v>500.42500000000001</x:v>
      </x:c>
      <x:c r="BZ372" s="18">
        <x:v>500.42500000000001</x:v>
      </x:c>
      <x:c r="CA372" s="23">
        <x:f t="shared" si="315"/>
        <x:v>471.26356199999998</x:v>
      </x:c>
      <x:c r="CB372" s="23">
        <x:f t="shared" si="316"/>
        <x:v>1075.2537600000001</x:v>
      </x:c>
      <x:c r="CC372" s="23">
        <x:f t="shared" si="317"/>
        <x:v>240.012</x:v>
      </x:c>
      <x:c r="CD372" s="23">
        <x:f t="shared" si="318"/>
        <x:v>7532.4886056000005</x:v>
      </x:c>
      <x:c r="CE372" s="23">
        <x:f t="shared" si="319"/>
        <x:v>1818.1869048000003</x:v>
      </x:c>
      <x:c r="CF372" s="23">
        <x:f t="shared" si="320"/>
        <x:v>3.6363738096000007</x:v>
      </x:c>
      <x:c r="CG372" s="23">
        <x:f t="shared" si="321"/>
        <x:v>0</x:v>
      </x:c>
      <x:c r="CH372" s="23">
        <x:f t="shared" si="322"/>
        <x:v>4.8002399999999996</x:v>
      </x:c>
      <x:c r="CI372" s="23">
        <x:f t="shared" si="323"/>
        <x:v>0</x:v>
      </x:c>
      <x:c r="CJ372" s="24" t="s">
        <x:v>624</x:v>
      </x:c>
      <x:c r="CK372" s="25">
        <x:v>92.53</x:v>
      </x:c>
      <x:c r="CL372" s="26" t="s">
        <x:v>127</x:v>
      </x:c>
      <x:c r="CM372" s="26">
        <x:v>62.58</x:v>
      </x:c>
      <x:c r="CN372" s="27" t="s">
        <x:v>124</x:v>
      </x:c>
      <x:c r="CO372" s="27">
        <x:v>99.8</x:v>
      </x:c>
      <x:c r="CP372" s="27">
        <x:v>99.6</x:v>
      </x:c>
      <x:c r="CQ372" s="26">
        <x:f t="shared" si="324"/>
        <x:v>35.203388081399993</x:v>
      </x:c>
      <x:c r="CR372" s="26">
        <x:f t="shared" si="325"/>
        <x:v>402.35995699199998</x:v>
      </x:c>
      <x:c r="CS372" s="26">
        <x:f t="shared" si="327"/>
        <x:v>240.012</x:v>
      </x:c>
      <x:c r="CT372" s="26">
        <x:f t="shared" si="350"/>
        <x:v>15.064977211200015</x:v>
      </x:c>
      <x:c r="CU372" s="26">
        <x:f t="shared" si="351"/>
        <x:v>7.2727476192000076</x:v>
      </x:c>
      <x:c r="CV372" s="26">
        <x:f t="shared" si="352"/>
        <x:v>1.4545495238400015E-2</x:v>
      </x:c>
      <x:c r="CW372" s="26">
        <x:f t="shared" si="353"/>
        <x:v>0</x:v>
      </x:c>
      <x:c r="CX372" s="26">
        <x:f t="shared" si="328"/>
        <x:v>4.8002399999999996</x:v>
      </x:c>
      <x:c r="CY372" s="26">
        <x:f t="shared" si="329"/>
        <x:v>0</x:v>
      </x:c>
    </x:row>
    <x:row r="373">
      <x:c r="A373" s="18">
        <x:v>2022</x:v>
      </x:c>
      <x:c r="B373" t="s">
        <x:v>779</x:v>
      </x:c>
      <x:c r="C373" t="s">
        <x:v>780</x:v>
      </x:c>
      <x:c r="D373" t="s">
        <x:v>781</x:v>
      </x:c>
      <x:c r="E373" s="18">
        <x:v>441977</x:v>
      </x:c>
      <x:c r="F373" t="s">
        <x:v>782</x:v>
      </x:c>
      <x:c r="G373" s="8" t="s">
        <x:v>697</x:v>
      </x:c>
      <x:c r="H373" s="18">
        <x:v>2221</x:v>
      </x:c>
      <x:c r="I373" t="s">
        <x:v>158</x:v>
      </x:c>
      <x:c r="J373" t="s">
        <x:v>78</x:v>
      </x:c>
      <x:c r="K373" t="s">
        <x:v>109</x:v>
      </x:c>
      <x:c r="L373" s="20">
        <x:v>2.5</x:v>
      </x:c>
      <x:c r="M373" t="s">
        <x:v>125</x:v>
      </x:c>
      <x:c r="N373" s="18">
        <x:v>90</x:v>
      </x:c>
      <x:c r="O373" t="s">
        <x:v>88</x:v>
      </x:c>
      <x:c r="P373" s="18">
        <x:v>2</x:v>
      </x:c>
      <x:c r="Q373" s="19" t="s">
        <x:v>231</x:v>
      </x:c>
      <x:c r="R373" s="18">
        <x:v>170540</x:v>
      </x:c>
      <x:c r="S373" t="s">
        <x:v>112</x:v>
      </x:c>
      <x:c r="T373" s="19">
        <x:f t="shared" si="364"/>
        <x:v>170540</x:v>
      </x:c>
      <x:c r="U373" s="20">
        <x:v>0.23100000000000001</x:v>
      </x:c>
      <x:c r="V373" t="s">
        <x:v>113</x:v>
      </x:c>
      <x:c r="W373" s="20">
        <x:v>38.65</x:v>
      </x:c>
      <x:c r="X373" s="21">
        <x:f t="shared" si="365"/>
        <x:v>669.71057999999994</x:v>
      </x:c>
      <x:c r="Y373" s="21">
        <x:f t="shared" si="366"/>
        <x:v>1528.0384000000001</x:v>
      </x:c>
      <x:c r="Z373" s="21">
        <x:f t="shared" si="367"/>
        <x:v>341.08</x:v>
      </x:c>
      <x:c r="AA373" s="21">
        <x:f t="shared" si="368"/>
        <x:v>10704.386504000002</x:v>
      </x:c>
      <x:c r="AB373" s="21">
        <x:f t="shared" si="369"/>
        <x:v>2583.8174320000003</x:v>
      </x:c>
      <x:c r="AC373" s="21">
        <x:f t="shared" si="370"/>
        <x:v>5.1676348640000009</x:v>
      </x:c>
      <x:c r="AD373" s="21"/>
      <x:c r="AE373" s="21">
        <x:f t="shared" si="371"/>
        <x:v>6.8216000000000001</x:v>
      </x:c>
      <x:c r="AF373" s="21"/>
      <x:c r="AG373" s="19" t="s">
        <x:v>78</x:v>
      </x:c>
      <x:c r="AH373" t="s">
        <x:v>78</x:v>
      </x:c>
      <x:c r="AI373" t="s">
        <x:v>78</x:v>
      </x:c>
      <x:c r="AJ373" s="19"/>
      <x:c r="AK373" s="19" t="s">
        <x:v>78</x:v>
      </x:c>
      <x:c r="AL373" t="s">
        <x:v>78</x:v>
      </x:c>
      <x:c r="AM373" s="19" t="s">
        <x:v>78</x:v>
      </x:c>
      <x:c r="AN373" s="21"/>
      <x:c r="AO373" s="21"/>
      <x:c r="AP373" s="21"/>
      <x:c r="AQ373" s="21"/>
      <x:c r="AR373" s="21"/>
      <x:c r="AS373" s="21"/>
      <x:c r="AT373" s="21"/>
      <x:c r="AU373" s="21"/>
      <x:c r="AV373" s="21"/>
      <x:c r="AW373" t="s">
        <x:v>78</x:v>
      </x:c>
      <x:c r="AX373" s="19"/>
      <x:c r="AY373" s="21"/>
      <x:c r="AZ373" s="21"/>
      <x:c r="BA373" s="21"/>
      <x:c r="BB373" s="21"/>
      <x:c r="BC373" s="21"/>
      <x:c r="BD373" s="21"/>
      <x:c r="BE373" s="21"/>
      <x:c r="BF373" s="21"/>
      <x:c r="BG373" s="21"/>
      <x:c r="BH373" t="s">
        <x:v>79</x:v>
      </x:c>
      <x:c r="BI373" s="18">
        <x:v>113</x:v>
      </x:c>
      <x:c r="BJ373" s="18">
        <x:v>35</x:v>
      </x:c>
      <x:c r="BK373" s="18">
        <x:v>43</x:v>
      </x:c>
      <x:c r="BL373" s="18">
        <x:v>23</x:v>
      </x:c>
      <x:c r="BM373" s="18">
        <x:v>1</x:v>
      </x:c>
      <x:c r="BN373" s="18">
        <x:v>43</x:v>
      </x:c>
      <x:c r="BO373" s="22">
        <x:v>113.59527777777799</x:v>
      </x:c>
      <x:c r="BP373" s="22">
        <x:v>23.0286111111111</x:v>
      </x:c>
      <x:c r="BQ373" s="18">
        <x:v>80</x:v>
      </x:c>
      <x:c r="BR373" s="18">
        <x:v>83946.36</x:v>
      </x:c>
      <x:c r="BS373" s="18">
        <x:v>545.64599999999996</x:v>
      </x:c>
      <x:c r="BT373" s="18">
        <x:v>26.863</x:v>
      </x:c>
      <x:c r="BU373" s="18">
        <x:v>235.048</x:v>
      </x:c>
      <x:c r="BV373" s="18">
        <x:v>55.404000000000003</x:v>
      </x:c>
      <x:c r="BW373" s="18">
        <x:v>2476.3939999999998</x:v>
      </x:c>
      <x:c r="BX373" s="18">
        <x:v>5.96</x:v>
      </x:c>
      <x:c r="BY373" s="18">
        <x:v>711.15200000000004</x:v>
      </x:c>
      <x:c r="BZ373" s="18">
        <x:v>711.15200000000004</x:v>
      </x:c>
      <x:c r="CA373" s="23">
        <x:f t="shared" si="315"/>
        <x:v>669.71057999999994</x:v>
      </x:c>
      <x:c r="CB373" s="23">
        <x:f t="shared" si="316"/>
        <x:v>1528.0384000000001</x:v>
      </x:c>
      <x:c r="CC373" s="23">
        <x:f t="shared" si="317"/>
        <x:v>341.08</x:v>
      </x:c>
      <x:c r="CD373" s="23">
        <x:f t="shared" si="318"/>
        <x:v>10704.386504000002</x:v>
      </x:c>
      <x:c r="CE373" s="23">
        <x:f t="shared" si="319"/>
        <x:v>2583.8174320000003</x:v>
      </x:c>
      <x:c r="CF373" s="23">
        <x:f t="shared" si="320"/>
        <x:v>5.1676348640000009</x:v>
      </x:c>
      <x:c r="CG373" s="23">
        <x:f t="shared" si="321"/>
        <x:v>0</x:v>
      </x:c>
      <x:c r="CH373" s="23">
        <x:f t="shared" si="322"/>
        <x:v>6.8216000000000001</x:v>
      </x:c>
      <x:c r="CI373" s="23">
        <x:f t="shared" si="323"/>
        <x:v>0</x:v>
      </x:c>
      <x:c r="CJ373" s="24" t="s">
        <x:v>624</x:v>
      </x:c>
      <x:c r="CK373" s="25">
        <x:v>92.41</x:v>
      </x:c>
      <x:c r="CL373" s="26" t="s">
        <x:v>127</x:v>
      </x:c>
      <x:c r="CM373" s="26">
        <x:v>62.77</x:v>
      </x:c>
      <x:c r="CN373" s="27" t="s">
        <x:v>124</x:v>
      </x:c>
      <x:c r="CO373" s="27">
        <x:v>99.8</x:v>
      </x:c>
      <x:c r="CP373" s="27">
        <x:v>99.6</x:v>
      </x:c>
      <x:c r="CQ373" s="26">
        <x:f t="shared" si="324"/>
        <x:v>50.831033022000049</x:v>
      </x:c>
      <x:c r="CR373" s="26">
        <x:f t="shared" si="325"/>
        <x:v>568.88869632000001</x:v>
      </x:c>
      <x:c r="CS373" s="26">
        <x:f t="shared" si="327"/>
        <x:v>341.08</x:v>
      </x:c>
      <x:c r="CT373" s="26">
        <x:f t="shared" si="350"/>
        <x:v>21.408773008000022</x:v>
      </x:c>
      <x:c r="CU373" s="26">
        <x:f t="shared" si="351"/>
        <x:v>10.335269728000011</x:v>
      </x:c>
      <x:c r="CV373" s="26">
        <x:f t="shared" si="352"/>
        <x:v>2.0670539456000021E-2</x:v>
      </x:c>
      <x:c r="CW373" s="26">
        <x:f t="shared" si="353"/>
        <x:v>0</x:v>
      </x:c>
      <x:c r="CX373" s="26">
        <x:f t="shared" si="328"/>
        <x:v>6.8216000000000001</x:v>
      </x:c>
      <x:c r="CY373" s="26">
        <x:f t="shared" si="329"/>
        <x:v>0</x:v>
      </x:c>
    </x:row>
    <x:row r="374">
      <x:c r="A374" s="18">
        <x:v>2022</x:v>
      </x:c>
      <x:c r="B374" t="s">
        <x:v>783</x:v>
      </x:c>
      <x:c r="C374" t="s">
        <x:v>784</x:v>
      </x:c>
      <x:c r="D374" t="s">
        <x:v>785</x:v>
      </x:c>
      <x:c r="E374" s="18">
        <x:v>441977</x:v>
      </x:c>
      <x:c r="F374" t="s">
        <x:v>782</x:v>
      </x:c>
      <x:c r="G374" s="8" t="s">
        <x:v>697</x:v>
      </x:c>
      <x:c r="H374" s="18">
        <x:v>2221</x:v>
      </x:c>
      <x:c r="I374" t="s">
        <x:v>158</x:v>
      </x:c>
      <x:c r="J374" t="s">
        <x:v>78</x:v>
      </x:c>
      <x:c r="K374" t="s">
        <x:v>109</x:v>
      </x:c>
      <x:c r="L374" s="20">
        <x:v>0.7</x:v>
      </x:c>
      <x:c r="M374" t="s">
        <x:v>125</x:v>
      </x:c>
      <x:c r="N374" s="18">
        <x:v>50</x:v>
      </x:c>
      <x:c r="O374" t="s">
        <x:v>88</x:v>
      </x:c>
      <x:c r="P374" s="18">
        <x:v>5</x:v>
      </x:c>
      <x:c r="Q374" s="19" t="s">
        <x:v>238</x:v>
      </x:c>
      <x:c r="R374" s="18">
        <x:v>29990.603999999999</x:v>
      </x:c>
      <x:c r="S374" t="s">
        <x:v>112</x:v>
      </x:c>
      <x:c r="T374" s="19">
        <x:f t="shared" si="364"/>
        <x:v>29990.603999999999</x:v>
      </x:c>
      <x:c r="U374" s="20">
        <x:v>0.12</x:v>
      </x:c>
      <x:c r="V374" t="s">
        <x:v>113</x:v>
      </x:c>
      <x:c r="W374" s="20">
        <x:v>6.45</x:v>
      </x:c>
      <x:c r="X374" s="21">
        <x:f t="shared" si="365"/>
        <x:v>61.180832159999987</x:v>
      </x:c>
      <x:c r="Y374" s="21">
        <x:f t="shared" si="366"/>
        <x:v>268.71581184000001</x:v>
      </x:c>
      <x:c r="Z374" s="21">
        <x:f t="shared" si="367"/>
        <x:v>59.981207999999995</x:v>
      </x:c>
      <x:c r="AA374" s="21">
        <x:f t="shared" si="368"/>
        <x:v>314.14557877920004</x:v>
      </x:c>
      <x:c r="AB374" s="21">
        <x:f t="shared" si="369"/>
        <x:v>75.828243153600013</x:v>
      </x:c>
      <x:c r="AC374" s="21">
        <x:f t="shared" si="370"/>
        <x:v>0.15165648630720002</x:v>
      </x:c>
      <x:c r="AD374" s="21"/>
      <x:c r="AE374" s="21">
        <x:f t="shared" si="371"/>
        <x:v>1.1996241600000002</x:v>
      </x:c>
      <x:c r="AF374" s="21"/>
      <x:c r="AG374" s="19" t="s">
        <x:v>78</x:v>
      </x:c>
      <x:c r="AH374" t="s">
        <x:v>78</x:v>
      </x:c>
      <x:c r="AI374" t="s">
        <x:v>78</x:v>
      </x:c>
      <x:c r="AJ374" s="19"/>
      <x:c r="AK374" s="19" t="s">
        <x:v>78</x:v>
      </x:c>
      <x:c r="AL374" t="s">
        <x:v>78</x:v>
      </x:c>
      <x:c r="AM374" s="19" t="s">
        <x:v>78</x:v>
      </x:c>
      <x:c r="AN374" s="21"/>
      <x:c r="AO374" s="21"/>
      <x:c r="AP374" s="21"/>
      <x:c r="AQ374" s="21"/>
      <x:c r="AR374" s="21"/>
      <x:c r="AS374" s="21"/>
      <x:c r="AT374" s="21"/>
      <x:c r="AU374" s="21"/>
      <x:c r="AV374" s="21"/>
      <x:c r="AW374" t="s">
        <x:v>78</x:v>
      </x:c>
      <x:c r="AX374" s="19"/>
      <x:c r="AY374" s="21"/>
      <x:c r="AZ374" s="21"/>
      <x:c r="BA374" s="21"/>
      <x:c r="BB374" s="21"/>
      <x:c r="BC374" s="21"/>
      <x:c r="BD374" s="21"/>
      <x:c r="BE374" s="21"/>
      <x:c r="BF374" s="21"/>
      <x:c r="BG374" s="21"/>
      <x:c r="BH374" t="s">
        <x:v>81</x:v>
      </x:c>
      <x:c r="BI374" s="18">
        <x:v>113</x:v>
      </x:c>
      <x:c r="BJ374" s="18">
        <x:v>37</x:v>
      </x:c>
      <x:c r="BK374" s="18">
        <x:v>17.12</x:v>
      </x:c>
      <x:c r="BL374" s="18">
        <x:v>23</x:v>
      </x:c>
      <x:c r="BM374" s="18">
        <x:v>1</x:v>
      </x:c>
      <x:c r="BN374" s="18">
        <x:v>15.11</x:v>
      </x:c>
      <x:c r="BO374" s="22">
        <x:v>113.62142222222199</x:v>
      </x:c>
      <x:c r="BP374" s="22">
        <x:v>23.020863888888901</x:v>
      </x:c>
      <x:c r="BQ374" s="18">
        <x:v>85</x:v>
      </x:c>
      <x:c r="BR374" s="18">
        <x:v>17807.561000000002</x:v>
      </x:c>
      <x:c r="BS374" s="18">
        <x:v>36.103999999999999</x:v>
      </x:c>
      <x:c r="BT374" s="18">
        <x:v>0.47899999999999998</x:v>
      </x:c>
      <x:c r="BU374" s="18">
        <x:v>13.576000000000001</x:v>
      </x:c>
      <x:c r="BV374" s="18">
        <x:v>7.7009999999999996</x:v>
      </x:c>
      <x:c r="BW374" s="18">
        <x:v>28.166</x:v>
      </x:c>
      <x:c r="BX374" s="18">
        <x:v>1.069</x:v>
      </x:c>
      <x:c r="BY374" s="18">
        <x:v>242.624</x:v>
      </x:c>
      <x:c r="BZ374" s="18">
        <x:v>242.624</x:v>
      </x:c>
      <x:c r="CA374" s="23">
        <x:f t="shared" si="315"/>
        <x:v>61.180832159999987</x:v>
      </x:c>
      <x:c r="CB374" s="23">
        <x:f t="shared" si="316"/>
        <x:v>268.71581184000001</x:v>
      </x:c>
      <x:c r="CC374" s="23">
        <x:f t="shared" si="317"/>
        <x:v>59.981207999999995</x:v>
      </x:c>
      <x:c r="CD374" s="23">
        <x:f t="shared" si="318"/>
        <x:v>314.14557877920004</x:v>
      </x:c>
      <x:c r="CE374" s="23">
        <x:f t="shared" si="319"/>
        <x:v>75.828243153600013</x:v>
      </x:c>
      <x:c r="CF374" s="23">
        <x:f t="shared" si="320"/>
        <x:v>0.15165648630720002</x:v>
      </x:c>
      <x:c r="CG374" s="23">
        <x:f t="shared" si="321"/>
        <x:v>0</x:v>
      </x:c>
      <x:c r="CH374" s="23">
        <x:f t="shared" si="322"/>
        <x:v>1.1996241600000002</x:v>
      </x:c>
      <x:c r="CI374" s="23">
        <x:f t="shared" si="323"/>
        <x:v>0</x:v>
      </x:c>
      <x:c r="CJ374" s="24" t="s">
        <x:v>202</x:v>
      </x:c>
      <x:c r="CK374" s="25">
        <x:v>97.9</x:v>
      </x:c>
      <x:c r="CL374" s="26" t="s">
        <x:v>127</x:v>
      </x:c>
      <x:c r="CM374" s="26">
        <x:v>74.2</x:v>
      </x:c>
      <x:c r="CN374" s="27" t="s">
        <x:v>203</x:v>
      </x:c>
      <x:c r="CO374" s="27">
        <x:v>99.4</x:v>
      </x:c>
      <x:c r="CP374" s="27">
        <x:v>98.3</x:v>
      </x:c>
      <x:c r="CQ374" s="26">
        <x:f t="shared" si="324"/>
        <x:v>1.284797475359994</x:v>
      </x:c>
      <x:c r="CR374" s="26">
        <x:f t="shared" si="325"/>
        <x:v>69.328679454720003</x:v>
      </x:c>
      <x:c r="CS374" s="26">
        <x:f t="shared" si="327"/>
        <x:v>59.981207999999995</x:v>
      </x:c>
      <x:c r="CT374" s="26">
        <x:f t="shared" si="350"/>
        <x:v>1.884873472675167</x:v>
      </x:c>
      <x:c r="CU374" s="26">
        <x:f t="shared" si="351"/>
        <x:v>1.2890801336112014</x:v>
      </x:c>
      <x:c r="CV374" s="26">
        <x:f t="shared" si="352"/>
        <x:v>2.5781602672224025E-3</x:v>
      </x:c>
      <x:c r="CW374" s="26">
        <x:f t="shared" si="353"/>
        <x:v>0</x:v>
      </x:c>
      <x:c r="CX374" s="26">
        <x:f t="shared" si="328"/>
        <x:v>1.1996241600000002</x:v>
      </x:c>
      <x:c r="CY374" s="26">
        <x:f t="shared" si="329"/>
        <x:v>0</x:v>
      </x:c>
    </x:row>
    <x:row r="375">
      <x:c r="A375" s="18">
        <x:v>2022</x:v>
      </x:c>
      <x:c r="B375" t="s">
        <x:v>783</x:v>
      </x:c>
      <x:c r="C375" t="s">
        <x:v>784</x:v>
      </x:c>
      <x:c r="D375" t="s">
        <x:v>785</x:v>
      </x:c>
      <x:c r="E375" s="18">
        <x:v>441977</x:v>
      </x:c>
      <x:c r="F375" t="s">
        <x:v>782</x:v>
      </x:c>
      <x:c r="G375" s="8" t="s">
        <x:v>697</x:v>
      </x:c>
      <x:c r="H375" s="18">
        <x:v>2221</x:v>
      </x:c>
      <x:c r="I375" t="s">
        <x:v>158</x:v>
      </x:c>
      <x:c r="J375" t="s">
        <x:v>78</x:v>
      </x:c>
      <x:c r="K375" t="s">
        <x:v>109</x:v>
      </x:c>
      <x:c r="L375" s="20">
        <x:v>1.8</x:v>
      </x:c>
      <x:c r="M375" t="s">
        <x:v>125</x:v>
      </x:c>
      <x:c r="N375" s="18">
        <x:v>130</x:v>
      </x:c>
      <x:c r="O375" t="s">
        <x:v>88</x:v>
      </x:c>
      <x:c r="P375" s="18">
        <x:v>5</x:v>
      </x:c>
      <x:c r="Q375" s="19" t="s">
        <x:v>238</x:v>
      </x:c>
      <x:c r="R375" s="18">
        <x:v>85935.24</x:v>
      </x:c>
      <x:c r="S375" t="s">
        <x:v>112</x:v>
      </x:c>
      <x:c r="T375" s="19">
        <x:f t="shared" si="364"/>
        <x:v>85935.24</x:v>
      </x:c>
      <x:c r="U375" s="20">
        <x:v>0.12</x:v>
      </x:c>
      <x:c r="V375" t="s">
        <x:v>113</x:v>
      </x:c>
      <x:c r="W375" s="20">
        <x:v>6.45</x:v>
      </x:c>
      <x:c r="X375" s="21">
        <x:f t="shared" si="365"/>
        <x:v>175.30788959999998</x:v>
      </x:c>
      <x:c r="Y375" s="21">
        <x:f t="shared" si="366"/>
        <x:v>769.97975040000017</x:v>
      </x:c>
      <x:c r="Z375" s="21">
        <x:f t="shared" si="367"/>
        <x:v>171.87048000000001</x:v>
      </x:c>
      <x:c r="AA375" s="21">
        <x:f t="shared" si="368"/>
        <x:v>900.15445195200016</x:v>
      </x:c>
      <x:c r="AB375" s="21">
        <x:f t="shared" si="369"/>
        <x:v>217.27866081600007</x:v>
      </x:c>
      <x:c r="AC375" s="21">
        <x:f t="shared" si="370"/>
        <x:v>0.43455732163200017</x:v>
      </x:c>
      <x:c r="AD375" s="21"/>
      <x:c r="AE375" s="21">
        <x:f t="shared" si="371"/>
        <x:v>3.4374096000000005</x:v>
      </x:c>
      <x:c r="AF375" s="21"/>
      <x:c r="AG375" s="19" t="s">
        <x:v>78</x:v>
      </x:c>
      <x:c r="AH375" t="s">
        <x:v>78</x:v>
      </x:c>
      <x:c r="AI375" t="s">
        <x:v>78</x:v>
      </x:c>
      <x:c r="AJ375" s="19"/>
      <x:c r="AK375" s="19" t="s">
        <x:v>78</x:v>
      </x:c>
      <x:c r="AL375" t="s">
        <x:v>78</x:v>
      </x:c>
      <x:c r="AM375" s="19" t="s">
        <x:v>78</x:v>
      </x:c>
      <x:c r="AN375" s="21"/>
      <x:c r="AO375" s="21"/>
      <x:c r="AP375" s="21"/>
      <x:c r="AQ375" s="21"/>
      <x:c r="AR375" s="21"/>
      <x:c r="AS375" s="21"/>
      <x:c r="AT375" s="21"/>
      <x:c r="AU375" s="21"/>
      <x:c r="AV375" s="21"/>
      <x:c r="AW375" t="s">
        <x:v>78</x:v>
      </x:c>
      <x:c r="AX375" s="19"/>
      <x:c r="AY375" s="21"/>
      <x:c r="AZ375" s="21"/>
      <x:c r="BA375" s="21"/>
      <x:c r="BB375" s="21"/>
      <x:c r="BC375" s="21"/>
      <x:c r="BD375" s="21"/>
      <x:c r="BE375" s="21"/>
      <x:c r="BF375" s="21"/>
      <x:c r="BG375" s="21"/>
      <x:c r="BH375" t="s">
        <x:v>81</x:v>
      </x:c>
      <x:c r="BI375" s="18">
        <x:v>113</x:v>
      </x:c>
      <x:c r="BJ375" s="18">
        <x:v>37</x:v>
      </x:c>
      <x:c r="BK375" s="18">
        <x:v>17.12</x:v>
      </x:c>
      <x:c r="BL375" s="18">
        <x:v>23</x:v>
      </x:c>
      <x:c r="BM375" s="18">
        <x:v>1</x:v>
      </x:c>
      <x:c r="BN375" s="18">
        <x:v>15.11</x:v>
      </x:c>
      <x:c r="BO375" s="22">
        <x:v>113.62142222222199</x:v>
      </x:c>
      <x:c r="BP375" s="22">
        <x:v>23.020863888888901</x:v>
      </x:c>
      <x:c r="BQ375" s="18">
        <x:v>85</x:v>
      </x:c>
      <x:c r="BR375" s="18">
        <x:v>51025.881000000001</x:v>
      </x:c>
      <x:c r="BS375" s="18">
        <x:v>103.51300000000001</x:v>
      </x:c>
      <x:c r="BT375" s="18">
        <x:v>1.3740000000000001</x:v>
      </x:c>
      <x:c r="BU375" s="18">
        <x:v>38.923999999999999</x:v>
      </x:c>
      <x:c r="BV375" s="18">
        <x:v>22.074999999999999</x:v>
      </x:c>
      <x:c r="BW375" s="18">
        <x:v>80.754999999999995</x:v>
      </x:c>
      <x:c r="BX375" s="18">
        <x:v>3.0659999999999998</x:v>
      </x:c>
      <x:c r="BY375" s="18">
        <x:v>695.21600000000001</x:v>
      </x:c>
      <x:c r="BZ375" s="18">
        <x:v>695.21600000000001</x:v>
      </x:c>
      <x:c r="CA375" s="23">
        <x:f t="shared" si="315"/>
        <x:v>175.30788959999998</x:v>
      </x:c>
      <x:c r="CB375" s="23">
        <x:f t="shared" si="316"/>
        <x:v>769.97975040000017</x:v>
      </x:c>
      <x:c r="CC375" s="23">
        <x:f t="shared" si="317"/>
        <x:v>171.87048000000001</x:v>
      </x:c>
      <x:c r="CD375" s="23">
        <x:f t="shared" si="318"/>
        <x:v>900.15445195200016</x:v>
      </x:c>
      <x:c r="CE375" s="23">
        <x:f t="shared" si="319"/>
        <x:v>217.27866081600007</x:v>
      </x:c>
      <x:c r="CF375" s="23">
        <x:f t="shared" si="320"/>
        <x:v>0.43455732163200017</x:v>
      </x:c>
      <x:c r="CG375" s="23">
        <x:f t="shared" si="321"/>
        <x:v>0</x:v>
      </x:c>
      <x:c r="CH375" s="23">
        <x:f t="shared" si="322"/>
        <x:v>3.4374096000000005</x:v>
      </x:c>
      <x:c r="CI375" s="23">
        <x:f t="shared" si="323"/>
        <x:v>0</x:v>
      </x:c>
      <x:c r="CJ375" s="24" t="s">
        <x:v>202</x:v>
      </x:c>
      <x:c r="CK375" s="25">
        <x:v>97.9</x:v>
      </x:c>
      <x:c r="CL375" s="26" t="s">
        <x:v>127</x:v>
      </x:c>
      <x:c r="CM375" s="26">
        <x:v>74.2</x:v>
      </x:c>
      <x:c r="CN375" s="27" t="s">
        <x:v>203</x:v>
      </x:c>
      <x:c r="CO375" s="27">
        <x:v>99.4</x:v>
      </x:c>
      <x:c r="CP375" s="27">
        <x:v>98.3</x:v>
      </x:c>
      <x:c r="CQ375" s="26">
        <x:f t="shared" si="324"/>
        <x:v>3.6814656815999833</x:v>
      </x:c>
      <x:c r="CR375" s="26">
        <x:f t="shared" si="325"/>
        <x:v>198.65477560320005</x:v>
      </x:c>
      <x:c r="CS375" s="26">
        <x:f t="shared" si="327"/>
        <x:v>171.87048000000001</x:v>
      </x:c>
      <x:c r="CT375" s="26">
        <x:f t="shared" si="350"/>
        <x:v>5.4009267117119055</x:v>
      </x:c>
      <x:c r="CU375" s="26">
        <x:f t="shared" si="351"/>
        <x:v>3.6937372338720045</x:v>
      </x:c>
      <x:c r="CV375" s="26">
        <x:f t="shared" si="352"/>
        <x:v>7.3874744677440091E-3</x:v>
      </x:c>
      <x:c r="CW375" s="26">
        <x:f t="shared" si="353"/>
        <x:v>0</x:v>
      </x:c>
      <x:c r="CX375" s="26">
        <x:f t="shared" si="328"/>
        <x:v>3.4374096000000005</x:v>
      </x:c>
      <x:c r="CY375" s="26">
        <x:f t="shared" si="329"/>
        <x:v>0</x:v>
      </x:c>
    </x:row>
    <x:row r="376">
      <x:c r="A376" s="18">
        <x:v>2022</x:v>
      </x:c>
      <x:c r="B376" t="s">
        <x:v>783</x:v>
      </x:c>
      <x:c r="C376" t="s">
        <x:v>784</x:v>
      </x:c>
      <x:c r="D376" t="s">
        <x:v>785</x:v>
      </x:c>
      <x:c r="E376" s="18">
        <x:v>441977</x:v>
      </x:c>
      <x:c r="F376" t="s">
        <x:v>782</x:v>
      </x:c>
      <x:c r="G376" s="8" t="s">
        <x:v>697</x:v>
      </x:c>
      <x:c r="H376" s="18">
        <x:v>2221</x:v>
      </x:c>
      <x:c r="I376" t="s">
        <x:v>158</x:v>
      </x:c>
      <x:c r="J376" t="s">
        <x:v>78</x:v>
      </x:c>
      <x:c r="K376" t="s">
        <x:v>109</x:v>
      </x:c>
      <x:c r="L376" s="20">
        <x:v>1.5</x:v>
      </x:c>
      <x:c r="M376" t="s">
        <x:v>125</x:v>
      </x:c>
      <x:c r="N376" s="18">
        <x:v>50</x:v>
      </x:c>
      <x:c r="O376" t="s">
        <x:v>88</x:v>
      </x:c>
      <x:c r="P376" s="18">
        <x:v>5</x:v>
      </x:c>
      <x:c r="Q376" s="19" t="s">
        <x:v>238</x:v>
      </x:c>
      <x:c r="R376" s="18">
        <x:v>73790.39</x:v>
      </x:c>
      <x:c r="S376" t="s">
        <x:v>112</x:v>
      </x:c>
      <x:c r="T376" s="19">
        <x:f t="shared" si="364"/>
        <x:v>73790.39</x:v>
      </x:c>
      <x:c r="U376" s="20">
        <x:v>0.12</x:v>
      </x:c>
      <x:c r="V376" t="s">
        <x:v>113</x:v>
      </x:c>
      <x:c r="W376" s="20">
        <x:v>6.45</x:v>
      </x:c>
      <x:c r="X376" s="21">
        <x:f t="shared" si="365"/>
        <x:v>150.53239559999997</x:v>
      </x:c>
      <x:c r="Y376" s="21">
        <x:f t="shared" si="366"/>
        <x:v>661.16189440000005</x:v>
      </x:c>
      <x:c r="Z376" s="21">
        <x:f t="shared" si="367"/>
        <x:v>147.58078</x:v>
      </x:c>
      <x:c r="AA376" s="21">
        <x:f t="shared" si="368"/>
        <x:v>772.9395771720001</x:v>
      </x:c>
      <x:c r="AB376" s="21">
        <x:f t="shared" si="369"/>
        <x:v>186.57162207600004</x:v>
      </x:c>
      <x:c r="AC376" s="21">
        <x:f t="shared" si="370"/>
        <x:v>0.37314324415200006</x:v>
      </x:c>
      <x:c r="AD376" s="21"/>
      <x:c r="AE376" s="21">
        <x:f t="shared" si="371"/>
        <x:v>2.9516156000000002</x:v>
      </x:c>
      <x:c r="AF376" s="21"/>
      <x:c r="AG376" s="19" t="s">
        <x:v>78</x:v>
      </x:c>
      <x:c r="AH376" t="s">
        <x:v>78</x:v>
      </x:c>
      <x:c r="AI376" t="s">
        <x:v>78</x:v>
      </x:c>
      <x:c r="AJ376" s="19"/>
      <x:c r="AK376" s="19" t="s">
        <x:v>78</x:v>
      </x:c>
      <x:c r="AL376" t="s">
        <x:v>78</x:v>
      </x:c>
      <x:c r="AM376" s="19" t="s">
        <x:v>78</x:v>
      </x:c>
      <x:c r="AN376" s="21"/>
      <x:c r="AO376" s="21"/>
      <x:c r="AP376" s="21"/>
      <x:c r="AQ376" s="21"/>
      <x:c r="AR376" s="21"/>
      <x:c r="AS376" s="21"/>
      <x:c r="AT376" s="21"/>
      <x:c r="AU376" s="21"/>
      <x:c r="AV376" s="21"/>
      <x:c r="AW376" t="s">
        <x:v>78</x:v>
      </x:c>
      <x:c r="AX376" s="19"/>
      <x:c r="AY376" s="21"/>
      <x:c r="AZ376" s="21"/>
      <x:c r="BA376" s="21"/>
      <x:c r="BB376" s="21"/>
      <x:c r="BC376" s="21"/>
      <x:c r="BD376" s="21"/>
      <x:c r="BE376" s="21"/>
      <x:c r="BF376" s="21"/>
      <x:c r="BG376" s="21"/>
      <x:c r="BH376" t="s">
        <x:v>81</x:v>
      </x:c>
      <x:c r="BI376" s="18">
        <x:v>113</x:v>
      </x:c>
      <x:c r="BJ376" s="18">
        <x:v>37</x:v>
      </x:c>
      <x:c r="BK376" s="18">
        <x:v>17.12</x:v>
      </x:c>
      <x:c r="BL376" s="18">
        <x:v>23</x:v>
      </x:c>
      <x:c r="BM376" s="18">
        <x:v>1</x:v>
      </x:c>
      <x:c r="BN376" s="18">
        <x:v>15.11</x:v>
      </x:c>
      <x:c r="BO376" s="22">
        <x:v>113.62142222222199</x:v>
      </x:c>
      <x:c r="BP376" s="22">
        <x:v>23.020863888888901</x:v>
      </x:c>
      <x:c r="BQ376" s="18">
        <x:v>85</x:v>
      </x:c>
      <x:c r="BR376" s="18">
        <x:v>43814.616999999998</x:v>
      </x:c>
      <x:c r="BS376" s="18">
        <x:v>88.888999999999996</x:v>
      </x:c>
      <x:c r="BT376" s="18">
        <x:v>1.1839999999999999</x:v>
      </x:c>
      <x:c r="BU376" s="18">
        <x:v>33.424999999999997</x:v>
      </x:c>
      <x:c r="BV376" s="18">
        <x:v>19.175999999999998</x:v>
      </x:c>
      <x:c r="BW376" s="18">
        <x:v>69.344999999999999</x:v>
      </x:c>
      <x:c r="BX376" s="18">
        <x:v>2.669</x:v>
      </x:c>
      <x:c r="BY376" s="18">
        <x:v>596.96400000000006</x:v>
      </x:c>
      <x:c r="BZ376" s="18">
        <x:v>596.96400000000006</x:v>
      </x:c>
      <x:c r="CA376" s="23">
        <x:f t="shared" si="315"/>
        <x:v>150.53239559999997</x:v>
      </x:c>
      <x:c r="CB376" s="23">
        <x:f t="shared" si="316"/>
        <x:v>661.16189440000005</x:v>
      </x:c>
      <x:c r="CC376" s="23">
        <x:f t="shared" si="317"/>
        <x:v>147.58078</x:v>
      </x:c>
      <x:c r="CD376" s="23">
        <x:f t="shared" si="318"/>
        <x:v>772.9395771720001</x:v>
      </x:c>
      <x:c r="CE376" s="23">
        <x:f t="shared" si="319"/>
        <x:v>186.57162207600004</x:v>
      </x:c>
      <x:c r="CF376" s="23">
        <x:f t="shared" si="320"/>
        <x:v>0.37314324415200006</x:v>
      </x:c>
      <x:c r="CG376" s="23">
        <x:f t="shared" si="321"/>
        <x:v>0</x:v>
      </x:c>
      <x:c r="CH376" s="23">
        <x:f t="shared" si="322"/>
        <x:v>2.9516156000000002</x:v>
      </x:c>
      <x:c r="CI376" s="23">
        <x:f t="shared" si="323"/>
        <x:v>0</x:v>
      </x:c>
      <x:c r="CJ376" s="24" t="s">
        <x:v>202</x:v>
      </x:c>
      <x:c r="CK376" s="25">
        <x:v>97.9</x:v>
      </x:c>
      <x:c r="CL376" s="26" t="s">
        <x:v>127</x:v>
      </x:c>
      <x:c r="CM376" s="26">
        <x:v>74.2</x:v>
      </x:c>
      <x:c r="CN376" s="27" t="s">
        <x:v>203</x:v>
      </x:c>
      <x:c r="CO376" s="27">
        <x:v>99.4</x:v>
      </x:c>
      <x:c r="CP376" s="27">
        <x:v>98.3</x:v>
      </x:c>
      <x:c r="CQ376" s="26">
        <x:f t="shared" si="324"/>
        <x:v>3.1611803075999854</x:v>
      </x:c>
      <x:c r="CR376" s="26">
        <x:f t="shared" si="325"/>
        <x:v>170.57976875520001</x:v>
      </x:c>
      <x:c r="CS376" s="26">
        <x:f t="shared" si="327"/>
        <x:v>147.58078</x:v>
      </x:c>
      <x:c r="CT376" s="26">
        <x:f t="shared" si="350"/>
        <x:v>4.6376374630319193</x:v>
      </x:c>
      <x:c r="CU376" s="26">
        <x:f t="shared" si="351"/>
        <x:v>3.1717175752920035</x:v>
      </x:c>
      <x:c r="CV376" s="26">
        <x:f t="shared" si="352"/>
        <x:v>6.3434351505840068E-3</x:v>
      </x:c>
      <x:c r="CW376" s="26">
        <x:f t="shared" si="353"/>
        <x:v>0</x:v>
      </x:c>
      <x:c r="CX376" s="26">
        <x:f t="shared" si="328"/>
        <x:v>2.9516156000000002</x:v>
      </x:c>
      <x:c r="CY376" s="26">
        <x:f t="shared" si="329"/>
        <x:v>0</x:v>
      </x:c>
    </x:row>
    <x:row r="377">
      <x:c r="A377" s="18">
        <x:v>2022</x:v>
      </x:c>
      <x:c r="B377" t="s">
        <x:v>786</x:v>
      </x:c>
      <x:c r="C377" t="s">
        <x:v>787</x:v>
      </x:c>
      <x:c r="D377" t="s">
        <x:v>788</x:v>
      </x:c>
      <x:c r="E377" s="18">
        <x:v>441978</x:v>
      </x:c>
      <x:c r="F377" t="s">
        <x:v>789</x:v>
      </x:c>
      <x:c r="G377" s="8" t="s">
        <x:v>697</x:v>
      </x:c>
      <x:c r="H377" s="18">
        <x:v>4412</x:v>
      </x:c>
      <x:c r="I377" t="s">
        <x:v>108</x:v>
      </x:c>
      <x:c r="J377" t="s">
        <x:v>790</x:v>
      </x:c>
      <x:c r="K377" t="s">
        <x:v>109</x:v>
      </x:c>
      <x:c r="L377" s="20">
        <x:v>12.5</x:v>
      </x:c>
      <x:c r="M377" t="s">
        <x:v>125</x:v>
      </x:c>
      <x:c r="N377" s="18">
        <x:v>440</x:v>
      </x:c>
      <x:c r="O377" t="s">
        <x:v>88</x:v>
      </x:c>
      <x:c r="P377" s="18">
        <x:v>1</x:v>
      </x:c>
      <x:c r="Q377" s="19" t="s">
        <x:v>121</x:v>
      </x:c>
      <x:c r="R377" s="18">
        <x:v>459706</x:v>
      </x:c>
      <x:c r="S377" t="s">
        <x:v>112</x:v>
      </x:c>
      <x:c r="T377" s="19">
        <x:f t="shared" si="364"/>
        <x:v>459706</x:v>
      </x:c>
      <x:c r="U377" s="20">
        <x:v>0.48</x:v>
      </x:c>
      <x:c r="V377" t="s">
        <x:v>113</x:v>
      </x:c>
      <x:c r="W377" s="20">
        <x:v>26.35</x:v>
      </x:c>
      <x:c r="X377" s="21">
        <x:f t="shared" si="365"/>
        <x:v>3751.2009599999997</x:v>
      </x:c>
      <x:c r="Y377" s="21" t="n">
        <x:f>8.19*T377/1000</x:f>
        <x:v>3764.99214</x:v>
      </x:c>
      <x:c r="Z377" s="21">
        <x:f t="shared" si="367"/>
        <x:v>919.41200000000003</x:v>
      </x:c>
      <x:c r="AA377" s="21">
        <x:f t="shared" si="368"/>
        <x:v>19671.923034399999</x:v>
      </x:c>
      <x:c r="AB377" s="21">
        <x:f t="shared" si="369"/>
        <x:v>4748.3952152000011</x:v>
      </x:c>
      <x:c r="AC377" s="21">
        <x:f t="shared" si="370"/>
        <x:v>9.4967904304000026</x:v>
      </x:c>
      <x:c r="AD377" s="21"/>
      <x:c r="AE377" s="21">
        <x:f t="shared" si="371"/>
        <x:v>18.388240000000003</x:v>
      </x:c>
      <x:c r="AF377" s="21"/>
      <x:c r="AG377" s="19" t="s">
        <x:v>78</x:v>
      </x:c>
      <x:c r="AH377" t="s">
        <x:v>78</x:v>
      </x:c>
      <x:c r="AI377" t="s">
        <x:v>78</x:v>
      </x:c>
      <x:c r="AJ377" s="19"/>
      <x:c r="AK377" s="19" t="s">
        <x:v>78</x:v>
      </x:c>
      <x:c r="AL377" t="s">
        <x:v>78</x:v>
      </x:c>
      <x:c r="AM377" s="19" t="s">
        <x:v>78</x:v>
      </x:c>
      <x:c r="AN377" s="21"/>
      <x:c r="AO377" s="21"/>
      <x:c r="AP377" s="21"/>
      <x:c r="AQ377" s="21"/>
      <x:c r="AR377" s="21"/>
      <x:c r="AS377" s="21"/>
      <x:c r="AT377" s="21"/>
      <x:c r="AU377" s="21"/>
      <x:c r="AV377" s="21"/>
      <x:c r="AW377" t="s">
        <x:v>78</x:v>
      </x:c>
      <x:c r="AX377" s="19"/>
      <x:c r="AY377" s="21"/>
      <x:c r="AZ377" s="21"/>
      <x:c r="BA377" s="21"/>
      <x:c r="BB377" s="21"/>
      <x:c r="BC377" s="21"/>
      <x:c r="BD377" s="21"/>
      <x:c r="BE377" s="21"/>
      <x:c r="BF377" s="21"/>
      <x:c r="BG377" s="21"/>
      <x:c r="BH377" t="s">
        <x:v>81</x:v>
      </x:c>
      <x:c r="BI377" s="18">
        <x:v>113</x:v>
      </x:c>
      <x:c r="BJ377" s="18">
        <x:v>37</x:v>
      </x:c>
      <x:c r="BK377" s="18">
        <x:v>45</x:v>
      </x:c>
      <x:c r="BL377" s="18">
        <x:v>23</x:v>
      </x:c>
      <x:c r="BM377" s="18">
        <x:v>4</x:v>
      </x:c>
      <x:c r="BN377" s="18">
        <x:v>47</x:v>
      </x:c>
      <x:c r="BO377" s="22">
        <x:v>113.629166666667</x:v>
      </x:c>
      <x:c r="BP377" s="22">
        <x:v>23.079722222222198</x:v>
      </x:c>
      <x:c r="BQ377" s="18">
        <x:v>180</x:v>
      </x:c>
      <x:c r="BR377" s="18">
        <x:v>375266.44400000002</x:v>
      </x:c>
      <x:c r="BS377" s="18">
        <x:v>1120.9469999999999</x:v>
      </x:c>
      <x:c r="BT377" s="18">
        <x:v>151.584</x:v>
      </x:c>
      <x:c r="BU377" s="18">
        <x:v>464.303</x:v>
      </x:c>
      <x:c r="BV377" s="18">
        <x:v>139.291</x:v>
      </x:c>
      <x:c r="BW377" s="18">
        <x:v>93444.301000000007</x:v>
      </x:c>
      <x:c r="BX377" s="18">
        <x:v>39.555</x:v>
      </x:c>
      <x:c r="BY377" s="18">
        <x:v>6252.0020000000004</x:v>
      </x:c>
      <x:c r="BZ377" s="18">
        <x:v>6252.0020000000004</x:v>
      </x:c>
      <x:c r="CA377" s="23">
        <x:f t="shared" si="315"/>
        <x:v>3751.2009599999997</x:v>
      </x:c>
      <x:c r="CB377" s="23">
        <x:f t="shared" si="316"/>
        <x:v>3764.9921399999998</x:v>
      </x:c>
      <x:c r="CC377" s="23">
        <x:f t="shared" si="317"/>
        <x:v>919.41200000000003</x:v>
      </x:c>
      <x:c r="CD377" s="23">
        <x:f t="shared" si="318"/>
        <x:v>19671.923034399999</x:v>
      </x:c>
      <x:c r="CE377" s="23">
        <x:f t="shared" si="319"/>
        <x:v>4748.3952152000011</x:v>
      </x:c>
      <x:c r="CF377" s="23">
        <x:f t="shared" si="320"/>
        <x:v>9.4967904304000026</x:v>
      </x:c>
      <x:c r="CG377" s="23">
        <x:f t="shared" si="321"/>
        <x:v>0</x:v>
      </x:c>
      <x:c r="CH377" s="23">
        <x:f t="shared" si="322"/>
        <x:v>18.388240000000003</x:v>
      </x:c>
      <x:c r="CI377" s="23">
        <x:f t="shared" si="323"/>
        <x:v>0</x:v>
      </x:c>
      <x:c r="CJ377" s="24" t="s">
        <x:v>791</x:v>
      </x:c>
      <x:c r="CK377" s="29">
        <x:v>97.81</x:v>
      </x:c>
      <x:c r="CL377" s="26" t="s">
        <x:v>97</x:v>
      </x:c>
      <x:c r="CM377" s="28">
        <x:v>75</x:v>
      </x:c>
      <x:c r="CN377" s="30" t="s">
        <x:v>351</x:v>
      </x:c>
      <x:c r="CO377" s="27">
        <x:v>98.9</x:v>
      </x:c>
      <x:c r="CP377" s="27">
        <x:v>97</x:v>
      </x:c>
      <x:c r="CQ377" s="26">
        <x:f t="shared" si="324"/>
        <x:v>82.151301024000105</x:v>
      </x:c>
      <x:c r="CR377" s="26">
        <x:f t="shared" si="325"/>
        <x:v>941.24803499999996</x:v>
      </x:c>
      <x:c r="CS377" s="26">
        <x:f t="shared" si="327"/>
        <x:v>919.41200000000003</x:v>
      </x:c>
      <x:c r="CT377" s="26">
        <x:f t="shared" si="350"/>
        <x:v>216.391153378398</x:v>
      </x:c>
      <x:c r="CU377" s="26">
        <x:f t="shared" si="351"/>
        <x:v>142.45185645600017</x:v>
      </x:c>
      <x:c r="CV377" s="26">
        <x:f t="shared" si="352"/>
        <x:v>0.28490371291200034</x:v>
      </x:c>
      <x:c r="CW377" s="26">
        <x:f t="shared" si="353"/>
        <x:v>0</x:v>
      </x:c>
      <x:c r="CX377" s="26">
        <x:f t="shared" si="328"/>
        <x:v>18.388240000000003</x:v>
      </x:c>
      <x:c r="CY377" s="26">
        <x:f t="shared" si="329"/>
        <x:v>0</x:v>
      </x:c>
    </x:row>
    <x:row r="378">
      <x:c r="A378" s="18">
        <x:v>2022</x:v>
      </x:c>
      <x:c r="B378" t="s">
        <x:v>786</x:v>
      </x:c>
      <x:c r="C378" t="s">
        <x:v>787</x:v>
      </x:c>
      <x:c r="D378" t="s">
        <x:v>788</x:v>
      </x:c>
      <x:c r="E378" s="18">
        <x:v>441978</x:v>
      </x:c>
      <x:c r="F378" t="s">
        <x:v>789</x:v>
      </x:c>
      <x:c r="G378" s="8" t="s">
        <x:v>697</x:v>
      </x:c>
      <x:c r="H378" s="18">
        <x:v>4412</x:v>
      </x:c>
      <x:c r="I378" t="s">
        <x:v>108</x:v>
      </x:c>
      <x:c r="J378" t="s">
        <x:v>790</x:v>
      </x:c>
      <x:c r="K378" t="s">
        <x:v>109</x:v>
      </x:c>
      <x:c r="L378" s="20">
        <x:v>15</x:v>
      </x:c>
      <x:c r="M378" t="s">
        <x:v>125</x:v>
      </x:c>
      <x:c r="N378" s="18">
        <x:v>440</x:v>
      </x:c>
      <x:c r="O378" t="s">
        <x:v>88</x:v>
      </x:c>
      <x:c r="P378" s="18">
        <x:v>1</x:v>
      </x:c>
      <x:c r="Q378" s="19" t="s">
        <x:v>121</x:v>
      </x:c>
      <x:c r="R378" s="18">
        <x:v>21424</x:v>
      </x:c>
      <x:c r="S378" t="s">
        <x:v>112</x:v>
      </x:c>
      <x:c r="T378" s="19">
        <x:f t="shared" si="364"/>
        <x:v>21424</x:v>
      </x:c>
      <x:c r="U378" s="20">
        <x:v>0.48</x:v>
      </x:c>
      <x:c r="V378" t="s">
        <x:v>113</x:v>
      </x:c>
      <x:c r="W378" s="20">
        <x:v>26.35</x:v>
      </x:c>
      <x:c r="X378" s="21">
        <x:f t="shared" si="365"/>
        <x:v>174.81983999999997</x:v>
      </x:c>
      <x:c r="Y378" s="21" t="n">
        <x:f>8.19*T378/1000</x:f>
        <x:v>175.46256</x:v>
      </x:c>
      <x:c r="Z378" s="21">
        <x:f t="shared" si="367"/>
        <x:v>42.847999999999999</x:v>
      </x:c>
      <x:c r="AA378" s="21">
        <x:f t="shared" si="368"/>
        <x:v>916.78437759999997</x:v>
      </x:c>
      <x:c r="AB378" s="21">
        <x:f t="shared" si="369"/>
        <x:v>221.29278080000003</x:v>
      </x:c>
      <x:c r="AC378" s="21">
        <x:f t="shared" si="370"/>
        <x:v>0.44258556160000007</x:v>
      </x:c>
      <x:c r="AD378" s="21"/>
      <x:c r="AE378" s="21">
        <x:f t="shared" si="371"/>
        <x:v>0.85696000000000006</x:v>
      </x:c>
      <x:c r="AF378" s="21"/>
      <x:c r="AG378" s="19" t="s">
        <x:v>78</x:v>
      </x:c>
      <x:c r="AH378" t="s">
        <x:v>78</x:v>
      </x:c>
      <x:c r="AI378" t="s">
        <x:v>78</x:v>
      </x:c>
      <x:c r="AJ378" s="19"/>
      <x:c r="AK378" s="19" t="s">
        <x:v>78</x:v>
      </x:c>
      <x:c r="AL378" t="s">
        <x:v>78</x:v>
      </x:c>
      <x:c r="AM378" s="19" t="s">
        <x:v>78</x:v>
      </x:c>
      <x:c r="AN378" s="21"/>
      <x:c r="AO378" s="21"/>
      <x:c r="AP378" s="21"/>
      <x:c r="AQ378" s="21"/>
      <x:c r="AR378" s="21"/>
      <x:c r="AS378" s="21"/>
      <x:c r="AT378" s="21"/>
      <x:c r="AU378" s="21"/>
      <x:c r="AV378" s="21"/>
      <x:c r="AW378" t="s">
        <x:v>78</x:v>
      </x:c>
      <x:c r="AX378" s="19"/>
      <x:c r="AY378" s="21"/>
      <x:c r="AZ378" s="21"/>
      <x:c r="BA378" s="21"/>
      <x:c r="BB378" s="21"/>
      <x:c r="BC378" s="21"/>
      <x:c r="BD378" s="21"/>
      <x:c r="BE378" s="21"/>
      <x:c r="BF378" s="21"/>
      <x:c r="BG378" s="21"/>
      <x:c r="BH378" t="s">
        <x:v>92</x:v>
      </x:c>
      <x:c r="BI378" s="18">
        <x:v>113</x:v>
      </x:c>
      <x:c r="BJ378" s="18">
        <x:v>37</x:v>
      </x:c>
      <x:c r="BK378" s="18">
        <x:v>45</x:v>
      </x:c>
      <x:c r="BL378" s="18">
        <x:v>23</x:v>
      </x:c>
      <x:c r="BM378" s="18">
        <x:v>4</x:v>
      </x:c>
      <x:c r="BN378" s="18">
        <x:v>47</x:v>
      </x:c>
      <x:c r="BO378" s="22">
        <x:v>113.629166666667</x:v>
      </x:c>
      <x:c r="BP378" s="22">
        <x:v>23.079722222222198</x:v>
      </x:c>
      <x:c r="BQ378" s="18">
        <x:v>180</x:v>
      </x:c>
      <x:c r="BR378" s="18">
        <x:v>23047.078000000001</x:v>
      </x:c>
      <x:c r="BS378" s="18">
        <x:v>52.343000000000004</x:v>
      </x:c>
      <x:c r="BT378" s="18">
        <x:v>7.0780000000000003</x:v>
      </x:c>
      <x:c r="BU378" s="18">
        <x:v>24.852</x:v>
      </x:c>
      <x:c r="BV378" s="18">
        <x:v>8.6980000000000004</x:v>
      </x:c>
      <x:c r="BW378" s="18">
        <x:v>4321.7610000000004</x:v>
      </x:c>
      <x:c r="BX378" s="18">
        <x:v>1.829</x:v>
      </x:c>
      <x:c r="BY378" s="18">
        <x:v>291.36599999999999</x:v>
      </x:c>
      <x:c r="BZ378" s="18">
        <x:v>291.36599999999999</x:v>
      </x:c>
      <x:c r="CA378" s="23">
        <x:f t="shared" si="315"/>
        <x:v>174.81983999999997</x:v>
      </x:c>
      <x:c r="CB378" s="23">
        <x:f t="shared" si="316"/>
        <x:v>175.46256</x:v>
      </x:c>
      <x:c r="CC378" s="23">
        <x:f t="shared" si="317"/>
        <x:v>42.847999999999999</x:v>
      </x:c>
      <x:c r="CD378" s="23">
        <x:f t="shared" si="318"/>
        <x:v>916.78437759999997</x:v>
      </x:c>
      <x:c r="CE378" s="23">
        <x:f t="shared" si="319"/>
        <x:v>221.29278080000003</x:v>
      </x:c>
      <x:c r="CF378" s="23">
        <x:f t="shared" si="320"/>
        <x:v>0.44258556160000007</x:v>
      </x:c>
      <x:c r="CG378" s="23">
        <x:f t="shared" si="321"/>
        <x:v>0</x:v>
      </x:c>
      <x:c r="CH378" s="23">
        <x:f t="shared" si="322"/>
        <x:v>0.85696000000000006</x:v>
      </x:c>
      <x:c r="CI378" s="23">
        <x:f t="shared" si="323"/>
        <x:v>0</x:v>
      </x:c>
      <x:c r="CJ378" s="24" t="s">
        <x:v>791</x:v>
      </x:c>
      <x:c r="CK378" s="29">
        <x:v>97.81</x:v>
      </x:c>
      <x:c r="CL378" s="26" t="s">
        <x:v>97</x:v>
      </x:c>
      <x:c r="CM378" s="28">
        <x:v>75</x:v>
      </x:c>
      <x:c r="CN378" s="30" t="s">
        <x:v>351</x:v>
      </x:c>
      <x:c r="CO378" s="27">
        <x:v>98.9</x:v>
      </x:c>
      <x:c r="CP378" s="27">
        <x:v>97</x:v>
      </x:c>
      <x:c r="CQ378" s="26">
        <x:f t="shared" si="324"/>
        <x:v>3.8285544960000046</x:v>
      </x:c>
      <x:c r="CR378" s="26">
        <x:f t="shared" si="325"/>
        <x:v>43.865639999999999</x:v>
      </x:c>
      <x:c r="CS378" s="26">
        <x:f t="shared" si="327"/>
        <x:v>42.847999999999999</x:v>
      </x:c>
      <x:c r="CT378" s="26">
        <x:f t="shared" si="350"/>
        <x:v>10.084628153599906</x:v>
      </x:c>
      <x:c r="CU378" s="26">
        <x:f t="shared" si="351"/>
        <x:v>6.6387834240000068</x:v>
      </x:c>
      <x:c r="CV378" s="26">
        <x:f t="shared" si="352"/>
        <x:v>1.3277566848000013E-2</x:v>
      </x:c>
      <x:c r="CW378" s="26">
        <x:f t="shared" si="353"/>
        <x:v>0</x:v>
      </x:c>
      <x:c r="CX378" s="26">
        <x:f t="shared" si="328"/>
        <x:v>0.85696000000000006</x:v>
      </x:c>
      <x:c r="CY378" s="26">
        <x:f t="shared" si="329"/>
        <x:v>0</x:v>
      </x:c>
    </x:row>
    <x:row r="379">
      <x:c r="A379" s="18">
        <x:v>2022</x:v>
      </x:c>
      <x:c r="B379" t="s">
        <x:v>786</x:v>
      </x:c>
      <x:c r="C379" t="s">
        <x:v>787</x:v>
      </x:c>
      <x:c r="D379" t="s">
        <x:v>788</x:v>
      </x:c>
      <x:c r="E379" s="18">
        <x:v>441978</x:v>
      </x:c>
      <x:c r="F379" t="s">
        <x:v>789</x:v>
      </x:c>
      <x:c r="G379" s="8" t="s">
        <x:v>697</x:v>
      </x:c>
      <x:c r="H379" s="18">
        <x:v>4412</x:v>
      </x:c>
      <x:c r="I379" t="s">
        <x:v>108</x:v>
      </x:c>
      <x:c r="J379" t="s">
        <x:v>790</x:v>
      </x:c>
      <x:c r="K379" t="s">
        <x:v>109</x:v>
      </x:c>
      <x:c r="L379" s="20">
        <x:v>2.5</x:v>
      </x:c>
      <x:c r="M379" t="s">
        <x:v>125</x:v>
      </x:c>
      <x:c r="N379" s="18">
        <x:v>220</x:v>
      </x:c>
      <x:c r="O379" t="s">
        <x:v>88</x:v>
      </x:c>
      <x:c r="P379" s="18">
        <x:v>1</x:v>
      </x:c>
      <x:c r="Q379" s="19" t="s">
        <x:v>121</x:v>
      </x:c>
      <x:c r="R379" s="18">
        <x:v>125408</x:v>
      </x:c>
      <x:c r="S379" t="s">
        <x:v>112</x:v>
      </x:c>
      <x:c r="T379" s="19">
        <x:f t="shared" si="364"/>
        <x:v>125408</x:v>
      </x:c>
      <x:c r="U379" s="20">
        <x:v>0.48</x:v>
      </x:c>
      <x:c r="V379" t="s">
        <x:v>113</x:v>
      </x:c>
      <x:c r="W379" s="20">
        <x:v>26.35</x:v>
      </x:c>
      <x:c r="X379" s="21">
        <x:f t="shared" si="365"/>
        <x:v>1023.3292799999998</x:v>
      </x:c>
      <x:c r="Y379" s="21" t="n">
        <x:f>8.96*T379/1000</x:f>
        <x:v>1123.65568</x:v>
      </x:c>
      <x:c r="Z379" s="21">
        <x:f t="shared" si="367"/>
        <x:v>250.816</x:v>
      </x:c>
      <x:c r="AA379" s="21">
        <x:f t="shared" si="368"/>
        <x:v>5366.5092992</x:v>
      </x:c>
      <x:c r="AB379" s="21">
        <x:f t="shared" si="369"/>
        <x:v>1295.3643136000003</x:v>
      </x:c>
      <x:c r="AC379" s="21">
        <x:f t="shared" si="370"/>
        <x:v>2.5907286272000007</x:v>
      </x:c>
      <x:c r="AD379" s="21"/>
      <x:c r="AE379" s="21">
        <x:f t="shared" si="371"/>
        <x:v>5.0163199999999994</x:v>
      </x:c>
      <x:c r="AF379" s="21"/>
      <x:c r="AG379" s="19" t="s">
        <x:v>78</x:v>
      </x:c>
      <x:c r="AH379" t="s">
        <x:v>78</x:v>
      </x:c>
      <x:c r="AI379" t="s">
        <x:v>78</x:v>
      </x:c>
      <x:c r="AJ379" s="19"/>
      <x:c r="AK379" s="19" t="s">
        <x:v>78</x:v>
      </x:c>
      <x:c r="AL379" t="s">
        <x:v>78</x:v>
      </x:c>
      <x:c r="AM379" s="19" t="s">
        <x:v>78</x:v>
      </x:c>
      <x:c r="AN379" s="21"/>
      <x:c r="AO379" s="21"/>
      <x:c r="AP379" s="21"/>
      <x:c r="AQ379" s="21"/>
      <x:c r="AR379" s="21"/>
      <x:c r="AS379" s="21"/>
      <x:c r="AT379" s="21"/>
      <x:c r="AU379" s="21"/>
      <x:c r="AV379" s="21"/>
      <x:c r="AW379" t="s">
        <x:v>78</x:v>
      </x:c>
      <x:c r="AX379" s="19"/>
      <x:c r="AY379" s="21"/>
      <x:c r="AZ379" s="21"/>
      <x:c r="BA379" s="21"/>
      <x:c r="BB379" s="21"/>
      <x:c r="BC379" s="21"/>
      <x:c r="BD379" s="21"/>
      <x:c r="BE379" s="21"/>
      <x:c r="BF379" s="21"/>
      <x:c r="BG379" s="21"/>
      <x:c r="BH379" t="s">
        <x:v>82</x:v>
      </x:c>
      <x:c r="BI379" s="18">
        <x:v>113</x:v>
      </x:c>
      <x:c r="BJ379" s="18">
        <x:v>37</x:v>
      </x:c>
      <x:c r="BK379" s="18">
        <x:v>45</x:v>
      </x:c>
      <x:c r="BL379" s="18">
        <x:v>23</x:v>
      </x:c>
      <x:c r="BM379" s="18">
        <x:v>4</x:v>
      </x:c>
      <x:c r="BN379" s="18">
        <x:v>47</x:v>
      </x:c>
      <x:c r="BO379" s="22">
        <x:v>113.629166666667</x:v>
      </x:c>
      <x:c r="BP379" s="22">
        <x:v>23.079722222222198</x:v>
      </x:c>
      <x:c r="BQ379" s="18">
        <x:v>120</x:v>
      </x:c>
      <x:c r="BR379" s="18">
        <x:v>161443.913</x:v>
      </x:c>
      <x:c r="BS379" s="18">
        <x:v>361.351</x:v>
      </x:c>
      <x:c r="BT379" s="18">
        <x:v>48.220999999999997</x:v>
      </x:c>
      <x:c r="BU379" s="18">
        <x:v>150.49</x:v>
      </x:c>
      <x:c r="BV379" s="18">
        <x:v>45.146999999999998</x:v>
      </x:c>
      <x:c r="BW379" s="18">
        <x:v>25523.813999999998</x:v>
      </x:c>
      <x:c r="BX379" s="18">
        <x:v>11.824999999999999</x:v>
      </x:c>
      <x:c r="BY379" s="18">
        <x:v>1705.549</x:v>
      </x:c>
      <x:c r="BZ379" s="18">
        <x:v>1705.549</x:v>
      </x:c>
      <x:c r="CA379" s="23">
        <x:f t="shared" si="315"/>
        <x:v>1023.3292799999998</x:v>
      </x:c>
      <x:c r="CB379" s="23">
        <x:f t="shared" si="316"/>
        <x:v>1123.6556800000001</x:v>
      </x:c>
      <x:c r="CC379" s="23">
        <x:f t="shared" si="317"/>
        <x:v>250.816</x:v>
      </x:c>
      <x:c r="CD379" s="23">
        <x:f t="shared" si="318"/>
        <x:v>5366.5092992</x:v>
      </x:c>
      <x:c r="CE379" s="23">
        <x:f t="shared" si="319"/>
        <x:v>1295.3643136000003</x:v>
      </x:c>
      <x:c r="CF379" s="23">
        <x:f t="shared" si="320"/>
        <x:v>2.5907286272000007</x:v>
      </x:c>
      <x:c r="CG379" s="23">
        <x:f t="shared" si="321"/>
        <x:v>0</x:v>
      </x:c>
      <x:c r="CH379" s="23">
        <x:f t="shared" si="322"/>
        <x:v>5.0163199999999994</x:v>
      </x:c>
      <x:c r="CI379" s="23">
        <x:f t="shared" si="323"/>
        <x:v>0</x:v>
      </x:c>
      <x:c r="CJ379" s="24" t="s">
        <x:v>791</x:v>
      </x:c>
      <x:c r="CK379" s="29">
        <x:v>97.81</x:v>
      </x:c>
      <x:c r="CL379" s="26" t="s">
        <x:v>97</x:v>
      </x:c>
      <x:c r="CM379" s="28">
        <x:v>75</x:v>
      </x:c>
      <x:c r="CN379" s="30" t="s">
        <x:v>351</x:v>
      </x:c>
      <x:c r="CO379" s="27">
        <x:v>98.9</x:v>
      </x:c>
      <x:c r="CP379" s="27">
        <x:v>97</x:v>
      </x:c>
      <x:c r="CQ379" s="26">
        <x:f t="shared" si="324"/>
        <x:v>22.410911232000029</x:v>
      </x:c>
      <x:c r="CR379" s="26">
        <x:f t="shared" si="325"/>
        <x:v>280.91392000000002</x:v>
      </x:c>
      <x:c r="CS379" s="26">
        <x:f t="shared" si="327"/>
        <x:v>250.816</x:v>
      </x:c>
      <x:c r="CT379" s="26">
        <x:f t="shared" si="350"/>
        <x:v>59.031602291199455</x:v>
      </x:c>
      <x:c r="CU379" s="26">
        <x:f t="shared" si="351"/>
        <x:v>38.86092940800004</x:v>
      </x:c>
      <x:c r="CV379" s="26">
        <x:f t="shared" si="352"/>
        <x:v>7.7721858816000092E-2</x:v>
      </x:c>
      <x:c r="CW379" s="26">
        <x:f t="shared" si="353"/>
        <x:v>0</x:v>
      </x:c>
      <x:c r="CX379" s="26">
        <x:f t="shared" si="328"/>
        <x:v>5.0163199999999994</x:v>
      </x:c>
      <x:c r="CY379" s="26">
        <x:f t="shared" si="329"/>
        <x:v>0</x:v>
      </x:c>
    </x:row>
    <x:row r="380">
      <x:c r="A380" s="18">
        <x:v>2022</x:v>
      </x:c>
      <x:c r="B380" t="s">
        <x:v>792</x:v>
      </x:c>
      <x:c r="C380" t="s">
        <x:v>793</x:v>
      </x:c>
      <x:c r="D380" t="s">
        <x:v>794</x:v>
      </x:c>
      <x:c r="E380" s="18">
        <x:v>441978</x:v>
      </x:c>
      <x:c r="F380" t="s">
        <x:v>789</x:v>
      </x:c>
      <x:c r="G380" s="8" t="s">
        <x:v>697</x:v>
      </x:c>
      <x:c r="H380" s="18">
        <x:v>2221</x:v>
      </x:c>
      <x:c r="I380" t="s">
        <x:v>158</x:v>
      </x:c>
      <x:c r="J380" t="s">
        <x:v>78</x:v>
      </x:c>
      <x:c r="K380" t="s">
        <x:v>109</x:v>
      </x:c>
      <x:c r="L380" s="20">
        <x:v>3.3</x:v>
      </x:c>
      <x:c r="M380" t="s">
        <x:v>125</x:v>
      </x:c>
      <x:c r="N380" s="18">
        <x:v>120</x:v>
      </x:c>
      <x:c r="O380" t="s">
        <x:v>74</x:v>
      </x:c>
      <x:c r="P380" s="18">
        <x:v>4</x:v>
      </x:c>
      <x:c r="Q380" s="19" t="s">
        <x:v>111</x:v>
      </x:c>
      <x:c r="R380" s="18">
        <x:v>54768.79</x:v>
      </x:c>
      <x:c r="S380" t="s">
        <x:v>112</x:v>
      </x:c>
      <x:c r="T380" s="19">
        <x:f t="shared" si="364"/>
        <x:v>54768.79</x:v>
      </x:c>
      <x:c r="U380" s="20">
        <x:v>0.73</x:v>
      </x:c>
      <x:c r="V380" t="s">
        <x:v>113</x:v>
      </x:c>
      <x:c r="W380" s="20">
        <x:v>20.36</x:v>
      </x:c>
      <x:c r="X380" s="21">
        <x:f t="shared" si="365"/>
        <x:v>679.68068389999996</x:v>
      </x:c>
      <x:c r="Y380" s="21" t="n">
        <x:f>8.96*T380/1000</x:f>
        <x:v>490.72835840000005</x:v>
      </x:c>
      <x:c r="Z380" s="21">
        <x:f t="shared" si="367"/>
        <x:v>109.53758000000001</x:v>
      </x:c>
      <x:c r="AA380" s="21">
        <x:f t="shared" si="368"/>
        <x:v>1810.9103245855999</x:v>
      </x:c>
      <x:c r="AB380" s="21">
        <x:f t="shared" si="369"/>
        <x:v>437.11628524480005</x:v>
      </x:c>
      <x:c r="AC380" s="21">
        <x:f t="shared" si="370"/>
        <x:v>0.87423257048960012</x:v>
      </x:c>
      <x:c r="AD380" s="21"/>
      <x:c r="AE380" s="21">
        <x:f t="shared" si="371"/>
        <x:v>2.1907516</x:v>
      </x:c>
      <x:c r="AF380" s="21"/>
      <x:c r="AG380" s="19" t="s">
        <x:v>78</x:v>
      </x:c>
      <x:c r="AH380" t="s">
        <x:v>78</x:v>
      </x:c>
      <x:c r="AI380" t="s">
        <x:v>78</x:v>
      </x:c>
      <x:c r="AJ380" s="19"/>
      <x:c r="AK380" s="19" t="s">
        <x:v>78</x:v>
      </x:c>
      <x:c r="AL380" t="s">
        <x:v>78</x:v>
      </x:c>
      <x:c r="AM380" s="19" t="s">
        <x:v>78</x:v>
      </x:c>
      <x:c r="AN380" s="21"/>
      <x:c r="AO380" s="21"/>
      <x:c r="AP380" s="21"/>
      <x:c r="AQ380" s="21"/>
      <x:c r="AR380" s="21"/>
      <x:c r="AS380" s="21"/>
      <x:c r="AT380" s="21"/>
      <x:c r="AU380" s="21"/>
      <x:c r="AV380" s="21"/>
      <x:c r="AW380" t="s">
        <x:v>78</x:v>
      </x:c>
      <x:c r="AX380" s="19"/>
      <x:c r="AY380" s="21"/>
      <x:c r="AZ380" s="21"/>
      <x:c r="BA380" s="21"/>
      <x:c r="BB380" s="21"/>
      <x:c r="BC380" s="21"/>
      <x:c r="BD380" s="21"/>
      <x:c r="BE380" s="21"/>
      <x:c r="BF380" s="21"/>
      <x:c r="BG380" s="21"/>
      <x:c r="BH380" t="s">
        <x:v>81</x:v>
      </x:c>
      <x:c r="BI380" s="18">
        <x:v>113</x:v>
      </x:c>
      <x:c r="BJ380" s="18">
        <x:v>43</x:v>
      </x:c>
      <x:c r="BK380" s="18">
        <x:v>30.54</x:v>
      </x:c>
      <x:c r="BL380" s="18">
        <x:v>23</x:v>
      </x:c>
      <x:c r="BM380" s="18">
        <x:v>8</x:v>
      </x:c>
      <x:c r="BN380" s="18">
        <x:v>21.77</x:v>
      </x:c>
      <x:c r="BO380" s="22">
        <x:v>113.72515</x:v>
      </x:c>
      <x:c r="BP380" s="22">
        <x:v>23.139380555555601</x:v>
      </x:c>
      <x:c r="BQ380" s="18">
        <x:v>150</x:v>
      </x:c>
      <x:c r="BR380" s="18">
        <x:v>97694.687999999995</x:v>
      </x:c>
      <x:c r="BS380" s="18">
        <x:v>237.636</x:v>
      </x:c>
      <x:c r="BT380" s="18">
        <x:v>23.251000000000001</x:v>
      </x:c>
      <x:c r="BU380" s="18">
        <x:v>65.722999999999999</x:v>
      </x:c>
      <x:c r="BV380" s="18">
        <x:v>32.860999999999997</x:v>
      </x:c>
      <x:c r="BW380" s="18">
        <x:v>9928.1689999999999</x:v>
      </x:c>
      <x:c r="BX380" s="18">
        <x:v>13.045999999999999</x:v>
      </x:c>
      <x:c r="BY380" s="18">
        <x:v>1566.3869999999999</x:v>
      </x:c>
      <x:c r="BZ380" s="18">
        <x:v>1566.3869999999999</x:v>
      </x:c>
      <x:c r="CA380" s="23">
        <x:f t="shared" si="315"/>
        <x:v>679.68068389999996</x:v>
      </x:c>
      <x:c r="CB380" s="23">
        <x:f t="shared" si="316"/>
        <x:v>490.72835840000005</x:v>
      </x:c>
      <x:c r="CC380" s="23">
        <x:f t="shared" si="317"/>
        <x:v>109.53758000000001</x:v>
      </x:c>
      <x:c r="CD380" s="23">
        <x:f t="shared" si="318"/>
        <x:v>1810.9103245855999</x:v>
      </x:c>
      <x:c r="CE380" s="23">
        <x:f t="shared" si="319"/>
        <x:v>437.11628524480005</x:v>
      </x:c>
      <x:c r="CF380" s="23">
        <x:f t="shared" si="320"/>
        <x:v>0.87423257048960012</x:v>
      </x:c>
      <x:c r="CG380" s="23">
        <x:f t="shared" si="321"/>
        <x:v>0</x:v>
      </x:c>
      <x:c r="CH380" s="23">
        <x:f t="shared" si="322"/>
        <x:v>2.1907516</x:v>
      </x:c>
      <x:c r="CI380" s="23">
        <x:f t="shared" si="323"/>
        <x:v>0</x:v>
      </x:c>
      <x:c r="CJ380" s="24" t="s">
        <x:v>153</x:v>
      </x:c>
      <x:c r="CK380" s="29">
        <x:v>99.5</x:v>
      </x:c>
      <x:c r="CL380" s="26" t="s">
        <x:v>795</x:v>
      </x:c>
      <x:c r="CM380" s="28">
        <x:v>50</x:v>
      </x:c>
      <x:c r="CN380" s="30" t="s">
        <x:v>154</x:v>
      </x:c>
      <x:c r="CO380" s="27">
        <x:v>99.8</x:v>
      </x:c>
      <x:c r="CP380" s="27">
        <x:v>99.6</x:v>
      </x:c>
      <x:c r="CQ380" s="26">
        <x:f t="shared" si="324"/>
        <x:v>3.3984034195000028</x:v>
      </x:c>
      <x:c r="CR380" s="26">
        <x:f t="shared" si="325"/>
        <x:v>245.36417920000002</x:v>
      </x:c>
      <x:c r="CS380" s="26">
        <x:f t="shared" si="327"/>
        <x:v>109.53758000000001</x:v>
      </x:c>
      <x:c r="CT380" s="26">
        <x:f t="shared" si="350"/>
        <x:v>3.6218206491712031</x:v>
      </x:c>
      <x:c r="CU380" s="26">
        <x:f t="shared" si="351"/>
        <x:v>1.7484651409792018</x:v>
      </x:c>
      <x:c r="CV380" s="26">
        <x:f t="shared" si="352"/>
        <x:v>3.4969302819584038E-3</x:v>
      </x:c>
      <x:c r="CW380" s="26">
        <x:f t="shared" si="353"/>
        <x:v>0</x:v>
      </x:c>
      <x:c r="CX380" s="26">
        <x:f t="shared" si="328"/>
        <x:v>2.1907516</x:v>
      </x:c>
      <x:c r="CY380" s="26">
        <x:f t="shared" si="329"/>
        <x:v>0</x:v>
      </x:c>
    </x:row>
    <x:row r="381">
      <x:c r="A381" s="18">
        <x:v>2022</x:v>
      </x:c>
      <x:c r="B381" t="s">
        <x:v>792</x:v>
      </x:c>
      <x:c r="C381" t="s">
        <x:v>793</x:v>
      </x:c>
      <x:c r="D381" t="s">
        <x:v>794</x:v>
      </x:c>
      <x:c r="E381" s="18">
        <x:v>441978</x:v>
      </x:c>
      <x:c r="F381" t="s">
        <x:v>789</x:v>
      </x:c>
      <x:c r="G381" s="8" t="s">
        <x:v>697</x:v>
      </x:c>
      <x:c r="H381" s="18">
        <x:v>2221</x:v>
      </x:c>
      <x:c r="I381" t="s">
        <x:v>158</x:v>
      </x:c>
      <x:c r="J381" t="s">
        <x:v>78</x:v>
      </x:c>
      <x:c r="K381" t="s">
        <x:v>109</x:v>
      </x:c>
      <x:c r="L381" s="20">
        <x:v>3.3</x:v>
      </x:c>
      <x:c r="M381" t="s">
        <x:v>125</x:v>
      </x:c>
      <x:c r="N381" s="18">
        <x:v>220</x:v>
      </x:c>
      <x:c r="O381" t="s">
        <x:v>74</x:v>
      </x:c>
      <x:c r="P381" s="18">
        <x:v>4</x:v>
      </x:c>
      <x:c r="Q381" s="19" t="s">
        <x:v>111</x:v>
      </x:c>
      <x:c r="R381" s="18">
        <x:v>92135.59</x:v>
      </x:c>
      <x:c r="S381" t="s">
        <x:v>112</x:v>
      </x:c>
      <x:c r="T381" s="19">
        <x:f t="shared" si="364"/>
        <x:v>92135.59</x:v>
      </x:c>
      <x:c r="U381" s="20">
        <x:v>0.73</x:v>
      </x:c>
      <x:c r="V381" t="s">
        <x:v>113</x:v>
      </x:c>
      <x:c r="W381" s="20">
        <x:v>20.36</x:v>
      </x:c>
      <x:c r="X381" s="21">
        <x:f t="shared" si="365"/>
        <x:v>1143.4026718999999</x:v>
      </x:c>
      <x:c r="Y381" s="21" t="n">
        <x:f>8.96*T381/1000</x:f>
        <x:v>825.5348864000001</x:v>
      </x:c>
      <x:c r="Z381" s="21">
        <x:f t="shared" si="367"/>
        <x:v>184.27117999999999</x:v>
      </x:c>
      <x:c r="AA381" s="21">
        <x:f t="shared" si="368"/>
        <x:v>3046.4301145375998</x:v>
      </x:c>
      <x:c r="AB381" s="21">
        <x:f t="shared" si="369"/>
        <x:v>735.34520006080004</x:v>
      </x:c>
      <x:c r="AC381" s="21">
        <x:f t="shared" si="370"/>
        <x:v>1.4706904001216001</x:v>
      </x:c>
      <x:c r="AD381" s="21"/>
      <x:c r="AE381" s="21">
        <x:f t="shared" si="371"/>
        <x:v>3.6854236</x:v>
      </x:c>
      <x:c r="AF381" s="21"/>
      <x:c r="AG381" s="19" t="s">
        <x:v>78</x:v>
      </x:c>
      <x:c r="AH381" t="s">
        <x:v>78</x:v>
      </x:c>
      <x:c r="AI381" t="s">
        <x:v>78</x:v>
      </x:c>
      <x:c r="AJ381" s="19"/>
      <x:c r="AK381" s="19" t="s">
        <x:v>78</x:v>
      </x:c>
      <x:c r="AL381" t="s">
        <x:v>78</x:v>
      </x:c>
      <x:c r="AM381" s="19" t="s">
        <x:v>78</x:v>
      </x:c>
      <x:c r="AN381" s="21"/>
      <x:c r="AO381" s="21"/>
      <x:c r="AP381" s="21"/>
      <x:c r="AQ381" s="21"/>
      <x:c r="AR381" s="21"/>
      <x:c r="AS381" s="21"/>
      <x:c r="AT381" s="21"/>
      <x:c r="AU381" s="21"/>
      <x:c r="AV381" s="21"/>
      <x:c r="AW381" t="s">
        <x:v>78</x:v>
      </x:c>
      <x:c r="AX381" s="19"/>
      <x:c r="AY381" s="21"/>
      <x:c r="AZ381" s="21"/>
      <x:c r="BA381" s="21"/>
      <x:c r="BB381" s="21"/>
      <x:c r="BC381" s="21"/>
      <x:c r="BD381" s="21"/>
      <x:c r="BE381" s="21"/>
      <x:c r="BF381" s="21"/>
      <x:c r="BG381" s="21"/>
      <x:c r="BH381" t="s">
        <x:v>81</x:v>
      </x:c>
      <x:c r="BI381" s="18">
        <x:v>113</x:v>
      </x:c>
      <x:c r="BJ381" s="18">
        <x:v>43</x:v>
      </x:c>
      <x:c r="BK381" s="18">
        <x:v>30.54</x:v>
      </x:c>
      <x:c r="BL381" s="18">
        <x:v>23</x:v>
      </x:c>
      <x:c r="BM381" s="18">
        <x:v>8</x:v>
      </x:c>
      <x:c r="BN381" s="18">
        <x:v>21.77</x:v>
      </x:c>
      <x:c r="BO381" s="22">
        <x:v>113.72515</x:v>
      </x:c>
      <x:c r="BP381" s="22">
        <x:v>23.139380555555601</x:v>
      </x:c>
      <x:c r="BQ381" s="18">
        <x:v>150</x:v>
      </x:c>
      <x:c r="BR381" s="18">
        <x:v>164881.666</x:v>
      </x:c>
      <x:c r="BS381" s="18">
        <x:v>399.767</x:v>
      </x:c>
      <x:c r="BT381" s="18">
        <x:v>39.113999999999997</x:v>
      </x:c>
      <x:c r="BU381" s="18">
        <x:v>110.563</x:v>
      </x:c>
      <x:c r="BV381" s="18">
        <x:v>55.280999999999999</x:v>
      </x:c>
      <x:c r="BW381" s="18">
        <x:v>16701.805</x:v>
      </x:c>
      <x:c r="BX381" s="18">
        <x:v>21.946000000000002</x:v>
      </x:c>
      <x:c r="BY381" s="18">
        <x:v>2635.078</x:v>
      </x:c>
      <x:c r="BZ381" s="18">
        <x:v>2635.078</x:v>
      </x:c>
      <x:c r="CA381" s="23">
        <x:f t="shared" si="315"/>
        <x:v>1143.4026718999999</x:v>
      </x:c>
      <x:c r="CB381" s="23">
        <x:f t="shared" si="316"/>
        <x:v>825.53488640000012</x:v>
      </x:c>
      <x:c r="CC381" s="23">
        <x:f t="shared" si="317"/>
        <x:v>184.27117999999999</x:v>
      </x:c>
      <x:c r="CD381" s="23">
        <x:f t="shared" si="318"/>
        <x:v>3046.4301145375998</x:v>
      </x:c>
      <x:c r="CE381" s="23">
        <x:f t="shared" si="319"/>
        <x:v>735.34520006080004</x:v>
      </x:c>
      <x:c r="CF381" s="23">
        <x:f t="shared" si="320"/>
        <x:v>1.4706904001216001</x:v>
      </x:c>
      <x:c r="CG381" s="23">
        <x:f t="shared" si="321"/>
        <x:v>0</x:v>
      </x:c>
      <x:c r="CH381" s="23">
        <x:f t="shared" si="322"/>
        <x:v>3.6854236</x:v>
      </x:c>
      <x:c r="CI381" s="23">
        <x:f t="shared" si="323"/>
        <x:v>0</x:v>
      </x:c>
      <x:c r="CJ381" s="24" t="s">
        <x:v>153</x:v>
      </x:c>
      <x:c r="CK381" s="29">
        <x:v>99.5</x:v>
      </x:c>
      <x:c r="CL381" s="26" t="s">
        <x:v>795</x:v>
      </x:c>
      <x:c r="CM381" s="28">
        <x:v>50</x:v>
      </x:c>
      <x:c r="CN381" s="30" t="s">
        <x:v>154</x:v>
      </x:c>
      <x:c r="CO381" s="27">
        <x:v>99.8</x:v>
      </x:c>
      <x:c r="CP381" s="27">
        <x:v>99.6</x:v>
      </x:c>
      <x:c r="CQ381" s="26">
        <x:f t="shared" si="324"/>
        <x:v>5.7170133595000046</x:v>
      </x:c>
      <x:c r="CR381" s="26">
        <x:f t="shared" si="325"/>
        <x:v>412.76744320000006</x:v>
      </x:c>
      <x:c r="CS381" s="26">
        <x:f t="shared" si="327"/>
        <x:v>184.27117999999999</x:v>
      </x:c>
      <x:c r="CT381" s="26">
        <x:f t="shared" si="350"/>
        <x:v>6.092860229075205</x:v>
      </x:c>
      <x:c r="CU381" s="26">
        <x:f t="shared" si="351"/>
        <x:v>2.9413808002432029</x:v>
      </x:c>
      <x:c r="CV381" s="26">
        <x:f t="shared" si="352"/>
        <x:v>5.8827616004864056E-3</x:v>
      </x:c>
      <x:c r="CW381" s="26">
        <x:f t="shared" si="353"/>
        <x:v>0</x:v>
      </x:c>
      <x:c r="CX381" s="26">
        <x:f t="shared" si="328"/>
        <x:v>3.6854236</x:v>
      </x:c>
      <x:c r="CY381" s="26">
        <x:f t="shared" si="329"/>
        <x:v>0</x:v>
      </x:c>
    </x:row>
    <x:row r="382" s="8" customFormat="1">
      <x:c r="A382" s="31">
        <x:v>2022</x:v>
      </x:c>
      <x:c r="B382" s="8" t="s">
        <x:v>792</x:v>
      </x:c>
      <x:c r="C382" s="8" t="s">
        <x:v>793</x:v>
      </x:c>
      <x:c r="D382" s="8" t="s">
        <x:v>794</x:v>
      </x:c>
      <x:c r="E382" s="31">
        <x:v>441978</x:v>
      </x:c>
      <x:c r="F382" s="8" t="s">
        <x:v>789</x:v>
      </x:c>
      <x:c r="G382" s="8" t="s">
        <x:v>697</x:v>
      </x:c>
      <x:c r="H382" s="31">
        <x:v>2221</x:v>
      </x:c>
      <x:c r="I382" s="8" t="s">
        <x:v>158</x:v>
      </x:c>
      <x:c r="J382" s="8" t="s">
        <x:v>78</x:v>
      </x:c>
      <x:c r="K382" s="8" t="s">
        <x:v>80</x:v>
      </x:c>
      <x:c r="L382" s="31">
        <x:v>3.23</x:v>
      </x:c>
      <x:c r="M382" s="8" t="s">
        <x:v>78</x:v>
      </x:c>
      <x:c r="N382" s="31">
        <x:v>98</x:v>
      </x:c>
      <x:c r="O382" s="8" t="s">
        <x:v>88</x:v>
      </x:c>
      <x:c r="P382" s="31">
        <x:v>15</x:v>
      </x:c>
      <x:c r="Q382" s="32" t="s">
        <x:v>96</x:v>
      </x:c>
      <x:c r="R382" s="31">
        <x:v>461.6</x:v>
      </x:c>
      <x:c r="S382" s="8" t="s">
        <x:v>76</x:v>
      </x:c>
      <x:c r="T382" s="32">
        <x:f t="shared" si="364"/>
        <x:v>461.6</x:v>
      </x:c>
      <x:c r="U382" s="32">
        <x:v>3.83</x:v>
      </x:c>
      <x:c r="V382" s="8" t="s">
        <x:v>77</x:v>
      </x:c>
      <x:c r="W382" s="36">
        <x:v>0</x:v>
      </x:c>
      <x:c r="X382" s="33" t="n">
        <x:f>2*U382*T382*10000/1000000000</x:f>
        <x:v>0.03535856</x:v>
      </x:c>
      <x:c r="Y382" s="21" t="n">
        <x:f>4.1*T382*10000/1000000</x:f>
        <x:v>18.9256</x:v>
      </x:c>
      <x:c r="Z382" s="21" t="n">
        <x:f>1.3*T382*10000/1000000</x:f>
        <x:v>6.0008</x:v>
      </x:c>
      <x:c r="AA382" s="21" t="n">
        <x:f>0.03*T382*10000/1000000</x:f>
        <x:v>0.13848</x:v>
      </x:c>
      <x:c r="AB382" s="21" t="n">
        <x:f>0.03*T382*10000/1000000</x:f>
        <x:v>0.13848</x:v>
      </x:c>
      <x:c r="AC382" s="33"/>
      <x:c r="AD382" s="33"/>
      <x:c r="AE382" s="21" t="n">
        <x:f>0.02*T382*10000/1000000</x:f>
        <x:v>0.09232000000000001</x:v>
      </x:c>
      <x:c r="AF382" s="33"/>
      <x:c r="AG382" s="32" t="s">
        <x:v>78</x:v>
      </x:c>
      <x:c r="AH382" s="8" t="s">
        <x:v>78</x:v>
      </x:c>
      <x:c r="AI382" s="8" t="s">
        <x:v>78</x:v>
      </x:c>
      <x:c r="AJ382" s="32"/>
      <x:c r="AK382" s="32" t="s">
        <x:v>78</x:v>
      </x:c>
      <x:c r="AL382" s="8" t="s">
        <x:v>78</x:v>
      </x:c>
      <x:c r="AM382" s="32" t="s">
        <x:v>78</x:v>
      </x:c>
      <x:c r="AN382" s="33"/>
      <x:c r="AO382" s="33"/>
      <x:c r="AP382" s="33"/>
      <x:c r="AQ382" s="33"/>
      <x:c r="AR382" s="33"/>
      <x:c r="AS382" s="33"/>
      <x:c r="AT382" s="33"/>
      <x:c r="AU382" s="33"/>
      <x:c r="AV382" s="33"/>
      <x:c r="AW382" s="8" t="s">
        <x:v>78</x:v>
      </x:c>
      <x:c r="AX382" s="32"/>
      <x:c r="AY382" s="33"/>
      <x:c r="AZ382" s="33"/>
      <x:c r="BA382" s="33"/>
      <x:c r="BB382" s="33"/>
      <x:c r="BC382" s="33"/>
      <x:c r="BD382" s="33"/>
      <x:c r="BE382" s="33"/>
      <x:c r="BF382" s="33"/>
      <x:c r="BG382" s="33"/>
      <x:c r="BH382" s="8" t="s">
        <x:v>600</x:v>
      </x:c>
      <x:c r="BI382" s="31">
        <x:v>113</x:v>
      </x:c>
      <x:c r="BJ382" s="31">
        <x:v>43</x:v>
      </x:c>
      <x:c r="BK382" s="31">
        <x:v>24.6</x:v>
      </x:c>
      <x:c r="BL382" s="31">
        <x:v>23</x:v>
      </x:c>
      <x:c r="BM382" s="31">
        <x:v>8</x:v>
      </x:c>
      <x:c r="BN382" s="31">
        <x:v>22.38</x:v>
      </x:c>
      <x:c r="BO382" s="22">
        <x:v>113.7235</x:v>
      </x:c>
      <x:c r="BP382" s="22">
        <x:v>23.13955</x:v>
      </x:c>
      <x:c r="BQ382" s="31">
        <x:v>50</x:v>
      </x:c>
      <x:c r="BR382" s="31">
        <x:v>15922.147999999999</x:v>
      </x:c>
      <x:c r="BS382" s="8" t="s">
        <x:v>78</x:v>
      </x:c>
      <x:c r="BT382" s="8" t="s">
        <x:v>78</x:v>
      </x:c>
      <x:c r="BU382" s="8" t="s">
        <x:v>78</x:v>
      </x:c>
      <x:c r="BV382" s="8" t="s">
        <x:v>78</x:v>
      </x:c>
      <x:c r="BW382" s="8" t="s">
        <x:v>78</x:v>
      </x:c>
      <x:c r="BX382" s="8" t="s">
        <x:v>78</x:v>
      </x:c>
      <x:c r="BY382" s="8" t="s">
        <x:v>78</x:v>
      </x:c>
      <x:c r="BZ382" s="8" t="s">
        <x:v>78</x:v>
      </x:c>
      <x:c r="CA382" s="23">
        <x:f t="shared" si="315"/>
        <x:v>3.5358559999999997E-2</x:v>
      </x:c>
      <x:c r="CB382" s="23">
        <x:f t="shared" si="316"/>
        <x:v>18.925599999999999</x:v>
      </x:c>
      <x:c r="CC382" s="23">
        <x:f t="shared" si="317"/>
        <x:v>6.0007999999999999</x:v>
      </x:c>
      <x:c r="CD382" s="23">
        <x:f t="shared" si="318"/>
        <x:v>0.13847999999999999</x:v>
      </x:c>
      <x:c r="CE382" s="23">
        <x:f t="shared" si="319"/>
        <x:v>0.13847999999999999</x:v>
      </x:c>
      <x:c r="CF382" s="23">
        <x:f t="shared" si="320"/>
        <x:v>0</x:v>
      </x:c>
      <x:c r="CG382" s="23">
        <x:f t="shared" si="321"/>
        <x:v>0</x:v>
      </x:c>
      <x:c r="CH382" s="23">
        <x:f t="shared" si="322"/>
        <x:v>9.2320000000000013E-2</x:v>
      </x:c>
      <x:c r="CI382" s="23">
        <x:f t="shared" si="323"/>
        <x:v>0</x:v>
      </x:c>
      <x:c r="CJ382" s="25" t="s">
        <x:v>153</x:v>
      </x:c>
      <x:c r="CK382" s="29">
        <x:v>99.5</x:v>
      </x:c>
      <x:c r="CL382" s="34" t="s">
        <x:v>795</x:v>
      </x:c>
      <x:c r="CM382" s="28">
        <x:v>50</x:v>
      </x:c>
      <x:c r="CN382" s="30" t="s">
        <x:v>154</x:v>
      </x:c>
      <x:c r="CO382" s="27">
        <x:v>99.8</x:v>
      </x:c>
      <x:c r="CP382" s="27">
        <x:v>99.6</x:v>
      </x:c>
      <x:c r="CQ382" s="26">
        <x:f t="shared" si="324"/>
        <x:v>1.7679280000000013E-4</x:v>
      </x:c>
      <x:c r="CR382" s="26">
        <x:f t="shared" si="325"/>
        <x:v>9.4627999999999997</x:v>
      </x:c>
      <x:c r="CS382" s="26">
        <x:f t="shared" si="327"/>
        <x:v>6.0007999999999999</x:v>
      </x:c>
      <x:c r="CT382" s="26">
        <x:f t="shared" si="350"/>
        <x:v>2.7696000000000025E-4</x:v>
      </x:c>
      <x:c r="CU382" s="26">
        <x:f t="shared" si="351"/>
        <x:v>5.539200000000005E-4</x:v>
      </x:c>
      <x:c r="CV382" s="26">
        <x:f t="shared" si="352"/>
        <x:v>0</x:v>
      </x:c>
      <x:c r="CW382" s="26">
        <x:f t="shared" si="353"/>
        <x:v>0</x:v>
      </x:c>
      <x:c r="CX382" s="26">
        <x:f t="shared" si="328"/>
        <x:v>9.2320000000000013E-2</x:v>
      </x:c>
      <x:c r="CY382" s="26">
        <x:f t="shared" si="329"/>
        <x:v>0</x:v>
      </x:c>
    </x:row>
    <x:row r="383">
      <x:c r="A383" s="18">
        <x:v>2022</x:v>
      </x:c>
      <x:c r="B383" t="s">
        <x:v>796</x:v>
      </x:c>
      <x:c r="C383" t="s">
        <x:v>797</x:v>
      </x:c>
      <x:c r="D383" t="s">
        <x:v>798</x:v>
      </x:c>
      <x:c r="E383" s="18">
        <x:v>441978</x:v>
      </x:c>
      <x:c r="F383" t="s">
        <x:v>789</x:v>
      </x:c>
      <x:c r="G383" s="8" t="s">
        <x:v>697</x:v>
      </x:c>
      <x:c r="H383" s="18">
        <x:v>2221</x:v>
      </x:c>
      <x:c r="I383" t="s">
        <x:v>158</x:v>
      </x:c>
      <x:c r="J383" t="s">
        <x:v>78</x:v>
      </x:c>
      <x:c r="K383" t="s">
        <x:v>109</x:v>
      </x:c>
      <x:c r="L383" s="20">
        <x:v>6</x:v>
      </x:c>
      <x:c r="M383" t="s">
        <x:v>125</x:v>
      </x:c>
      <x:c r="N383" s="18">
        <x:v>240</x:v>
      </x:c>
      <x:c r="O383" t="s">
        <x:v>74</x:v>
      </x:c>
      <x:c r="P383" s="18">
        <x:v>5</x:v>
      </x:c>
      <x:c r="Q383" s="19" t="s">
        <x:v>238</x:v>
      </x:c>
      <x:c r="R383" s="18">
        <x:v>117063.42</x:v>
      </x:c>
      <x:c r="S383" t="s">
        <x:v>112</x:v>
      </x:c>
      <x:c r="T383" s="19" t="n">
        <x:f t="shared" ref="T383:T392" si="372">R383</x:f>
        <x:v>117063.42</x:v>
      </x:c>
      <x:c r="U383" s="20">
        <x:v>0.21</x:v>
      </x:c>
      <x:c r="V383" t="s">
        <x:v>113</x:v>
      </x:c>
      <x:c r="W383" s="20">
        <x:v>8.08</x:v>
      </x:c>
      <x:c r="X383" s="21" t="n">
        <x:f t="shared" ref="X383:X389" si="373">2*U383/100*(1-0.15)*T383</x:f>
        <x:v>417.91640939999996</x:v>
      </x:c>
      <x:c r="Y383" s="21" t="n">
        <x:f t="shared" ref="Y383:Y389" si="374">8.96*T383/1000</x:f>
        <x:v>1048.8882432</x:v>
      </x:c>
      <x:c r="Z383" s="21" t="n">
        <x:f t="shared" ref="Z383:Z389" si="375">2*T383/1000</x:f>
        <x:v>234.12684</x:v>
      </x:c>
      <x:c r="AA383" s="21" t="n">
        <x:f t="shared" ref="AA383:AA389" si="376">W383/100*(1-0.44)*0.29*T383</x:f>
        <x:v>1536.0968321664</x:v>
      </x:c>
      <x:c r="AB383" s="21" t="n">
        <x:f t="shared" ref="AB383:AB389" si="377">W383/100*(1-0.44)*0.07*T383</x:f>
        <x:v>370.78199397120005</x:v>
      </x:c>
      <x:c r="AC383" s="21" t="n">
        <x:f t="shared" ref="AC383:AC389" si="378">0.002*AB383</x:f>
        <x:v>0.7415639879424001</x:v>
      </x:c>
      <x:c r="AD383" s="21"/>
      <x:c r="AE383" s="21" t="n">
        <x:f t="shared" ref="AE383:AE389" si="379">0.04*T383/1000</x:f>
        <x:v>4.6825368</x:v>
      </x:c>
      <x:c r="AF383" s="21"/>
      <x:c r="AG383" s="19" t="s">
        <x:v>78</x:v>
      </x:c>
      <x:c r="AH383" t="s">
        <x:v>78</x:v>
      </x:c>
      <x:c r="AI383" t="s">
        <x:v>78</x:v>
      </x:c>
      <x:c r="AJ383" s="19"/>
      <x:c r="AK383" s="19" t="s">
        <x:v>78</x:v>
      </x:c>
      <x:c r="AL383" t="s">
        <x:v>78</x:v>
      </x:c>
      <x:c r="AM383" s="19" t="s">
        <x:v>78</x:v>
      </x:c>
      <x:c r="AN383" s="21"/>
      <x:c r="AO383" s="21"/>
      <x:c r="AP383" s="21"/>
      <x:c r="AQ383" s="21"/>
      <x:c r="AR383" s="21"/>
      <x:c r="AS383" s="21"/>
      <x:c r="AT383" s="21"/>
      <x:c r="AU383" s="21"/>
      <x:c r="AV383" s="21"/>
      <x:c r="AW383" t="s">
        <x:v>78</x:v>
      </x:c>
      <x:c r="AX383" s="19"/>
      <x:c r="AY383" s="21"/>
      <x:c r="AZ383" s="21"/>
      <x:c r="BA383" s="21"/>
      <x:c r="BB383" s="21"/>
      <x:c r="BC383" s="21"/>
      <x:c r="BD383" s="21"/>
      <x:c r="BE383" s="21"/>
      <x:c r="BF383" s="21"/>
      <x:c r="BG383" s="21"/>
      <x:c r="BH383" t="s">
        <x:v>81</x:v>
      </x:c>
      <x:c r="BI383" s="18">
        <x:v>113</x:v>
      </x:c>
      <x:c r="BJ383" s="18">
        <x:v>42</x:v>
      </x:c>
      <x:c r="BK383" s="18">
        <x:v>43.52</x:v>
      </x:c>
      <x:c r="BL383" s="18">
        <x:v>23</x:v>
      </x:c>
      <x:c r="BM383" s="18">
        <x:v>8</x:v>
      </x:c>
      <x:c r="BN383" s="18">
        <x:v>1.93</x:v>
      </x:c>
      <x:c r="BO383" s="22">
        <x:v>113.712088888889</x:v>
      </x:c>
      <x:c r="BP383" s="22">
        <x:v>23.1338694444444</x:v>
      </x:c>
      <x:c r="BQ383" s="18">
        <x:v>150</x:v>
      </x:c>
      <x:c r="BR383" s="18">
        <x:v>160379.89000000001</x:v>
      </x:c>
      <x:c r="BS383" s="18">
        <x:v>178.405</x:v>
      </x:c>
      <x:c r="BT383" s="18">
        <x:v>18.98</x:v>
      </x:c>
      <x:c r="BU383" s="18">
        <x:v>118.23399999999999</x:v>
      </x:c>
      <x:c r="BV383" s="18">
        <x:v>35.47</x:v>
      </x:c>
      <x:c r="BW383" s="18">
        <x:v>10413.025</x:v>
      </x:c>
      <x:c r="BX383" s="18">
        <x:v>17.937000000000001</x:v>
      </x:c>
      <x:c r="BY383" s="18">
        <x:v>947.04300000000001</x:v>
      </x:c>
      <x:c r="BZ383" s="18">
        <x:v>947.04300000000001</x:v>
      </x:c>
      <x:c r="CA383" s="23">
        <x:f t="shared" si="315"/>
        <x:v>417.91640939999996</x:v>
      </x:c>
      <x:c r="CB383" s="23">
        <x:f t="shared" si="316"/>
        <x:v>1048.8882432</x:v>
      </x:c>
      <x:c r="CC383" s="23">
        <x:f t="shared" si="317"/>
        <x:v>234.12683999999999</x:v>
      </x:c>
      <x:c r="CD383" s="23">
        <x:f t="shared" si="318"/>
        <x:v>1536.0968321664</x:v>
      </x:c>
      <x:c r="CE383" s="23">
        <x:f t="shared" si="319"/>
        <x:v>370.78199397120005</x:v>
      </x:c>
      <x:c r="CF383" s="23">
        <x:f t="shared" si="320"/>
        <x:v>0.74156398794240008</x:v>
      </x:c>
      <x:c r="CG383" s="23">
        <x:f t="shared" si="321"/>
        <x:v>0</x:v>
      </x:c>
      <x:c r="CH383" s="23">
        <x:f t="shared" si="322"/>
        <x:v>4.6825368000000003</x:v>
      </x:c>
      <x:c r="CI383" s="23">
        <x:f t="shared" si="323"/>
        <x:v>0</x:v>
      </x:c>
      <x:c r="CJ383" s="24" t="s">
        <x:v>202</x:v>
      </x:c>
      <x:c r="CK383" s="25">
        <x:v>80</x:v>
      </x:c>
      <x:c r="CL383" s="26" t="s">
        <x:v>127</x:v>
      </x:c>
      <x:c r="CM383" s="26">
        <x:v>80</x:v>
      </x:c>
      <x:c r="CN383" s="27" t="s">
        <x:v>124</x:v>
      </x:c>
      <x:c r="CO383" s="27">
        <x:v>99.8</x:v>
      </x:c>
      <x:c r="CP383" s="27">
        <x:v>99.6</x:v>
      </x:c>
      <x:c r="CQ383" s="26">
        <x:f t="shared" si="324"/>
        <x:v>83.583281879999973</x:v>
      </x:c>
      <x:c r="CR383" s="26">
        <x:f t="shared" si="325"/>
        <x:v>209.77764863999997</x:v>
      </x:c>
      <x:c r="CS383" s="26">
        <x:f t="shared" si="327"/>
        <x:v>234.12683999999999</x:v>
      </x:c>
      <x:c r="CT383" s="26">
        <x:f t="shared" si="350"/>
        <x:v>3.0721936643328025</x:v>
      </x:c>
      <x:c r="CU383" s="26">
        <x:f t="shared" si="351"/>
        <x:v>1.4831279758848015</x:v>
      </x:c>
      <x:c r="CV383" s="26">
        <x:f t="shared" si="352"/>
        <x:v>2.9662559517696029E-3</x:v>
      </x:c>
      <x:c r="CW383" s="26">
        <x:f t="shared" si="353"/>
        <x:v>0</x:v>
      </x:c>
      <x:c r="CX383" s="26">
        <x:f t="shared" si="328"/>
        <x:v>4.6825368000000003</x:v>
      </x:c>
      <x:c r="CY383" s="26">
        <x:f t="shared" si="329"/>
        <x:v>0</x:v>
      </x:c>
    </x:row>
    <x:row r="384">
      <x:c r="A384" s="18">
        <x:v>2022</x:v>
      </x:c>
      <x:c r="B384" t="s">
        <x:v>796</x:v>
      </x:c>
      <x:c r="C384" t="s">
        <x:v>797</x:v>
      </x:c>
      <x:c r="D384" t="s">
        <x:v>798</x:v>
      </x:c>
      <x:c r="E384" s="18">
        <x:v>441978</x:v>
      </x:c>
      <x:c r="F384" t="s">
        <x:v>789</x:v>
      </x:c>
      <x:c r="G384" s="8" t="s">
        <x:v>697</x:v>
      </x:c>
      <x:c r="H384" s="18">
        <x:v>2221</x:v>
      </x:c>
      <x:c r="I384" t="s">
        <x:v>158</x:v>
      </x:c>
      <x:c r="J384" t="s">
        <x:v>78</x:v>
      </x:c>
      <x:c r="K384" t="s">
        <x:v>78</x:v>
      </x:c>
      <x:c r="L384" s="20">
        <x:v>6</x:v>
      </x:c>
      <x:c r="M384" t="s">
        <x:v>125</x:v>
      </x:c>
      <x:c r="N384" s="18">
        <x:v>240</x:v>
      </x:c>
      <x:c r="O384" t="s">
        <x:v>74</x:v>
      </x:c>
      <x:c r="P384" s="18">
        <x:v>5</x:v>
      </x:c>
      <x:c r="Q384" s="19" t="s">
        <x:v>238</x:v>
      </x:c>
      <x:c r="R384" s="18">
        <x:v>112269.6</x:v>
      </x:c>
      <x:c r="S384" t="s">
        <x:v>112</x:v>
      </x:c>
      <x:c r="T384" s="19">
        <x:f t="shared" si="372"/>
        <x:v>112269.6</x:v>
      </x:c>
      <x:c r="U384" s="20">
        <x:v>0.21</x:v>
      </x:c>
      <x:c r="V384" t="s">
        <x:v>113</x:v>
      </x:c>
      <x:c r="W384" s="20">
        <x:v>8.08</x:v>
      </x:c>
      <x:c r="X384" s="21">
        <x:f t="shared" si="373"/>
        <x:v>400.80247200000002</x:v>
      </x:c>
      <x:c r="Y384" s="21">
        <x:f t="shared" si="374"/>
        <x:v>1005.9356160000002</x:v>
      </x:c>
      <x:c r="Z384" s="21">
        <x:f t="shared" si="375"/>
        <x:v>224.53920000000002</x:v>
      </x:c>
      <x:c r="AA384" s="21">
        <x:f t="shared" si="376"/>
        <x:v>1473.1927096320001</x:v>
      </x:c>
      <x:c r="AB384" s="21">
        <x:f t="shared" si="377"/>
        <x:v>355.59824025600011</x:v>
      </x:c>
      <x:c r="AC384" s="21">
        <x:f t="shared" si="378"/>
        <x:v>0.71119648051200024</x:v>
      </x:c>
      <x:c r="AD384" s="21"/>
      <x:c r="AE384" s="21">
        <x:f t="shared" si="379"/>
        <x:v>4.4907840000000006</x:v>
      </x:c>
      <x:c r="AF384" s="21"/>
      <x:c r="AG384" s="19" t="s">
        <x:v>78</x:v>
      </x:c>
      <x:c r="AH384" t="s">
        <x:v>78</x:v>
      </x:c>
      <x:c r="AI384" t="s">
        <x:v>78</x:v>
      </x:c>
      <x:c r="AJ384" s="19"/>
      <x:c r="AK384" s="19" t="s">
        <x:v>78</x:v>
      </x:c>
      <x:c r="AL384" t="s">
        <x:v>78</x:v>
      </x:c>
      <x:c r="AM384" s="19" t="s">
        <x:v>78</x:v>
      </x:c>
      <x:c r="AN384" s="21"/>
      <x:c r="AO384" s="21"/>
      <x:c r="AP384" s="21"/>
      <x:c r="AQ384" s="21"/>
      <x:c r="AR384" s="21"/>
      <x:c r="AS384" s="21"/>
      <x:c r="AT384" s="21"/>
      <x:c r="AU384" s="21"/>
      <x:c r="AV384" s="21"/>
      <x:c r="AW384" t="s">
        <x:v>78</x:v>
      </x:c>
      <x:c r="AX384" s="19"/>
      <x:c r="AY384" s="21"/>
      <x:c r="AZ384" s="21"/>
      <x:c r="BA384" s="21"/>
      <x:c r="BB384" s="21"/>
      <x:c r="BC384" s="21"/>
      <x:c r="BD384" s="21"/>
      <x:c r="BE384" s="21"/>
      <x:c r="BF384" s="21"/>
      <x:c r="BG384" s="21"/>
      <x:c r="BH384" t="s">
        <x:v>81</x:v>
      </x:c>
      <x:c r="BI384" s="18">
        <x:v>113</x:v>
      </x:c>
      <x:c r="BJ384" s="18">
        <x:v>42</x:v>
      </x:c>
      <x:c r="BK384" s="18">
        <x:v>43.52</x:v>
      </x:c>
      <x:c r="BL384" s="18">
        <x:v>23</x:v>
      </x:c>
      <x:c r="BM384" s="18">
        <x:v>8</x:v>
      </x:c>
      <x:c r="BN384" s="18">
        <x:v>1.93</x:v>
      </x:c>
      <x:c r="BO384" s="22">
        <x:v>113.712088888889</x:v>
      </x:c>
      <x:c r="BP384" s="22">
        <x:v>23.1338694444444</x:v>
      </x:c>
      <x:c r="BQ384" s="18">
        <x:v>150</x:v>
      </x:c>
      <x:c r="BR384" s="18">
        <x:v>160379.89000000001</x:v>
      </x:c>
      <x:c r="BS384" s="18">
        <x:v>171.09899999999999</x:v>
      </x:c>
      <x:c r="BT384" s="18">
        <x:v>18.202000000000002</x:v>
      </x:c>
      <x:c r="BU384" s="18">
        <x:v>113.392</x:v>
      </x:c>
      <x:c r="BV384" s="18">
        <x:v>34.018000000000001</x:v>
      </x:c>
      <x:c r="BW384" s="18">
        <x:v>9986.6049999999996</x:v>
      </x:c>
      <x:c r="BX384" s="18">
        <x:v>17.202999999999999</x:v>
      </x:c>
      <x:c r="BY384" t="s">
        <x:v>78</x:v>
      </x:c>
      <x:c r="BZ384" t="s">
        <x:v>78</x:v>
      </x:c>
      <x:c r="CA384" s="23">
        <x:f t="shared" si="315"/>
        <x:v>400.80247200000002</x:v>
      </x:c>
      <x:c r="CB384" s="23">
        <x:f t="shared" si="316"/>
        <x:v>1005.9356160000002</x:v>
      </x:c>
      <x:c r="CC384" s="23">
        <x:f t="shared" si="317"/>
        <x:v>224.53920000000002</x:v>
      </x:c>
      <x:c r="CD384" s="23">
        <x:f t="shared" si="318"/>
        <x:v>1473.1927096320001</x:v>
      </x:c>
      <x:c r="CE384" s="23">
        <x:f t="shared" si="319"/>
        <x:v>355.59824025600011</x:v>
      </x:c>
      <x:c r="CF384" s="23">
        <x:f t="shared" si="320"/>
        <x:v>0.71119648051200024</x:v>
      </x:c>
      <x:c r="CG384" s="23">
        <x:f t="shared" si="321"/>
        <x:v>0</x:v>
      </x:c>
      <x:c r="CH384" s="23">
        <x:f t="shared" si="322"/>
        <x:v>4.4907840000000006</x:v>
      </x:c>
      <x:c r="CI384" s="23">
        <x:f t="shared" si="323"/>
        <x:v>0</x:v>
      </x:c>
      <x:c r="CJ384" s="24" t="s">
        <x:v>202</x:v>
      </x:c>
      <x:c r="CK384" s="25">
        <x:v>80</x:v>
      </x:c>
      <x:c r="CL384" s="26" t="s">
        <x:v>127</x:v>
      </x:c>
      <x:c r="CM384" s="26">
        <x:v>80</x:v>
      </x:c>
      <x:c r="CN384" s="27" t="s">
        <x:v>124</x:v>
      </x:c>
      <x:c r="CO384" s="27">
        <x:v>99.8</x:v>
      </x:c>
      <x:c r="CP384" s="27">
        <x:v>99.6</x:v>
      </x:c>
      <x:c r="CQ384" s="26">
        <x:f t="shared" si="324"/>
        <x:v>80.16049439999999</x:v>
      </x:c>
      <x:c r="CR384" s="26">
        <x:f t="shared" si="325"/>
        <x:v>201.1871232</x:v>
      </x:c>
      <x:c r="CS384" s="26">
        <x:f t="shared" si="327"/>
        <x:v>224.53920000000002</x:v>
      </x:c>
      <x:c r="CT384" s="26">
        <x:f t="shared" si="350"/>
        <x:v>2.9463854192640029</x:v>
      </x:c>
      <x:c r="CU384" s="26">
        <x:f t="shared" si="351"/>
        <x:v>1.4223929610240018</x:v>
      </x:c>
      <x:c r="CV384" s="26">
        <x:f t="shared" si="352"/>
        <x:v>2.8447859220480033E-3</x:v>
      </x:c>
      <x:c r="CW384" s="26">
        <x:f t="shared" si="353"/>
        <x:v>0</x:v>
      </x:c>
      <x:c r="CX384" s="26">
        <x:f t="shared" si="328"/>
        <x:v>4.4907840000000006</x:v>
      </x:c>
      <x:c r="CY384" s="26">
        <x:f t="shared" si="329"/>
        <x:v>0</x:v>
      </x:c>
    </x:row>
    <x:row r="385">
      <x:c r="A385" s="18">
        <x:v>2022</x:v>
      </x:c>
      <x:c r="B385" t="s">
        <x:v>799</x:v>
      </x:c>
      <x:c r="C385" t="s">
        <x:v>800</x:v>
      </x:c>
      <x:c r="D385" t="s">
        <x:v>801</x:v>
      </x:c>
      <x:c r="E385" s="18">
        <x:v>441978</x:v>
      </x:c>
      <x:c r="F385" t="s">
        <x:v>789</x:v>
      </x:c>
      <x:c r="G385" s="8" t="s">
        <x:v>697</x:v>
      </x:c>
      <x:c r="H385" s="18">
        <x:v>2221</x:v>
      </x:c>
      <x:c r="I385" t="s">
        <x:v>158</x:v>
      </x:c>
      <x:c r="J385" t="s">
        <x:v>78</x:v>
      </x:c>
      <x:c r="K385" t="s">
        <x:v>109</x:v>
      </x:c>
      <x:c r="L385" s="20">
        <x:v>1.2</x:v>
      </x:c>
      <x:c r="M385" t="s">
        <x:v>125</x:v>
      </x:c>
      <x:c r="N385" s="18">
        <x:v>90</x:v>
      </x:c>
      <x:c r="O385" t="s">
        <x:v>88</x:v>
      </x:c>
      <x:c r="P385" s="18">
        <x:v>1</x:v>
      </x:c>
      <x:c r="Q385" s="19" t="s">
        <x:v>121</x:v>
      </x:c>
      <x:c r="R385" s="18">
        <x:v>46645.169000000002</x:v>
      </x:c>
      <x:c r="S385" t="s">
        <x:v>112</x:v>
      </x:c>
      <x:c r="T385" s="19">
        <x:f t="shared" si="372"/>
        <x:v>46645.169000000002</x:v>
      </x:c>
      <x:c r="U385" s="20">
        <x:v>0.25</x:v>
      </x:c>
      <x:c r="V385" t="s">
        <x:v>113</x:v>
      </x:c>
      <x:c r="W385" s="20">
        <x:v>5.6</x:v>
      </x:c>
      <x:c r="X385" s="21">
        <x:f t="shared" si="373"/>
        <x:v>198.24196825000001</x:v>
      </x:c>
      <x:c r="Y385" s="21">
        <x:f t="shared" si="374"/>
        <x:v>417.94071424000003</x:v>
      </x:c>
      <x:c r="Z385" s="21">
        <x:f t="shared" si="375"/>
        <x:v>93.290338000000006</x:v>
      </x:c>
      <x:c r="AA385" s="21">
        <x:f t="shared" si="376"/>
        <x:v>424.20982495359999</x:v>
      </x:c>
      <x:c r="AB385" s="21">
        <x:f t="shared" si="377"/>
        <x:v>102.3954749888</x:v>
      </x:c>
      <x:c r="AC385" s="21">
        <x:f t="shared" si="378"/>
        <x:v>0.2047909499776</x:v>
      </x:c>
      <x:c r="AD385" s="21"/>
      <x:c r="AE385" s="21">
        <x:f t="shared" si="379"/>
        <x:v>1.8658067600000001</x:v>
      </x:c>
      <x:c r="AF385" s="21"/>
      <x:c r="AG385" s="19" t="s">
        <x:v>78</x:v>
      </x:c>
      <x:c r="AH385" t="s">
        <x:v>78</x:v>
      </x:c>
      <x:c r="AI385" t="s">
        <x:v>78</x:v>
      </x:c>
      <x:c r="AJ385" s="19"/>
      <x:c r="AK385" s="19" t="s">
        <x:v>78</x:v>
      </x:c>
      <x:c r="AL385" t="s">
        <x:v>78</x:v>
      </x:c>
      <x:c r="AM385" s="19" t="s">
        <x:v>78</x:v>
      </x:c>
      <x:c r="AN385" s="21"/>
      <x:c r="AO385" s="21"/>
      <x:c r="AP385" s="21"/>
      <x:c r="AQ385" s="21"/>
      <x:c r="AR385" s="21"/>
      <x:c r="AS385" s="21"/>
      <x:c r="AT385" s="21"/>
      <x:c r="AU385" s="21"/>
      <x:c r="AV385" s="21"/>
      <x:c r="AW385" t="s">
        <x:v>78</x:v>
      </x:c>
      <x:c r="AX385" s="19"/>
      <x:c r="AY385" s="21"/>
      <x:c r="AZ385" s="21"/>
      <x:c r="BA385" s="21"/>
      <x:c r="BB385" s="21"/>
      <x:c r="BC385" s="21"/>
      <x:c r="BD385" s="21"/>
      <x:c r="BE385" s="21"/>
      <x:c r="BF385" s="21"/>
      <x:c r="BG385" s="21"/>
      <x:c r="BH385" t="s">
        <x:v>81</x:v>
      </x:c>
      <x:c r="BI385" s="18">
        <x:v>113</x:v>
      </x:c>
      <x:c r="BJ385" s="18">
        <x:v>43</x:v>
      </x:c>
      <x:c r="BK385" s="18">
        <x:v>43.25</x:v>
      </x:c>
      <x:c r="BL385" s="18">
        <x:v>23</x:v>
      </x:c>
      <x:c r="BM385" s="18">
        <x:v>8</x:v>
      </x:c>
      <x:c r="BN385" s="18">
        <x:v>24.29</x:v>
      </x:c>
      <x:c r="BO385" s="22">
        <x:v>113.728680555556</x:v>
      </x:c>
      <x:c r="BP385" s="22">
        <x:v>23.140080555555599</x:v>
      </x:c>
      <x:c r="BQ385" s="18">
        <x:v>120</x:v>
      </x:c>
      <x:c r="BR385" s="18">
        <x:v>47172.62</x:v>
      </x:c>
      <x:c r="BS385" s="18">
        <x:v>80.742999999999995</x:v>
      </x:c>
      <x:c r="BT385" s="18">
        <x:v>8.5449999999999999</x:v>
      </x:c>
      <x:c r="BU385" s="18">
        <x:v>55.973999999999997</x:v>
      </x:c>
      <x:c r="BV385" s="18">
        <x:v>27.986999999999998</x:v>
      </x:c>
      <x:c r="BW385" s="18">
        <x:v>4223.8130000000001</x:v>
      </x:c>
      <x:c r="BX385" s="18">
        <x:v>0.20300000000000001</x:v>
      </x:c>
      <x:c r="BY385" s="18">
        <x:v>634.37400000000002</x:v>
      </x:c>
      <x:c r="BZ385" s="18">
        <x:v>634.37400000000002</x:v>
      </x:c>
      <x:c r="CA385" s="23">
        <x:f t="shared" si="315"/>
        <x:v>198.24196825000001</x:v>
      </x:c>
      <x:c r="CB385" s="23">
        <x:f t="shared" si="316"/>
        <x:v>417.94071424000003</x:v>
      </x:c>
      <x:c r="CC385" s="23">
        <x:f t="shared" si="317"/>
        <x:v>93.290338000000006</x:v>
      </x:c>
      <x:c r="CD385" s="23">
        <x:f t="shared" si="318"/>
        <x:v>424.20982495359999</x:v>
      </x:c>
      <x:c r="CE385" s="23">
        <x:f t="shared" si="319"/>
        <x:v>102.3954749888</x:v>
      </x:c>
      <x:c r="CF385" s="23">
        <x:f t="shared" si="320"/>
        <x:v>0.2047909499776</x:v>
      </x:c>
      <x:c r="CG385" s="23">
        <x:f t="shared" si="321"/>
        <x:v>0</x:v>
      </x:c>
      <x:c r="CH385" s="23">
        <x:f t="shared" si="322"/>
        <x:v>1.8658067600000001</x:v>
      </x:c>
      <x:c r="CI385" s="23">
        <x:f t="shared" si="323"/>
        <x:v>0</x:v>
      </x:c>
      <x:c r="CJ385" s="24" t="s">
        <x:v>202</x:v>
      </x:c>
      <x:c r="CK385" s="25">
        <x:v>97.9</x:v>
      </x:c>
      <x:c r="CL385" s="26" t="s">
        <x:v>127</x:v>
      </x:c>
      <x:c r="CM385" s="26">
        <x:v>45</x:v>
      </x:c>
      <x:c r="CN385" s="27" t="s">
        <x:v>233</x:v>
      </x:c>
      <x:c r="CO385" s="27">
        <x:v>99.4</x:v>
      </x:c>
      <x:c r="CP385" s="27">
        <x:v>98.3</x:v>
      </x:c>
      <x:c r="CQ385" s="26">
        <x:f t="shared" si="324"/>
        <x:v>4.1630813332499823</x:v>
      </x:c>
      <x:c r="CR385" s="26">
        <x:f t="shared" si="325"/>
        <x:v>229.86739283200004</x:v>
      </x:c>
      <x:c r="CS385" s="26">
        <x:f t="shared" si="327"/>
        <x:v>93.290338000000006</x:v>
      </x:c>
      <x:c r="CT385" s="26">
        <x:f t="shared" si="350"/>
        <x:v>2.5452589497215552</x:v>
      </x:c>
      <x:c r="CU385" s="26">
        <x:f t="shared" si="351"/>
        <x:v>1.7407230748096016</x:v>
      </x:c>
      <x:c r="CV385" s="26">
        <x:f t="shared" si="352"/>
        <x:v>3.4814461496192029E-3</x:v>
      </x:c>
      <x:c r="CW385" s="26">
        <x:f t="shared" si="353"/>
        <x:v>0</x:v>
      </x:c>
      <x:c r="CX385" s="26">
        <x:f t="shared" si="328"/>
        <x:v>1.8658067600000001</x:v>
      </x:c>
      <x:c r="CY385" s="26">
        <x:f t="shared" si="329"/>
        <x:v>0</x:v>
      </x:c>
    </x:row>
    <x:row r="386">
      <x:c r="A386" s="18">
        <x:v>2022</x:v>
      </x:c>
      <x:c r="B386" t="s">
        <x:v>799</x:v>
      </x:c>
      <x:c r="C386" t="s">
        <x:v>800</x:v>
      </x:c>
      <x:c r="D386" t="s">
        <x:v>801</x:v>
      </x:c>
      <x:c r="E386" s="18">
        <x:v>441978</x:v>
      </x:c>
      <x:c r="F386" t="s">
        <x:v>789</x:v>
      </x:c>
      <x:c r="G386" s="8" t="s">
        <x:v>697</x:v>
      </x:c>
      <x:c r="H386" s="18">
        <x:v>2221</x:v>
      </x:c>
      <x:c r="I386" t="s">
        <x:v>158</x:v>
      </x:c>
      <x:c r="J386" t="s">
        <x:v>78</x:v>
      </x:c>
      <x:c r="K386" t="s">
        <x:v>109</x:v>
      </x:c>
      <x:c r="L386" s="20">
        <x:v>1.2</x:v>
      </x:c>
      <x:c r="M386" t="s">
        <x:v>125</x:v>
      </x:c>
      <x:c r="N386" s="18">
        <x:v>90</x:v>
      </x:c>
      <x:c r="O386" t="s">
        <x:v>88</x:v>
      </x:c>
      <x:c r="P386" s="18">
        <x:v>1</x:v>
      </x:c>
      <x:c r="Q386" s="19" t="s">
        <x:v>121</x:v>
      </x:c>
      <x:c r="R386" s="18">
        <x:v>61152.258000000002</x:v>
      </x:c>
      <x:c r="S386" t="s">
        <x:v>112</x:v>
      </x:c>
      <x:c r="T386" s="19">
        <x:f t="shared" si="372"/>
        <x:v>61152.258000000002</x:v>
      </x:c>
      <x:c r="U386" s="20">
        <x:v>0.25</x:v>
      </x:c>
      <x:c r="V386" t="s">
        <x:v>113</x:v>
      </x:c>
      <x:c r="W386" s="20">
        <x:v>5.6</x:v>
      </x:c>
      <x:c r="X386" s="21">
        <x:f t="shared" si="373"/>
        <x:v>259.89709650000003</x:v>
      </x:c>
      <x:c r="Y386" s="21">
        <x:f t="shared" si="374"/>
        <x:v>547.92423168000005</x:v>
      </x:c>
      <x:c r="Z386" s="21">
        <x:f t="shared" si="375"/>
        <x:v>122.30451600000001</x:v>
      </x:c>
      <x:c r="AA386" s="21">
        <x:f t="shared" si="376"/>
        <x:v>556.14309515519994</x:v>
      </x:c>
      <x:c r="AB386" s="21">
        <x:f t="shared" si="377"/>
        <x:v>134.2414367616</x:v>
      </x:c>
      <x:c r="AC386" s="21">
        <x:f t="shared" si="378"/>
        <x:v>0.26848287352319999</x:v>
      </x:c>
      <x:c r="AD386" s="21"/>
      <x:c r="AE386" s="21">
        <x:f t="shared" si="379"/>
        <x:v>2.4460903200000002</x:v>
      </x:c>
      <x:c r="AF386" s="21"/>
      <x:c r="AG386" s="19" t="s">
        <x:v>78</x:v>
      </x:c>
      <x:c r="AH386" t="s">
        <x:v>78</x:v>
      </x:c>
      <x:c r="AI386" t="s">
        <x:v>78</x:v>
      </x:c>
      <x:c r="AJ386" s="19"/>
      <x:c r="AK386" s="19" t="s">
        <x:v>78</x:v>
      </x:c>
      <x:c r="AL386" t="s">
        <x:v>78</x:v>
      </x:c>
      <x:c r="AM386" s="19" t="s">
        <x:v>78</x:v>
      </x:c>
      <x:c r="AN386" s="21"/>
      <x:c r="AO386" s="21"/>
      <x:c r="AP386" s="21"/>
      <x:c r="AQ386" s="21"/>
      <x:c r="AR386" s="21"/>
      <x:c r="AS386" s="21"/>
      <x:c r="AT386" s="21"/>
      <x:c r="AU386" s="21"/>
      <x:c r="AV386" s="21"/>
      <x:c r="AW386" t="s">
        <x:v>78</x:v>
      </x:c>
      <x:c r="AX386" s="19"/>
      <x:c r="AY386" s="21"/>
      <x:c r="AZ386" s="21"/>
      <x:c r="BA386" s="21"/>
      <x:c r="BB386" s="21"/>
      <x:c r="BC386" s="21"/>
      <x:c r="BD386" s="21"/>
      <x:c r="BE386" s="21"/>
      <x:c r="BF386" s="21"/>
      <x:c r="BG386" s="21"/>
      <x:c r="BH386" t="s">
        <x:v>81</x:v>
      </x:c>
      <x:c r="BI386" s="18">
        <x:v>113</x:v>
      </x:c>
      <x:c r="BJ386" s="18">
        <x:v>43</x:v>
      </x:c>
      <x:c r="BK386" s="18">
        <x:v>43.25</x:v>
      </x:c>
      <x:c r="BL386" s="18">
        <x:v>23</x:v>
      </x:c>
      <x:c r="BM386" s="18">
        <x:v>8</x:v>
      </x:c>
      <x:c r="BN386" s="18">
        <x:v>24.29</x:v>
      </x:c>
      <x:c r="BO386" s="22">
        <x:v>113.728680555556</x:v>
      </x:c>
      <x:c r="BP386" s="22">
        <x:v>23.140080555555599</x:v>
      </x:c>
      <x:c r="BQ386" s="18">
        <x:v>120</x:v>
      </x:c>
      <x:c r="BR386" s="18">
        <x:v>59423.107000000004</x:v>
      </x:c>
      <x:c r="BS386" s="18">
        <x:v>105.855</x:v>
      </x:c>
      <x:c r="BT386" s="18">
        <x:v>11.202</x:v>
      </x:c>
      <x:c r="BU386" s="18">
        <x:v>73.382999999999996</x:v>
      </x:c>
      <x:c r="BV386" s="18">
        <x:v>36.691000000000003</x:v>
      </x:c>
      <x:c r="BW386" s="18">
        <x:v>5537.4589999999998</x:v>
      </x:c>
      <x:c r="BX386" s="18">
        <x:v>0.26600000000000001</x:v>
      </x:c>
      <x:c r="BY386" s="18">
        <x:v>831.67100000000005</x:v>
      </x:c>
      <x:c r="BZ386" s="18">
        <x:v>831.67100000000005</x:v>
      </x:c>
      <x:c r="CA386" s="23" t="n">
        <x:f t="shared" ref="CA386:CA427" si="380">X386+AN386+AY386</x:f>
        <x:v>259.89709650000003</x:v>
      </x:c>
      <x:c r="CB386" s="23" t="n">
        <x:f t="shared" ref="CB386:CB427" si="381">Y386+AO386+AZ386</x:f>
        <x:v>547.92423168</x:v>
      </x:c>
      <x:c r="CC386" s="23" t="n">
        <x:f t="shared" ref="CC386:CC427" si="382">Z386+AP386+BA386</x:f>
        <x:v>122.304516</x:v>
      </x:c>
      <x:c r="CD386" s="23" t="n">
        <x:f t="shared" ref="CD386:CD427" si="383">AA386+AQ386+BB386</x:f>
        <x:v>556.1430951552</x:v>
      </x:c>
      <x:c r="CE386" s="23" t="n">
        <x:f t="shared" ref="CE386:CE427" si="384">AB386+AR386+BC386</x:f>
        <x:v>134.2414367616</x:v>
      </x:c>
      <x:c r="CF386" s="23" t="n">
        <x:f t="shared" ref="CF386:CF427" si="385">AC386+AS386+BD386</x:f>
        <x:v>0.2684828735232</x:v>
      </x:c>
      <x:c r="CG386" s="23" t="n">
        <x:f t="shared" ref="CG386:CG427" si="386">AD386+AT386+BE386</x:f>
        <x:v>0</x:v>
      </x:c>
      <x:c r="CH386" s="23" t="n">
        <x:f t="shared" ref="CH386:CH427" si="387">AE386+AU386+BF386</x:f>
        <x:v>2.44609032</x:v>
      </x:c>
      <x:c r="CI386" s="23" t="n">
        <x:f t="shared" ref="CI386:CI427" si="388">AF386+AV386+BG386</x:f>
        <x:v>0</x:v>
      </x:c>
      <x:c r="CJ386" s="24" t="s">
        <x:v>202</x:v>
      </x:c>
      <x:c r="CK386" s="25">
        <x:v>97.9</x:v>
      </x:c>
      <x:c r="CL386" s="26" t="s">
        <x:v>127</x:v>
      </x:c>
      <x:c r="CM386" s="26">
        <x:v>45</x:v>
      </x:c>
      <x:c r="CN386" s="27" t="s">
        <x:v>233</x:v>
      </x:c>
      <x:c r="CO386" s="27">
        <x:v>99.4</x:v>
      </x:c>
      <x:c r="CP386" s="27">
        <x:v>98.3</x:v>
      </x:c>
      <x:c r="CQ386" s="26" t="n">
        <x:f t="shared" ref="CQ386:CQ427" si="389">CA386*(1-CK386/100)</x:f>
        <x:v>5.457839026499976</x:v>
      </x:c>
      <x:c r="CR386" s="26" t="n">
        <x:f t="shared" ref="CR386:CR427" si="390">CB386*(1-CM386/100)</x:f>
        <x:v>301.35832742400004</x:v>
      </x:c>
      <x:c r="CS386" s="26">
        <x:f t="shared" si="327"/>
        <x:v>122.30451600000001</x:v>
      </x:c>
      <x:c r="CT386" s="26">
        <x:f t="shared" si="350"/>
        <x:v>3.3368585709311409</x:v>
      </x:c>
      <x:c r="CU386" s="26">
        <x:f t="shared" si="351"/>
        <x:v>2.2821044249472022</x:v>
      </x:c>
      <x:c r="CV386" s="26">
        <x:f t="shared" si="352"/>
        <x:v>4.5642088498944041E-3</x:v>
      </x:c>
      <x:c r="CW386" s="26">
        <x:f t="shared" si="353"/>
        <x:v>0</x:v>
      </x:c>
      <x:c r="CX386" s="26">
        <x:f t="shared" si="328"/>
        <x:v>2.4460903200000002</x:v>
      </x:c>
      <x:c r="CY386" s="26">
        <x:f t="shared" si="329"/>
        <x:v>0</x:v>
      </x:c>
    </x:row>
    <x:row r="387">
      <x:c r="A387" s="18">
        <x:v>2022</x:v>
      </x:c>
      <x:c r="B387" t="s">
        <x:v>799</x:v>
      </x:c>
      <x:c r="C387" t="s">
        <x:v>800</x:v>
      </x:c>
      <x:c r="D387" t="s">
        <x:v>801</x:v>
      </x:c>
      <x:c r="E387" s="18">
        <x:v>441978</x:v>
      </x:c>
      <x:c r="F387" t="s">
        <x:v>789</x:v>
      </x:c>
      <x:c r="G387" s="8" t="s">
        <x:v>697</x:v>
      </x:c>
      <x:c r="H387" s="18">
        <x:v>2221</x:v>
      </x:c>
      <x:c r="I387" t="s">
        <x:v>158</x:v>
      </x:c>
      <x:c r="J387" t="s">
        <x:v>78</x:v>
      </x:c>
      <x:c r="K387" t="s">
        <x:v>109</x:v>
      </x:c>
      <x:c r="L387" s="20">
        <x:v>1.2</x:v>
      </x:c>
      <x:c r="M387" t="s">
        <x:v>125</x:v>
      </x:c>
      <x:c r="N387" s="18">
        <x:v>90</x:v>
      </x:c>
      <x:c r="O387" t="s">
        <x:v>88</x:v>
      </x:c>
      <x:c r="P387" s="18">
        <x:v>1</x:v>
      </x:c>
      <x:c r="Q387" s="19" t="s">
        <x:v>121</x:v>
      </x:c>
      <x:c r="R387" s="18">
        <x:v>28542.353999999999</x:v>
      </x:c>
      <x:c r="S387" t="s">
        <x:v>112</x:v>
      </x:c>
      <x:c r="T387" s="19">
        <x:f t="shared" si="372"/>
        <x:v>28542.353999999999</x:v>
      </x:c>
      <x:c r="U387" s="20">
        <x:v>0.25</x:v>
      </x:c>
      <x:c r="V387" t="s">
        <x:v>113</x:v>
      </x:c>
      <x:c r="W387" s="20">
        <x:v>5.6</x:v>
      </x:c>
      <x:c r="X387" s="21">
        <x:f t="shared" si="373"/>
        <x:v>121.30500450000001</x:v>
      </x:c>
      <x:c r="Y387" s="21">
        <x:f t="shared" si="374"/>
        <x:v>255.73949184000003</x:v>
      </x:c>
      <x:c r="Z387" s="21">
        <x:f t="shared" si="375"/>
        <x:v>57.084707999999999</x:v>
      </x:c>
      <x:c r="AA387" s="21">
        <x:f t="shared" si="376"/>
        <x:v>259.57558421759995</x:v>
      </x:c>
      <x:c r="AB387" s="21">
        <x:f t="shared" si="377"/>
        <x:v>62.656175500799996</x:v>
      </x:c>
      <x:c r="AC387" s="21">
        <x:f t="shared" si="378"/>
        <x:v>0.12531235100159999</x:v>
      </x:c>
      <x:c r="AD387" s="21"/>
      <x:c r="AE387" s="21">
        <x:f t="shared" si="379"/>
        <x:v>1.1416941599999999</x:v>
      </x:c>
      <x:c r="AF387" s="21"/>
      <x:c r="AG387" s="19" t="s">
        <x:v>78</x:v>
      </x:c>
      <x:c r="AH387" t="s">
        <x:v>78</x:v>
      </x:c>
      <x:c r="AI387" t="s">
        <x:v>78</x:v>
      </x:c>
      <x:c r="AJ387" s="19"/>
      <x:c r="AK387" s="19" t="s">
        <x:v>78</x:v>
      </x:c>
      <x:c r="AL387" t="s">
        <x:v>78</x:v>
      </x:c>
      <x:c r="AM387" s="19" t="s">
        <x:v>78</x:v>
      </x:c>
      <x:c r="AN387" s="21"/>
      <x:c r="AO387" s="21"/>
      <x:c r="AP387" s="21"/>
      <x:c r="AQ387" s="21"/>
      <x:c r="AR387" s="21"/>
      <x:c r="AS387" s="21"/>
      <x:c r="AT387" s="21"/>
      <x:c r="AU387" s="21"/>
      <x:c r="AV387" s="21"/>
      <x:c r="AW387" t="s">
        <x:v>78</x:v>
      </x:c>
      <x:c r="AX387" s="19"/>
      <x:c r="AY387" s="21"/>
      <x:c r="AZ387" s="21"/>
      <x:c r="BA387" s="21"/>
      <x:c r="BB387" s="21"/>
      <x:c r="BC387" s="21"/>
      <x:c r="BD387" s="21"/>
      <x:c r="BE387" s="21"/>
      <x:c r="BF387" s="21"/>
      <x:c r="BG387" s="21"/>
      <x:c r="BH387" t="s">
        <x:v>81</x:v>
      </x:c>
      <x:c r="BI387" s="18">
        <x:v>113</x:v>
      </x:c>
      <x:c r="BJ387" s="18">
        <x:v>43</x:v>
      </x:c>
      <x:c r="BK387" s="18">
        <x:v>43.25</x:v>
      </x:c>
      <x:c r="BL387" s="18">
        <x:v>23</x:v>
      </x:c>
      <x:c r="BM387" s="18">
        <x:v>8</x:v>
      </x:c>
      <x:c r="BN387" s="18">
        <x:v>24.29</x:v>
      </x:c>
      <x:c r="BO387" s="22">
        <x:v>113.728680555556</x:v>
      </x:c>
      <x:c r="BP387" s="22">
        <x:v>23.140080555555599</x:v>
      </x:c>
      <x:c r="BQ387" s="18">
        <x:v>120</x:v>
      </x:c>
      <x:c r="BR387" s="18">
        <x:v>29774.411</x:v>
      </x:c>
      <x:c r="BS387" s="18">
        <x:v>49.406999999999996</x:v>
      </x:c>
      <x:c r="BT387" s="18">
        <x:v>5.2290000000000001</x:v>
      </x:c>
      <x:c r="BU387" s="18">
        <x:v>34.250999999999998</x:v>
      </x:c>
      <x:c r="BV387" s="18">
        <x:v>17.125</x:v>
      </x:c>
      <x:c r="BW387" s="18">
        <x:v>2584.567</x:v>
      </x:c>
      <x:c r="BX387" s="18">
        <x:v>0.124</x:v>
      </x:c>
      <x:c r="BY387" s="18">
        <x:v>388.17599999999999</x:v>
      </x:c>
      <x:c r="BZ387" s="18">
        <x:v>388.17599999999999</x:v>
      </x:c>
      <x:c r="CA387" s="23">
        <x:f t="shared" si="380"/>
        <x:v>121.30500450000001</x:v>
      </x:c>
      <x:c r="CB387" s="23">
        <x:f t="shared" si="381"/>
        <x:v>255.73949184000003</x:v>
      </x:c>
      <x:c r="CC387" s="23">
        <x:f t="shared" si="382"/>
        <x:v>57.084707999999999</x:v>
      </x:c>
      <x:c r="CD387" s="23">
        <x:f t="shared" si="383"/>
        <x:v>259.57558421759995</x:v>
      </x:c>
      <x:c r="CE387" s="23">
        <x:f t="shared" si="384"/>
        <x:v>62.656175500799996</x:v>
      </x:c>
      <x:c r="CF387" s="23">
        <x:f t="shared" si="385"/>
        <x:v>0.12531235100159999</x:v>
      </x:c>
      <x:c r="CG387" s="23">
        <x:f t="shared" si="386"/>
        <x:v>0</x:v>
      </x:c>
      <x:c r="CH387" s="23">
        <x:f t="shared" si="387"/>
        <x:v>1.1416941599999999</x:v>
      </x:c>
      <x:c r="CI387" s="23">
        <x:f t="shared" si="388"/>
        <x:v>0</x:v>
      </x:c>
      <x:c r="CJ387" s="24" t="s">
        <x:v>202</x:v>
      </x:c>
      <x:c r="CK387" s="25">
        <x:v>97.9</x:v>
      </x:c>
      <x:c r="CL387" s="26" t="s">
        <x:v>127</x:v>
      </x:c>
      <x:c r="CM387" s="26">
        <x:v>45</x:v>
      </x:c>
      <x:c r="CN387" s="27" t="s">
        <x:v>233</x:v>
      </x:c>
      <x:c r="CO387" s="27">
        <x:v>99.4</x:v>
      </x:c>
      <x:c r="CP387" s="27">
        <x:v>98.3</x:v>
      </x:c>
      <x:c r="CQ387" s="26">
        <x:f t="shared" si="389"/>
        <x:v>2.5474050944999891</x:v>
      </x:c>
      <x:c r="CR387" s="26">
        <x:f t="shared" si="390"/>
        <x:v>140.65672051200002</x:v>
      </x:c>
      <x:c r="CS387" s="26" t="n">
        <x:f t="shared" ref="CS387:CS427" si="391">CC387</x:f>
        <x:v>57.084708</x:v>
      </x:c>
      <x:c r="CT387" s="26">
        <x:f t="shared" si="350"/>
        <x:v>1.5574535053055722</x:v>
      </x:c>
      <x:c r="CU387" s="26">
        <x:f t="shared" si="351"/>
        <x:v>1.0651549835136009</x:v>
      </x:c>
      <x:c r="CV387" s="26">
        <x:f t="shared" si="352"/>
        <x:v>2.1303099670272017E-3</x:v>
      </x:c>
      <x:c r="CW387" s="26">
        <x:f t="shared" si="353"/>
        <x:v>0</x:v>
      </x:c>
      <x:c r="CX387" s="26" t="n">
        <x:f t="shared" ref="CX387:CX427" si="392">CH387</x:f>
        <x:v>1.14169416</x:v>
      </x:c>
      <x:c r="CY387" s="26" t="n">
        <x:f t="shared" ref="CY387:CY427" si="393">CI387</x:f>
        <x:v>0</x:v>
      </x:c>
    </x:row>
    <x:row r="388">
      <x:c r="A388" s="18">
        <x:v>2022</x:v>
      </x:c>
      <x:c r="B388" t="s">
        <x:v>799</x:v>
      </x:c>
      <x:c r="C388" t="s">
        <x:v>800</x:v>
      </x:c>
      <x:c r="D388" t="s">
        <x:v>801</x:v>
      </x:c>
      <x:c r="E388" s="18">
        <x:v>441978</x:v>
      </x:c>
      <x:c r="F388" t="s">
        <x:v>789</x:v>
      </x:c>
      <x:c r="G388" s="8" t="s">
        <x:v>697</x:v>
      </x:c>
      <x:c r="H388" s="18">
        <x:v>2221</x:v>
      </x:c>
      <x:c r="I388" t="s">
        <x:v>158</x:v>
      </x:c>
      <x:c r="J388" t="s">
        <x:v>78</x:v>
      </x:c>
      <x:c r="K388" t="s">
        <x:v>109</x:v>
      </x:c>
      <x:c r="L388" s="20">
        <x:v>3</x:v>
      </x:c>
      <x:c r="M388" t="s">
        <x:v>125</x:v>
      </x:c>
      <x:c r="N388" s="18">
        <x:v>240</x:v>
      </x:c>
      <x:c r="O388" t="s">
        <x:v>88</x:v>
      </x:c>
      <x:c r="P388" s="18">
        <x:v>1</x:v>
      </x:c>
      <x:c r="Q388" s="19" t="s">
        <x:v>121</x:v>
      </x:c>
      <x:c r="R388" s="18">
        <x:v>175204.77900000001</x:v>
      </x:c>
      <x:c r="S388" t="s">
        <x:v>112</x:v>
      </x:c>
      <x:c r="T388" s="19">
        <x:f t="shared" si="372"/>
        <x:v>175204.77900000001</x:v>
      </x:c>
      <x:c r="U388" s="20">
        <x:v>0.25</x:v>
      </x:c>
      <x:c r="V388" t="s">
        <x:v>113</x:v>
      </x:c>
      <x:c r="W388" s="20">
        <x:v>5.6</x:v>
      </x:c>
      <x:c r="X388" s="21">
        <x:f t="shared" si="373"/>
        <x:v>744.62031075000004</x:v>
      </x:c>
      <x:c r="Y388" s="21">
        <x:f t="shared" si="374"/>
        <x:v>1569.8348198400001</x:v>
      </x:c>
      <x:c r="Z388" s="21">
        <x:f t="shared" si="375"/>
        <x:v>350.409558</x:v>
      </x:c>
      <x:c r="AA388" s="21">
        <x:f t="shared" si="376"/>
        <x:v>1593.3823421375998</x:v>
      </x:c>
      <x:c r="AB388" s="21">
        <x:f t="shared" si="377"/>
        <x:v>384.60953086080002</x:v>
      </x:c>
      <x:c r="AC388" s="21">
        <x:f t="shared" si="378"/>
        <x:v>0.76921906172160004</x:v>
      </x:c>
      <x:c r="AD388" s="21"/>
      <x:c r="AE388" s="21">
        <x:f t="shared" si="379"/>
        <x:v>7.00819116</x:v>
      </x:c>
      <x:c r="AF388" s="21"/>
      <x:c r="AG388" s="19" t="s">
        <x:v>78</x:v>
      </x:c>
      <x:c r="AH388" t="s">
        <x:v>78</x:v>
      </x:c>
      <x:c r="AI388" t="s">
        <x:v>78</x:v>
      </x:c>
      <x:c r="AJ388" s="19"/>
      <x:c r="AK388" s="19" t="s">
        <x:v>78</x:v>
      </x:c>
      <x:c r="AL388" t="s">
        <x:v>78</x:v>
      </x:c>
      <x:c r="AM388" s="19" t="s">
        <x:v>78</x:v>
      </x:c>
      <x:c r="AN388" s="21"/>
      <x:c r="AO388" s="21"/>
      <x:c r="AP388" s="21"/>
      <x:c r="AQ388" s="21"/>
      <x:c r="AR388" s="21"/>
      <x:c r="AS388" s="21"/>
      <x:c r="AT388" s="21"/>
      <x:c r="AU388" s="21"/>
      <x:c r="AV388" s="21"/>
      <x:c r="AW388" t="s">
        <x:v>78</x:v>
      </x:c>
      <x:c r="AX388" s="19"/>
      <x:c r="AY388" s="21"/>
      <x:c r="AZ388" s="21"/>
      <x:c r="BA388" s="21"/>
      <x:c r="BB388" s="21"/>
      <x:c r="BC388" s="21"/>
      <x:c r="BD388" s="21"/>
      <x:c r="BE388" s="21"/>
      <x:c r="BF388" s="21"/>
      <x:c r="BG388" s="21"/>
      <x:c r="BH388" t="s">
        <x:v>81</x:v>
      </x:c>
      <x:c r="BI388" s="18">
        <x:v>113</x:v>
      </x:c>
      <x:c r="BJ388" s="18">
        <x:v>43</x:v>
      </x:c>
      <x:c r="BK388" s="18">
        <x:v>43.25</x:v>
      </x:c>
      <x:c r="BL388" s="18">
        <x:v>23</x:v>
      </x:c>
      <x:c r="BM388" s="18">
        <x:v>8</x:v>
      </x:c>
      <x:c r="BN388" s="18">
        <x:v>24.29</x:v>
      </x:c>
      <x:c r="BO388" s="22">
        <x:v>113.728680555556</x:v>
      </x:c>
      <x:c r="BP388" s="22">
        <x:v>23.140080555555599</x:v>
      </x:c>
      <x:c r="BQ388" s="18">
        <x:v>120</x:v>
      </x:c>
      <x:c r="BR388" s="18">
        <x:v>167231.201</x:v>
      </x:c>
      <x:c r="BS388" s="18">
        <x:v>308.536</x:v>
      </x:c>
      <x:c r="BT388" s="18">
        <x:v>32.652000000000001</x:v>
      </x:c>
      <x:c r="BU388" s="18">
        <x:v>197.98099999999999</x:v>
      </x:c>
      <x:c r="BV388" s="18">
        <x:v>98.991</x:v>
      </x:c>
      <x:c r="BW388" s="18">
        <x:v>15456.915999999999</x:v>
      </x:c>
      <x:c r="BX388" s="18">
        <x:v>0.74199999999999999</x:v>
      </x:c>
      <x:c r="BY388" s="18">
        <x:v>2382.7849999999999</x:v>
      </x:c>
      <x:c r="BZ388" s="18">
        <x:v>2382.7849999999999</x:v>
      </x:c>
      <x:c r="CA388" s="23">
        <x:f t="shared" si="380"/>
        <x:v>744.62031075000004</x:v>
      </x:c>
      <x:c r="CB388" s="23">
        <x:f t="shared" si="381"/>
        <x:v>1569.8348198400001</x:v>
      </x:c>
      <x:c r="CC388" s="23">
        <x:f t="shared" si="382"/>
        <x:v>350.409558</x:v>
      </x:c>
      <x:c r="CD388" s="23">
        <x:f t="shared" si="383"/>
        <x:v>1593.3823421375998</x:v>
      </x:c>
      <x:c r="CE388" s="23">
        <x:f t="shared" si="384"/>
        <x:v>384.60953086080002</x:v>
      </x:c>
      <x:c r="CF388" s="23">
        <x:f t="shared" si="385"/>
        <x:v>0.76921906172160004</x:v>
      </x:c>
      <x:c r="CG388" s="23">
        <x:f t="shared" si="386"/>
        <x:v>0</x:v>
      </x:c>
      <x:c r="CH388" s="23">
        <x:f t="shared" si="387"/>
        <x:v>7.00819116</x:v>
      </x:c>
      <x:c r="CI388" s="23">
        <x:f t="shared" si="388"/>
        <x:v>0</x:v>
      </x:c>
      <x:c r="CJ388" s="24" t="s">
        <x:v>202</x:v>
      </x:c>
      <x:c r="CK388" s="25">
        <x:v>97.9</x:v>
      </x:c>
      <x:c r="CL388" s="26" t="s">
        <x:v>127</x:v>
      </x:c>
      <x:c r="CM388" s="26">
        <x:v>45</x:v>
      </x:c>
      <x:c r="CN388" s="27" t="s">
        <x:v>233</x:v>
      </x:c>
      <x:c r="CO388" s="27">
        <x:v>99.4</x:v>
      </x:c>
      <x:c r="CP388" s="27">
        <x:v>98.3</x:v>
      </x:c>
      <x:c r="CQ388" s="26">
        <x:f t="shared" si="389"/>
        <x:v>15.637026525749933</x:v>
      </x:c>
      <x:c r="CR388" s="26">
        <x:f t="shared" si="390"/>
        <x:v>863.4091509120002</x:v>
      </x:c>
      <x:c r="CS388" s="26">
        <x:f t="shared" si="391"/>
        <x:v>350.409558</x:v>
      </x:c>
      <x:c r="CT388" s="26">
        <x:f t="shared" si="350"/>
        <x:v>9.5602940528254301</x:v>
      </x:c>
      <x:c r="CU388" s="26">
        <x:f t="shared" si="351"/>
        <x:v>6.5383620246336065</x:v>
      </x:c>
      <x:c r="CV388" s="26">
        <x:f t="shared" si="352"/>
        <x:v>1.3076724049267211E-2</x:v>
      </x:c>
      <x:c r="CW388" s="26">
        <x:f t="shared" si="353"/>
        <x:v>0</x:v>
      </x:c>
      <x:c r="CX388" s="26">
        <x:f t="shared" si="392"/>
        <x:v>7.00819116</x:v>
      </x:c>
      <x:c r="CY388" s="26">
        <x:f t="shared" si="393"/>
        <x:v>0</x:v>
      </x:c>
    </x:row>
    <x:row r="389">
      <x:c r="A389" s="18">
        <x:v>2022</x:v>
      </x:c>
      <x:c r="B389" t="s">
        <x:v>799</x:v>
      </x:c>
      <x:c r="C389" t="s">
        <x:v>800</x:v>
      </x:c>
      <x:c r="D389" t="s">
        <x:v>801</x:v>
      </x:c>
      <x:c r="E389" s="18">
        <x:v>441978</x:v>
      </x:c>
      <x:c r="F389" t="s">
        <x:v>789</x:v>
      </x:c>
      <x:c r="G389" s="8" t="s">
        <x:v>697</x:v>
      </x:c>
      <x:c r="H389" s="18">
        <x:v>2221</x:v>
      </x:c>
      <x:c r="I389" t="s">
        <x:v>158</x:v>
      </x:c>
      <x:c r="J389" t="s">
        <x:v>78</x:v>
      </x:c>
      <x:c r="K389" t="s">
        <x:v>109</x:v>
      </x:c>
      <x:c r="L389" s="20">
        <x:v>3</x:v>
      </x:c>
      <x:c r="M389" t="s">
        <x:v>125</x:v>
      </x:c>
      <x:c r="N389" s="18">
        <x:v>240</x:v>
      </x:c>
      <x:c r="O389" t="s">
        <x:v>88</x:v>
      </x:c>
      <x:c r="P389" s="18">
        <x:v>1</x:v>
      </x:c>
      <x:c r="Q389" s="19" t="s">
        <x:v>121</x:v>
      </x:c>
      <x:c r="R389" s="18">
        <x:v>198822.364</x:v>
      </x:c>
      <x:c r="S389" t="s">
        <x:v>112</x:v>
      </x:c>
      <x:c r="T389" s="19">
        <x:f t="shared" si="372"/>
        <x:v>198822.364</x:v>
      </x:c>
      <x:c r="U389" s="20">
        <x:v>0.25</x:v>
      </x:c>
      <x:c r="V389" t="s">
        <x:v>113</x:v>
      </x:c>
      <x:c r="W389" s="20">
        <x:v>5.6</x:v>
      </x:c>
      <x:c r="X389" s="21">
        <x:f t="shared" si="373"/>
        <x:v>844.99504700000011</x:v>
      </x:c>
      <x:c r="Y389" s="21">
        <x:f t="shared" si="374"/>
        <x:v>1781.44838144</x:v>
      </x:c>
      <x:c r="Z389" s="21">
        <x:f t="shared" si="375"/>
        <x:v>397.64472799999999</x:v>
      </x:c>
      <x:c r="AA389" s="21">
        <x:f t="shared" si="376"/>
        <x:v>1808.1701071615998</x:v>
      </x:c>
      <x:c r="AB389" s="21">
        <x:f t="shared" si="377"/>
        <x:v>436.45485345280002</x:v>
      </x:c>
      <x:c r="AC389" s="21">
        <x:f t="shared" si="378"/>
        <x:v>0.8729097069056001</x:v>
      </x:c>
      <x:c r="AD389" s="21"/>
      <x:c r="AE389" s="21">
        <x:f t="shared" si="379"/>
        <x:v>7.9528945600000007</x:v>
      </x:c>
      <x:c r="AF389" s="21"/>
      <x:c r="AG389" s="19" t="s">
        <x:v>78</x:v>
      </x:c>
      <x:c r="AH389" t="s">
        <x:v>78</x:v>
      </x:c>
      <x:c r="AI389" t="s">
        <x:v>78</x:v>
      </x:c>
      <x:c r="AJ389" s="19"/>
      <x:c r="AK389" s="19" t="s">
        <x:v>78</x:v>
      </x:c>
      <x:c r="AL389" t="s">
        <x:v>78</x:v>
      </x:c>
      <x:c r="AM389" s="19" t="s">
        <x:v>78</x:v>
      </x:c>
      <x:c r="AN389" s="21"/>
      <x:c r="AO389" s="21"/>
      <x:c r="AP389" s="21"/>
      <x:c r="AQ389" s="21"/>
      <x:c r="AR389" s="21"/>
      <x:c r="AS389" s="21"/>
      <x:c r="AT389" s="21"/>
      <x:c r="AU389" s="21"/>
      <x:c r="AV389" s="21"/>
      <x:c r="AW389" t="s">
        <x:v>78</x:v>
      </x:c>
      <x:c r="AX389" s="19"/>
      <x:c r="AY389" s="21"/>
      <x:c r="AZ389" s="21"/>
      <x:c r="BA389" s="21"/>
      <x:c r="BB389" s="21"/>
      <x:c r="BC389" s="21"/>
      <x:c r="BD389" s="21"/>
      <x:c r="BE389" s="21"/>
      <x:c r="BF389" s="21"/>
      <x:c r="BG389" s="21"/>
      <x:c r="BH389" t="s">
        <x:v>81</x:v>
      </x:c>
      <x:c r="BI389" s="18">
        <x:v>113</x:v>
      </x:c>
      <x:c r="BJ389" s="18">
        <x:v>43</x:v>
      </x:c>
      <x:c r="BK389" s="18">
        <x:v>43.25</x:v>
      </x:c>
      <x:c r="BL389" s="18">
        <x:v>23</x:v>
      </x:c>
      <x:c r="BM389" s="18">
        <x:v>8</x:v>
      </x:c>
      <x:c r="BN389" s="18">
        <x:v>24.29</x:v>
      </x:c>
      <x:c r="BO389" s="22">
        <x:v>113.728680555556</x:v>
      </x:c>
      <x:c r="BP389" s="22">
        <x:v>23.140080555555599</x:v>
      </x:c>
      <x:c r="BQ389" s="18">
        <x:v>120</x:v>
      </x:c>
      <x:c r="BR389" s="18">
        <x:v>188520.16800000001</x:v>
      </x:c>
      <x:c r="BS389" s="18">
        <x:v>350.12599999999998</x:v>
      </x:c>
      <x:c r="BT389" s="18">
        <x:v>37.052999999999997</x:v>
      </x:c>
      <x:c r="BU389" s="18">
        <x:v>224.66900000000001</x:v>
      </x:c>
      <x:c r="BV389" s="18">
        <x:v>112.33499999999999</x:v>
      </x:c>
      <x:c r="BW389" s="18">
        <x:v>17540.507000000001</x:v>
      </x:c>
      <x:c r="BX389" s="18">
        <x:v>0.84199999999999997</x:v>
      </x:c>
      <x:c r="BY389" s="18">
        <x:v>2703.9839999999999</x:v>
      </x:c>
      <x:c r="BZ389" s="18">
        <x:v>2703.9839999999999</x:v>
      </x:c>
      <x:c r="CA389" s="23">
        <x:f t="shared" si="380"/>
        <x:v>844.99504700000011</x:v>
      </x:c>
      <x:c r="CB389" s="23">
        <x:f t="shared" si="381"/>
        <x:v>1781.44838144</x:v>
      </x:c>
      <x:c r="CC389" s="23">
        <x:f t="shared" si="382"/>
        <x:v>397.64472799999999</x:v>
      </x:c>
      <x:c r="CD389" s="23">
        <x:f t="shared" si="383"/>
        <x:v>1808.1701071615998</x:v>
      </x:c>
      <x:c r="CE389" s="23">
        <x:f t="shared" si="384"/>
        <x:v>436.45485345280002</x:v>
      </x:c>
      <x:c r="CF389" s="23">
        <x:f t="shared" si="385"/>
        <x:v>0.8729097069056001</x:v>
      </x:c>
      <x:c r="CG389" s="23">
        <x:f t="shared" si="386"/>
        <x:v>0</x:v>
      </x:c>
      <x:c r="CH389" s="23">
        <x:f t="shared" si="387"/>
        <x:v>7.9528945600000007</x:v>
      </x:c>
      <x:c r="CI389" s="23">
        <x:f t="shared" si="388"/>
        <x:v>0</x:v>
      </x:c>
      <x:c r="CJ389" s="24" t="s">
        <x:v>202</x:v>
      </x:c>
      <x:c r="CK389" s="25">
        <x:v>97.9</x:v>
      </x:c>
      <x:c r="CL389" s="26" t="s">
        <x:v>127</x:v>
      </x:c>
      <x:c r="CM389" s="26">
        <x:v>45</x:v>
      </x:c>
      <x:c r="CN389" s="27" t="s">
        <x:v>233</x:v>
      </x:c>
      <x:c r="CO389" s="27">
        <x:v>99.4</x:v>
      </x:c>
      <x:c r="CP389" s="27">
        <x:v>98.3</x:v>
      </x:c>
      <x:c r="CQ389" s="26">
        <x:f t="shared" si="389"/>
        <x:v>17.744895986999925</x:v>
      </x:c>
      <x:c r="CR389" s="26">
        <x:f t="shared" si="390"/>
        <x:v>979.79660979200014</x:v>
      </x:c>
      <x:c r="CS389" s="26">
        <x:f t="shared" si="391"/>
        <x:v>397.64472799999999</x:v>
      </x:c>
      <x:c r="CT389" s="26">
        <x:f t="shared" si="350"/>
        <x:v>10.849020642969409</x:v>
      </x:c>
      <x:c r="CU389" s="26">
        <x:f t="shared" si="351"/>
        <x:v>7.4197325086976074</x:v>
      </x:c>
      <x:c r="CV389" s="26">
        <x:f t="shared" si="352"/>
        <x:v>1.4839465017395215E-2</x:v>
      </x:c>
      <x:c r="CW389" s="26">
        <x:f t="shared" si="353"/>
        <x:v>0</x:v>
      </x:c>
      <x:c r="CX389" s="26">
        <x:f t="shared" si="392"/>
        <x:v>7.9528945600000007</x:v>
      </x:c>
      <x:c r="CY389" s="26">
        <x:f t="shared" si="393"/>
        <x:v>0</x:v>
      </x:c>
    </x:row>
    <x:row r="390" s="8" customFormat="1">
      <x:c r="A390" s="31">
        <x:v>2022</x:v>
      </x:c>
      <x:c r="B390" s="8" t="s">
        <x:v>802</x:v>
      </x:c>
      <x:c r="C390" s="8" t="s">
        <x:v>803</x:v>
      </x:c>
      <x:c r="D390" s="8" t="s">
        <x:v>804</x:v>
      </x:c>
      <x:c r="E390" s="31">
        <x:v>441979</x:v>
      </x:c>
      <x:c r="F390" s="8" t="s">
        <x:v>805</x:v>
      </x:c>
      <x:c r="G390" s="8" t="s">
        <x:v>697</x:v>
      </x:c>
      <x:c r="H390" s="31">
        <x:v>4412</x:v>
      </x:c>
      <x:c r="I390" s="8" t="s">
        <x:v>108</x:v>
      </x:c>
      <x:c r="J390" s="8" t="s">
        <x:v>806</x:v>
      </x:c>
      <x:c r="K390" s="8" t="s">
        <x:v>80</x:v>
      </x:c>
      <x:c r="L390" s="31">
        <x:v>18</x:v>
      </x:c>
      <x:c r="M390" s="8" t="s">
        <x:v>78</x:v>
      </x:c>
      <x:c r="N390" s="31">
        <x:v>178</x:v>
      </x:c>
      <x:c r="O390" s="8" t="s">
        <x:v>88</x:v>
      </x:c>
      <x:c r="P390" s="31">
        <x:v>15</x:v>
      </x:c>
      <x:c r="Q390" s="32" t="s">
        <x:v>96</x:v>
      </x:c>
      <x:c r="R390" s="31">
        <x:v>9743.3700000000008</x:v>
      </x:c>
      <x:c r="S390" s="8" t="s">
        <x:v>76</x:v>
      </x:c>
      <x:c r="T390" s="32">
        <x:f t="shared" si="372"/>
        <x:v>9743.3700000000008</x:v>
      </x:c>
      <x:c r="U390" s="32">
        <x:v>3.83</x:v>
      </x:c>
      <x:c r="V390" s="8" t="s">
        <x:v>77</x:v>
      </x:c>
      <x:c r="W390" s="32" t="s">
        <x:v>78</x:v>
      </x:c>
      <x:c r="X390" s="33" t="n">
        <x:f>2*U390*T390*10000/1000000000</x:f>
        <x:v>0.746342142</x:v>
      </x:c>
      <x:c r="Y390" s="21" t="n">
        <x:f>4.1*T390*10000/1000000</x:f>
        <x:v>399.47817</x:v>
      </x:c>
      <x:c r="Z390" s="21" t="n">
        <x:f>1.3*T390*10000/1000000</x:f>
        <x:v>126.66381000000001</x:v>
      </x:c>
      <x:c r="AA390" s="21" t="n">
        <x:f>0.03*T390*10000/1000000</x:f>
        <x:v>2.923011</x:v>
      </x:c>
      <x:c r="AB390" s="21" t="n">
        <x:f>0.03*T390*10000/1000000</x:f>
        <x:v>2.923011</x:v>
      </x:c>
      <x:c r="AC390" s="33"/>
      <x:c r="AD390" s="33"/>
      <x:c r="AE390" s="21" t="n">
        <x:f>0.02*T390*10000/1000000</x:f>
        <x:v>1.9486740000000002</x:v>
      </x:c>
      <x:c r="AF390" s="33"/>
      <x:c r="AG390" s="32" t="s">
        <x:v>78</x:v>
      </x:c>
      <x:c r="AH390" s="8" t="s">
        <x:v>78</x:v>
      </x:c>
      <x:c r="AI390" s="8" t="s">
        <x:v>78</x:v>
      </x:c>
      <x:c r="AJ390" s="32"/>
      <x:c r="AK390" s="32" t="s">
        <x:v>78</x:v>
      </x:c>
      <x:c r="AL390" s="8" t="s">
        <x:v>78</x:v>
      </x:c>
      <x:c r="AM390" s="32" t="s">
        <x:v>78</x:v>
      </x:c>
      <x:c r="AN390" s="33"/>
      <x:c r="AO390" s="33"/>
      <x:c r="AP390" s="33"/>
      <x:c r="AQ390" s="33"/>
      <x:c r="AR390" s="33"/>
      <x:c r="AS390" s="33"/>
      <x:c r="AT390" s="33"/>
      <x:c r="AU390" s="33"/>
      <x:c r="AV390" s="33"/>
      <x:c r="AW390" s="8" t="s">
        <x:v>78</x:v>
      </x:c>
      <x:c r="AX390" s="32"/>
      <x:c r="AY390" s="33"/>
      <x:c r="AZ390" s="33"/>
      <x:c r="BA390" s="33"/>
      <x:c r="BB390" s="33"/>
      <x:c r="BC390" s="33"/>
      <x:c r="BD390" s="33"/>
      <x:c r="BE390" s="33"/>
      <x:c r="BF390" s="33"/>
      <x:c r="BG390" s="33"/>
      <x:c r="BH390" s="8" t="s">
        <x:v>81</x:v>
      </x:c>
      <x:c r="BI390" s="31">
        <x:v>113</x:v>
      </x:c>
      <x:c r="BJ390" s="31">
        <x:v>45</x:v>
      </x:c>
      <x:c r="BK390" s="31">
        <x:v>58</x:v>
      </x:c>
      <x:c r="BL390" s="31">
        <x:v>23</x:v>
      </x:c>
      <x:c r="BM390" s="31">
        <x:v>7</x:v>
      </x:c>
      <x:c r="BN390" s="31">
        <x:v>44</x:v>
      </x:c>
      <x:c r="BO390" s="22">
        <x:v>113.766111111111</x:v>
      </x:c>
      <x:c r="BP390" s="22">
        <x:v>23.128888888888898</x:v>
      </x:c>
      <x:c r="BQ390" s="31">
        <x:v>60</x:v>
      </x:c>
      <x:c r="BR390" s="31">
        <x:v>311455</x:v>
      </x:c>
      <x:c r="BS390" s="8" t="s">
        <x:v>78</x:v>
      </x:c>
      <x:c r="BT390" s="8" t="s">
        <x:v>78</x:v>
      </x:c>
      <x:c r="BU390" s="31">
        <x:v>123.741</x:v>
      </x:c>
      <x:c r="BV390" s="31">
        <x:v>123.741</x:v>
      </x:c>
      <x:c r="BW390" s="8" t="s">
        <x:v>78</x:v>
      </x:c>
      <x:c r="BX390" s="8" t="s">
        <x:v>78</x:v>
      </x:c>
      <x:c r="BY390" s="8" t="s">
        <x:v>78</x:v>
      </x:c>
      <x:c r="BZ390" s="8" t="s">
        <x:v>78</x:v>
      </x:c>
      <x:c r="CA390" s="23">
        <x:f t="shared" si="380"/>
        <x:v>0.74634214200000004</x:v>
      </x:c>
      <x:c r="CB390" s="23">
        <x:f t="shared" si="381"/>
        <x:v>399.47816999999998</x:v>
      </x:c>
      <x:c r="CC390" s="23">
        <x:f t="shared" si="382"/>
        <x:v>126.66381000000001</x:v>
      </x:c>
      <x:c r="CD390" s="23">
        <x:f t="shared" si="383"/>
        <x:v>2.9230109999999998</x:v>
      </x:c>
      <x:c r="CE390" s="23">
        <x:f t="shared" si="384"/>
        <x:v>2.9230109999999998</x:v>
      </x:c>
      <x:c r="CF390" s="23">
        <x:f t="shared" si="385"/>
        <x:v>0</x:v>
      </x:c>
      <x:c r="CG390" s="23">
        <x:f t="shared" si="386"/>
        <x:v>0</x:v>
      </x:c>
      <x:c r="CH390" s="23">
        <x:f t="shared" si="387"/>
        <x:v>1.9486740000000002</x:v>
      </x:c>
      <x:c r="CI390" s="23">
        <x:f t="shared" si="388"/>
        <x:v>0</x:v>
      </x:c>
      <x:c r="CJ390" s="25" t="s">
        <x:v>78</x:v>
      </x:c>
      <x:c r="CK390" s="25">
        <x:v>0</x:v>
      </x:c>
      <x:c r="CL390" s="34" t="s">
        <x:v>78</x:v>
      </x:c>
      <x:c r="CM390" s="26">
        <x:v>42</x:v>
      </x:c>
      <x:c r="CN390" s="35" t="s">
        <x:v>78</x:v>
      </x:c>
      <x:c r="CO390" s="27">
        <x:v>0</x:v>
      </x:c>
      <x:c r="CP390" s="27">
        <x:v>0</x:v>
      </x:c>
      <x:c r="CQ390" s="26">
        <x:f t="shared" si="389"/>
        <x:v>0.74634214200000004</x:v>
      </x:c>
      <x:c r="CR390" s="26">
        <x:f t="shared" si="390"/>
        <x:v>231.69733860000002</x:v>
      </x:c>
      <x:c r="CS390" s="26">
        <x:f t="shared" si="391"/>
        <x:v>126.66381000000001</x:v>
      </x:c>
      <x:c r="CT390" s="26">
        <x:f t="shared" si="350"/>
        <x:v>2.9230109999999998</x:v>
      </x:c>
      <x:c r="CU390" s="26">
        <x:f t="shared" si="351"/>
        <x:v>2.9230109999999998</x:v>
      </x:c>
      <x:c r="CV390" s="26">
        <x:f t="shared" si="352"/>
        <x:v>0</x:v>
      </x:c>
      <x:c r="CW390" s="26">
        <x:f t="shared" si="353"/>
        <x:v>0</x:v>
      </x:c>
      <x:c r="CX390" s="26">
        <x:f t="shared" si="392"/>
        <x:v>1.9486740000000002</x:v>
      </x:c>
      <x:c r="CY390" s="26">
        <x:f t="shared" si="393"/>
        <x:v>0</x:v>
      </x:c>
    </x:row>
    <x:row r="391" s="8" customFormat="1">
      <x:c r="A391" s="31">
        <x:v>2022</x:v>
      </x:c>
      <x:c r="B391" s="8" t="s">
        <x:v>802</x:v>
      </x:c>
      <x:c r="C391" s="8" t="s">
        <x:v>803</x:v>
      </x:c>
      <x:c r="D391" s="8" t="s">
        <x:v>804</x:v>
      </x:c>
      <x:c r="E391" s="31">
        <x:v>441979</x:v>
      </x:c>
      <x:c r="F391" s="8" t="s">
        <x:v>805</x:v>
      </x:c>
      <x:c r="G391" s="8" t="s">
        <x:v>697</x:v>
      </x:c>
      <x:c r="H391" s="31">
        <x:v>4412</x:v>
      </x:c>
      <x:c r="I391" s="8" t="s">
        <x:v>108</x:v>
      </x:c>
      <x:c r="J391" s="8" t="s">
        <x:v>806</x:v>
      </x:c>
      <x:c r="K391" s="8" t="s">
        <x:v>80</x:v>
      </x:c>
      <x:c r="L391" s="31">
        <x:v>18</x:v>
      </x:c>
      <x:c r="M391" s="8" t="s">
        <x:v>78</x:v>
      </x:c>
      <x:c r="N391" s="31">
        <x:v>178</x:v>
      </x:c>
      <x:c r="O391" s="8" t="s">
        <x:v>88</x:v>
      </x:c>
      <x:c r="P391" s="31">
        <x:v>15</x:v>
      </x:c>
      <x:c r="Q391" s="32" t="s">
        <x:v>96</x:v>
      </x:c>
      <x:c r="R391" s="31">
        <x:v>7805.24</x:v>
      </x:c>
      <x:c r="S391" s="8" t="s">
        <x:v>76</x:v>
      </x:c>
      <x:c r="T391" s="32">
        <x:f t="shared" si="372"/>
        <x:v>7805.24</x:v>
      </x:c>
      <x:c r="U391" s="32">
        <x:v>3.83</x:v>
      </x:c>
      <x:c r="V391" s="8" t="s">
        <x:v>77</x:v>
      </x:c>
      <x:c r="W391" s="32" t="s">
        <x:v>78</x:v>
      </x:c>
      <x:c r="X391" s="33" t="n">
        <x:f>2*U391*T391*10000/1000000000</x:f>
        <x:v>0.597881384</x:v>
      </x:c>
      <x:c r="Y391" s="21" t="n">
        <x:f>4.1*T391*10000/1000000</x:f>
        <x:v>320.01483999999994</x:v>
      </x:c>
      <x:c r="Z391" s="21" t="n">
        <x:f>1.3*T391*10000/1000000</x:f>
        <x:v>101.46812</x:v>
      </x:c>
      <x:c r="AA391" s="21" t="n">
        <x:f>0.03*T391*10000/1000000</x:f>
        <x:v>2.341572</x:v>
      </x:c>
      <x:c r="AB391" s="21" t="n">
        <x:f>0.03*T391*10000/1000000</x:f>
        <x:v>2.341572</x:v>
      </x:c>
      <x:c r="AC391" s="33"/>
      <x:c r="AD391" s="33"/>
      <x:c r="AE391" s="21" t="n">
        <x:f>0.02*T391*10000/1000000</x:f>
        <x:v>1.561048</x:v>
      </x:c>
      <x:c r="AF391" s="33"/>
      <x:c r="AG391" s="32" t="s">
        <x:v>78</x:v>
      </x:c>
      <x:c r="AH391" s="8" t="s">
        <x:v>78</x:v>
      </x:c>
      <x:c r="AI391" s="8" t="s">
        <x:v>78</x:v>
      </x:c>
      <x:c r="AJ391" s="32"/>
      <x:c r="AK391" s="32" t="s">
        <x:v>78</x:v>
      </x:c>
      <x:c r="AL391" s="8" t="s">
        <x:v>78</x:v>
      </x:c>
      <x:c r="AM391" s="32" t="s">
        <x:v>78</x:v>
      </x:c>
      <x:c r="AN391" s="33"/>
      <x:c r="AO391" s="33"/>
      <x:c r="AP391" s="33"/>
      <x:c r="AQ391" s="33"/>
      <x:c r="AR391" s="33"/>
      <x:c r="AS391" s="33"/>
      <x:c r="AT391" s="33"/>
      <x:c r="AU391" s="33"/>
      <x:c r="AV391" s="33"/>
      <x:c r="AW391" s="8" t="s">
        <x:v>78</x:v>
      </x:c>
      <x:c r="AX391" s="32"/>
      <x:c r="AY391" s="33"/>
      <x:c r="AZ391" s="33"/>
      <x:c r="BA391" s="33"/>
      <x:c r="BB391" s="33"/>
      <x:c r="BC391" s="33"/>
      <x:c r="BD391" s="33"/>
      <x:c r="BE391" s="33"/>
      <x:c r="BF391" s="33"/>
      <x:c r="BG391" s="33"/>
      <x:c r="BH391" s="8" t="s">
        <x:v>79</x:v>
      </x:c>
      <x:c r="BI391" s="31">
        <x:v>113</x:v>
      </x:c>
      <x:c r="BJ391" s="31">
        <x:v>45</x:v>
      </x:c>
      <x:c r="BK391" s="31">
        <x:v>58</x:v>
      </x:c>
      <x:c r="BL391" s="31">
        <x:v>23</x:v>
      </x:c>
      <x:c r="BM391" s="31">
        <x:v>7</x:v>
      </x:c>
      <x:c r="BN391" s="31">
        <x:v>44</x:v>
      </x:c>
      <x:c r="BO391" s="22">
        <x:v>113.766111111111</x:v>
      </x:c>
      <x:c r="BP391" s="22">
        <x:v>23.128888888888898</x:v>
      </x:c>
      <x:c r="BQ391" s="31">
        <x:v>60</x:v>
      </x:c>
      <x:c r="BR391" s="31">
        <x:v>249104</x:v>
      </x:c>
      <x:c r="BS391" s="8" t="s">
        <x:v>78</x:v>
      </x:c>
      <x:c r="BT391" s="8" t="s">
        <x:v>78</x:v>
      </x:c>
      <x:c r="BU391" s="31">
        <x:v>99.126999999999995</x:v>
      </x:c>
      <x:c r="BV391" s="31">
        <x:v>99.126999999999995</x:v>
      </x:c>
      <x:c r="BW391" s="8" t="s">
        <x:v>78</x:v>
      </x:c>
      <x:c r="BX391" s="8" t="s">
        <x:v>78</x:v>
      </x:c>
      <x:c r="BY391" s="8" t="s">
        <x:v>78</x:v>
      </x:c>
      <x:c r="BZ391" s="8" t="s">
        <x:v>78</x:v>
      </x:c>
      <x:c r="CA391" s="23">
        <x:f t="shared" si="380"/>
        <x:v>0.59788138400000002</x:v>
      </x:c>
      <x:c r="CB391" s="23">
        <x:f t="shared" si="381"/>
        <x:v>320.01483999999994</x:v>
      </x:c>
      <x:c r="CC391" s="23">
        <x:f t="shared" si="382"/>
        <x:v>101.46812</x:v>
      </x:c>
      <x:c r="CD391" s="23">
        <x:f t="shared" si="383"/>
        <x:v>2.3415720000000002</x:v>
      </x:c>
      <x:c r="CE391" s="23">
        <x:f t="shared" si="384"/>
        <x:v>2.3415720000000002</x:v>
      </x:c>
      <x:c r="CF391" s="23">
        <x:f t="shared" si="385"/>
        <x:v>0</x:v>
      </x:c>
      <x:c r="CG391" s="23">
        <x:f t="shared" si="386"/>
        <x:v>0</x:v>
      </x:c>
      <x:c r="CH391" s="23">
        <x:f t="shared" si="387"/>
        <x:v>1.561048</x:v>
      </x:c>
      <x:c r="CI391" s="23">
        <x:f t="shared" si="388"/>
        <x:v>0</x:v>
      </x:c>
      <x:c r="CJ391" s="25" t="s">
        <x:v>78</x:v>
      </x:c>
      <x:c r="CK391" s="25">
        <x:v>0</x:v>
      </x:c>
      <x:c r="CL391" s="34" t="s">
        <x:v>78</x:v>
      </x:c>
      <x:c r="CM391" s="26">
        <x:v>42</x:v>
      </x:c>
      <x:c r="CN391" s="35" t="s">
        <x:v>78</x:v>
      </x:c>
      <x:c r="CO391" s="27">
        <x:v>0</x:v>
      </x:c>
      <x:c r="CP391" s="27">
        <x:v>0</x:v>
      </x:c>
      <x:c r="CQ391" s="26">
        <x:f t="shared" si="389"/>
        <x:v>0.59788138400000002</x:v>
      </x:c>
      <x:c r="CR391" s="26">
        <x:f t="shared" si="390"/>
        <x:v>185.60860719999999</x:v>
      </x:c>
      <x:c r="CS391" s="26">
        <x:f t="shared" si="391"/>
        <x:v>101.46812</x:v>
      </x:c>
      <x:c r="CT391" s="26">
        <x:f t="shared" si="350"/>
        <x:v>2.3415720000000002</x:v>
      </x:c>
      <x:c r="CU391" s="26">
        <x:f t="shared" si="351"/>
        <x:v>2.3415720000000002</x:v>
      </x:c>
      <x:c r="CV391" s="26">
        <x:f t="shared" si="352"/>
        <x:v>0</x:v>
      </x:c>
      <x:c r="CW391" s="26">
        <x:f t="shared" si="353"/>
        <x:v>0</x:v>
      </x:c>
      <x:c r="CX391" s="26">
        <x:f t="shared" si="392"/>
        <x:v>1.561048</x:v>
      </x:c>
      <x:c r="CY391" s="26">
        <x:f t="shared" si="393"/>
        <x:v>0</x:v>
      </x:c>
    </x:row>
    <x:row r="392" s="8" customFormat="1">
      <x:c r="A392" s="31">
        <x:v>2022</x:v>
      </x:c>
      <x:c r="B392" s="8" t="s">
        <x:v>807</x:v>
      </x:c>
      <x:c r="C392" s="8" t="s">
        <x:v>808</x:v>
      </x:c>
      <x:c r="D392" s="8" t="s">
        <x:v>809</x:v>
      </x:c>
      <x:c r="E392" s="31">
        <x:v>442007</x:v>
      </x:c>
      <x:c r="F392" s="8" t="s">
        <x:v>810</x:v>
      </x:c>
      <x:c r="G392" s="8" t="s">
        <x:v>811</x:v>
      </x:c>
      <x:c r="H392" s="31">
        <x:v>4412</x:v>
      </x:c>
      <x:c r="I392" s="8" t="s">
        <x:v>108</x:v>
      </x:c>
      <x:c r="J392" s="8" t="s">
        <x:v>78</x:v>
      </x:c>
      <x:c r="K392" s="8" t="s">
        <x:v>80</x:v>
      </x:c>
      <x:c r="L392" s="31">
        <x:v>18</x:v>
      </x:c>
      <x:c r="M392" s="8" t="s">
        <x:v>78</x:v>
      </x:c>
      <x:c r="N392" s="31">
        <x:v>208</x:v>
      </x:c>
      <x:c r="O392" s="8" t="s">
        <x:v>88</x:v>
      </x:c>
      <x:c r="P392" s="31">
        <x:v>15</x:v>
      </x:c>
      <x:c r="Q392" s="32" t="s">
        <x:v>96</x:v>
      </x:c>
      <x:c r="R392" s="31">
        <x:v>3234.9960000000001</x:v>
      </x:c>
      <x:c r="S392" s="8" t="s">
        <x:v>76</x:v>
      </x:c>
      <x:c r="T392" s="32">
        <x:f t="shared" si="372"/>
        <x:v>3234.9960000000001</x:v>
      </x:c>
      <x:c r="U392" s="36">
        <x:v>5</x:v>
      </x:c>
      <x:c r="V392" s="8" t="s">
        <x:v>77</x:v>
      </x:c>
      <x:c r="W392" s="36">
        <x:v>0</x:v>
      </x:c>
      <x:c r="X392" s="33" t="n">
        <x:f>2*U392*T392*10000/1000000000</x:f>
        <x:v>0.3234996</x:v>
      </x:c>
      <x:c r="Y392" s="21" t="n">
        <x:f>4.1*T392*10000/1000000</x:f>
        <x:v>132.634836</x:v>
      </x:c>
      <x:c r="Z392" s="21" t="n">
        <x:f>1.3*T392*10000/1000000</x:f>
        <x:v>42.05494800000001</x:v>
      </x:c>
      <x:c r="AA392" s="21" t="n">
        <x:f>0.03*T392*10000/1000000</x:f>
        <x:v>0.9704988</x:v>
      </x:c>
      <x:c r="AB392" s="21" t="n">
        <x:f>0.03*T392*10000/1000000</x:f>
        <x:v>0.9704988</x:v>
      </x:c>
      <x:c r="AC392" s="33"/>
      <x:c r="AD392" s="33"/>
      <x:c r="AE392" s="21" t="n">
        <x:f>0.02*T392*10000/1000000</x:f>
        <x:v>0.6469992000000001</x:v>
      </x:c>
      <x:c r="AF392" s="33"/>
      <x:c r="AG392" s="32" t="s">
        <x:v>78</x:v>
      </x:c>
      <x:c r="AH392" s="8" t="s">
        <x:v>78</x:v>
      </x:c>
      <x:c r="AI392" s="8" t="s">
        <x:v>78</x:v>
      </x:c>
      <x:c r="AJ392" s="32"/>
      <x:c r="AK392" s="32" t="s">
        <x:v>78</x:v>
      </x:c>
      <x:c r="AL392" s="8" t="s">
        <x:v>78</x:v>
      </x:c>
      <x:c r="AM392" s="32" t="s">
        <x:v>78</x:v>
      </x:c>
      <x:c r="AN392" s="33"/>
      <x:c r="AO392" s="33"/>
      <x:c r="AP392" s="33"/>
      <x:c r="AQ392" s="33"/>
      <x:c r="AR392" s="33"/>
      <x:c r="AS392" s="33"/>
      <x:c r="AT392" s="33"/>
      <x:c r="AU392" s="33"/>
      <x:c r="AV392" s="33"/>
      <x:c r="AW392" s="8" t="s">
        <x:v>78</x:v>
      </x:c>
      <x:c r="AX392" s="32"/>
      <x:c r="AY392" s="33"/>
      <x:c r="AZ392" s="33"/>
      <x:c r="BA392" s="33"/>
      <x:c r="BB392" s="33"/>
      <x:c r="BC392" s="33"/>
      <x:c r="BD392" s="33"/>
      <x:c r="BE392" s="33"/>
      <x:c r="BF392" s="33"/>
      <x:c r="BG392" s="33"/>
      <x:c r="BH392" s="8" t="s">
        <x:v>79</x:v>
      </x:c>
      <x:c r="BI392" s="31">
        <x:v>113</x:v>
      </x:c>
      <x:c r="BJ392" s="31">
        <x:v>11</x:v>
      </x:c>
      <x:c r="BK392" s="31">
        <x:v>46.32</x:v>
      </x:c>
      <x:c r="BL392" s="31">
        <x:v>22</x:v>
      </x:c>
      <x:c r="BM392" s="31">
        <x:v>39</x:v>
      </x:c>
      <x:c r="BN392" s="31">
        <x:v>55.33</x:v>
      </x:c>
      <x:c r="BO392" s="22">
        <x:v>113.1962</x:v>
      </x:c>
      <x:c r="BP392" s="22">
        <x:v>22.665369444444401</x:v>
      </x:c>
      <x:c r="BQ392" s="31">
        <x:v>60</x:v>
      </x:c>
      <x:c r="BR392" s="31">
        <x:v>29900</x:v>
      </x:c>
      <x:c r="BS392" s="8" t="s">
        <x:v>78</x:v>
      </x:c>
      <x:c r="BT392" s="8" t="s">
        <x:v>78</x:v>
      </x:c>
      <x:c r="BU392" s="31">
        <x:v>41.084000000000003</x:v>
      </x:c>
      <x:c r="BV392" s="31">
        <x:v>14.38</x:v>
      </x:c>
      <x:c r="BW392" s="8" t="s">
        <x:v>78</x:v>
      </x:c>
      <x:c r="BX392" s="8" t="s">
        <x:v>78</x:v>
      </x:c>
      <x:c r="BY392" s="8" t="s">
        <x:v>78</x:v>
      </x:c>
      <x:c r="BZ392" s="8" t="s">
        <x:v>78</x:v>
      </x:c>
      <x:c r="CA392" s="23">
        <x:f t="shared" si="380"/>
        <x:v>0.3234996</x:v>
      </x:c>
      <x:c r="CB392" s="23">
        <x:f t="shared" si="381"/>
        <x:v>132.63483600000001</x:v>
      </x:c>
      <x:c r="CC392" s="23">
        <x:f t="shared" si="382"/>
        <x:v>42.05494800000001</x:v>
      </x:c>
      <x:c r="CD392" s="23">
        <x:f t="shared" si="383"/>
        <x:v>0.97049879999999999</x:v>
      </x:c>
      <x:c r="CE392" s="23">
        <x:f t="shared" si="384"/>
        <x:v>0.97049879999999999</x:v>
      </x:c>
      <x:c r="CF392" s="23">
        <x:f t="shared" si="385"/>
        <x:v>0</x:v>
      </x:c>
      <x:c r="CG392" s="23">
        <x:f t="shared" si="386"/>
        <x:v>0</x:v>
      </x:c>
      <x:c r="CH392" s="23">
        <x:f t="shared" si="387"/>
        <x:v>0.64699920000000011</x:v>
      </x:c>
      <x:c r="CI392" s="23">
        <x:f t="shared" si="388"/>
        <x:v>0</x:v>
      </x:c>
      <x:c r="CJ392" s="25" t="s">
        <x:v>78</x:v>
      </x:c>
      <x:c r="CK392" s="25">
        <x:v>0</x:v>
      </x:c>
      <x:c r="CL392" s="34" t="s">
        <x:v>78</x:v>
      </x:c>
      <x:c r="CM392" s="26" t="n">
        <x:f>(1-BV392/BU392)*100</x:f>
        <x:v>64.99853957745107</x:v>
      </x:c>
      <x:c r="CN392" s="35" t="s">
        <x:v>78</x:v>
      </x:c>
      <x:c r="CO392" s="27">
        <x:v>0</x:v>
      </x:c>
      <x:c r="CP392" s="27">
        <x:v>0</x:v>
      </x:c>
      <x:c r="CQ392" s="26">
        <x:f t="shared" si="389"/>
        <x:v>0.3234996</x:v>
      </x:c>
      <x:c r="CR392" s="26">
        <x:f t="shared" si="390"/>
        <x:v>46.424129629052693</x:v>
      </x:c>
      <x:c r="CS392" s="26">
        <x:f t="shared" si="391"/>
        <x:v>42.05494800000001</x:v>
      </x:c>
      <x:c r="CT392" s="26">
        <x:f t="shared" si="350"/>
        <x:v>0.97049879999999999</x:v>
      </x:c>
      <x:c r="CU392" s="26">
        <x:f t="shared" si="351"/>
        <x:v>0.97049879999999999</x:v>
      </x:c>
      <x:c r="CV392" s="26">
        <x:f t="shared" si="352"/>
        <x:v>0</x:v>
      </x:c>
      <x:c r="CW392" s="26">
        <x:f t="shared" si="353"/>
        <x:v>0</x:v>
      </x:c>
      <x:c r="CX392" s="26">
        <x:f t="shared" si="392"/>
        <x:v>0.64699920000000011</x:v>
      </x:c>
      <x:c r="CY392" s="26">
        <x:f t="shared" si="393"/>
        <x:v>0</x:v>
      </x:c>
    </x:row>
    <x:row r="393">
      <x:c r="A393" s="18">
        <x:v>2022</x:v>
      </x:c>
      <x:c r="B393" t="s">
        <x:v>812</x:v>
      </x:c>
      <x:c r="C393" t="s">
        <x:v>813</x:v>
      </x:c>
      <x:c r="D393" t="s">
        <x:v>814</x:v>
      </x:c>
      <x:c r="E393" s="18">
        <x:v>442008</x:v>
      </x:c>
      <x:c r="F393" t="s">
        <x:v>815</x:v>
      </x:c>
      <x:c r="G393" s="8" t="s">
        <x:v>811</x:v>
      </x:c>
      <x:c r="H393" s="18">
        <x:v>4411</x:v>
      </x:c>
      <x:c r="I393" t="s">
        <x:v>102</x:v>
      </x:c>
      <x:c r="J393" t="s">
        <x:v>816</x:v>
      </x:c>
      <x:c r="K393" t="s">
        <x:v>109</x:v>
      </x:c>
      <x:c r="L393" s="20">
        <x:v>30</x:v>
      </x:c>
      <x:c r="M393" t="s">
        <x:v>110</x:v>
      </x:c>
      <x:c r="N393" s="18">
        <x:v>1105</x:v>
      </x:c>
      <x:c r="O393" t="s">
        <x:v>88</x:v>
      </x:c>
      <x:c r="P393" s="18">
        <x:v>4</x:v>
      </x:c>
      <x:c r="Q393" s="19" t="s">
        <x:v>111</x:v>
      </x:c>
      <x:c r="R393" s="18">
        <x:v>678592.81</x:v>
      </x:c>
      <x:c r="S393" t="s">
        <x:v>112</x:v>
      </x:c>
      <x:c r="T393" s="19" t="n">
        <x:f t="shared" ref="T393:T408" si="394">R393</x:f>
        <x:v>678592.81</x:v>
      </x:c>
      <x:c r="U393" s="20">
        <x:v>0.83699999999999997</x:v>
      </x:c>
      <x:c r="V393" t="s">
        <x:v>113</x:v>
      </x:c>
      <x:c r="W393" s="20">
        <x:v>22.25</x:v>
      </x:c>
      <x:c r="X393" s="21" t="n">
        <x:f>2*U393/100*(1-0.15)*T393</x:f>
        <x:v>9655.69709349</x:v>
      </x:c>
      <x:c r="Y393" s="21" t="n">
        <x:f>7.21*T393/1000</x:f>
        <x:v>4892.6541601</x:v>
      </x:c>
      <x:c r="Z393" s="21" t="n">
        <x:f>2*T393/1000</x:f>
        <x:v>1357.1856200000002</x:v>
      </x:c>
      <x:c r="AA393" s="21" t="n">
        <x:f>W393/100*(1-0.25)*0.23*T393</x:f>
        <x:v>26045.2402888125</x:v>
      </x:c>
      <x:c r="AB393" s="21" t="n">
        <x:f>W393/100*(1-0.25)*0.06*T393</x:f>
        <x:v>6794.410510125</x:v>
      </x:c>
      <x:c r="AC393" s="21" t="n">
        <x:f t="shared" ref="AC393:AC394" si="395">0.002*AB393</x:f>
        <x:v>13.58882102025</x:v>
      </x:c>
      <x:c r="AD393" s="21"/>
      <x:c r="AE393" s="21" t="n">
        <x:f>0.04*T393/1000</x:f>
        <x:v>27.143712400000005</x:v>
      </x:c>
      <x:c r="AF393" s="21"/>
      <x:c r="AG393" s="19" t="s">
        <x:v>78</x:v>
      </x:c>
      <x:c r="AH393" t="s">
        <x:v>78</x:v>
      </x:c>
      <x:c r="AI393" t="s">
        <x:v>78</x:v>
      </x:c>
      <x:c r="AJ393" s="19"/>
      <x:c r="AK393" s="19" t="s">
        <x:v>78</x:v>
      </x:c>
      <x:c r="AL393" t="s">
        <x:v>78</x:v>
      </x:c>
      <x:c r="AM393" s="19" t="s">
        <x:v>78</x:v>
      </x:c>
      <x:c r="AN393" s="21"/>
      <x:c r="AO393" s="21"/>
      <x:c r="AP393" s="21"/>
      <x:c r="AQ393" s="21"/>
      <x:c r="AR393" s="21"/>
      <x:c r="AS393" s="21"/>
      <x:c r="AT393" s="21"/>
      <x:c r="AU393" s="21"/>
      <x:c r="AV393" s="21"/>
      <x:c r="AW393" t="s">
        <x:v>78</x:v>
      </x:c>
      <x:c r="AX393" s="19"/>
      <x:c r="AY393" s="21"/>
      <x:c r="AZ393" s="21"/>
      <x:c r="BA393" s="21"/>
      <x:c r="BB393" s="21"/>
      <x:c r="BC393" s="21"/>
      <x:c r="BD393" s="21"/>
      <x:c r="BE393" s="21"/>
      <x:c r="BF393" s="21"/>
      <x:c r="BG393" s="21"/>
      <x:c r="BH393" t="s">
        <x:v>81</x:v>
      </x:c>
      <x:c r="BI393" s="18">
        <x:v>113</x:v>
      </x:c>
      <x:c r="BJ393" s="18">
        <x:v>19</x:v>
      </x:c>
      <x:c r="BK393" s="18">
        <x:v>28</x:v>
      </x:c>
      <x:c r="BL393" s="18">
        <x:v>22</x:v>
      </x:c>
      <x:c r="BM393" s="18">
        <x:v>41</x:v>
      </x:c>
      <x:c r="BN393" s="18">
        <x:v>32</x:v>
      </x:c>
      <x:c r="BO393" s="22">
        <x:v>113.324444444444</x:v>
      </x:c>
      <x:c r="BP393" s="22">
        <x:v>22.692222222222199</x:v>
      </x:c>
      <x:c r="BQ393" s="18">
        <x:v>210</x:v>
      </x:c>
      <x:c r="BR393" s="18">
        <x:v>451642</x:v>
      </x:c>
      <x:c r="BS393" s="18">
        <x:v>10740.036</x:v>
      </x:c>
      <x:c r="BT393" s="18">
        <x:v>98.313000000000002</x:v>
      </x:c>
      <x:c r="BU393" s="18">
        <x:v>1074.9069999999999</x:v>
      </x:c>
      <x:c r="BV393" s="18">
        <x:v>193.488</x:v>
      </x:c>
      <x:c r="BW393" s="18">
        <x:v>135779.25399999999</x:v>
      </x:c>
      <x:c r="BX393" s="18">
        <x:v>15.085000000000001</x:v>
      </x:c>
      <x:c r="BY393" s="18">
        <x:v>8007.3950000000004</x:v>
      </x:c>
      <x:c r="BZ393" s="18">
        <x:v>8007.3950000000004</x:v>
      </x:c>
      <x:c r="CA393" s="23">
        <x:f t="shared" si="380"/>
        <x:v>9655.69709349</x:v>
      </x:c>
      <x:c r="CB393" s="23">
        <x:f t="shared" si="381"/>
        <x:v>4892.6541600999999</x:v>
      </x:c>
      <x:c r="CC393" s="23">
        <x:f t="shared" si="382"/>
        <x:v>1357.1856200000002</x:v>
      </x:c>
      <x:c r="CD393" s="23">
        <x:f t="shared" si="383"/>
        <x:v>26045.2402888125</x:v>
      </x:c>
      <x:c r="CE393" s="23">
        <x:f t="shared" si="384"/>
        <x:v>6794.4105101249997</x:v>
      </x:c>
      <x:c r="CF393" s="23">
        <x:f t="shared" si="385"/>
        <x:v>13.58882102025</x:v>
      </x:c>
      <x:c r="CG393" s="23">
        <x:f t="shared" si="386"/>
        <x:v>0</x:v>
      </x:c>
      <x:c r="CH393" s="23">
        <x:f t="shared" si="387"/>
        <x:v>27.143712400000005</x:v>
      </x:c>
      <x:c r="CI393" s="23">
        <x:f t="shared" si="388"/>
        <x:v>0</x:v>
      </x:c>
      <x:c r="CJ393" s="24" t="s">
        <x:v>646</x:v>
      </x:c>
      <x:c r="CK393" s="25">
        <x:v>98.2</x:v>
      </x:c>
      <x:c r="CL393" s="26" t="s">
        <x:v>647</x:v>
      </x:c>
      <x:c r="CM393" s="26">
        <x:v>86</x:v>
      </x:c>
      <x:c r="CN393" s="27" t="s">
        <x:v>817</x:v>
      </x:c>
      <x:c r="CO393" s="27">
        <x:v>99.4</x:v>
      </x:c>
      <x:c r="CP393" s="27">
        <x:v>98.3</x:v>
      </x:c>
      <x:c r="CQ393" s="26">
        <x:f t="shared" si="389"/>
        <x:v>173.80254768282015</x:v>
      </x:c>
      <x:c r="CR393" s="26">
        <x:f t="shared" si="390"/>
        <x:v>684.97158241400007</x:v>
      </x:c>
      <x:c r="CS393" s="26">
        <x:f t="shared" si="391"/>
        <x:v>1357.1856200000002</x:v>
      </x:c>
      <x:c r="CT393" s="26">
        <x:f t="shared" si="350"/>
        <x:v>156.27144173287223</x:v>
      </x:c>
      <x:c r="CU393" s="26">
        <x:f t="shared" si="351"/>
        <x:v>115.50497867212511</x:v>
      </x:c>
      <x:c r="CV393" s="26">
        <x:f t="shared" si="352"/>
        <x:v>0.2310099573442502</x:v>
      </x:c>
      <x:c r="CW393" s="26">
        <x:f t="shared" si="353"/>
        <x:v>0</x:v>
      </x:c>
      <x:c r="CX393" s="26">
        <x:f t="shared" si="392"/>
        <x:v>27.143712400000005</x:v>
      </x:c>
      <x:c r="CY393" s="26">
        <x:f t="shared" si="393"/>
        <x:v>0</x:v>
      </x:c>
    </x:row>
    <x:row r="394">
      <x:c r="A394" s="18">
        <x:v>2022</x:v>
      </x:c>
      <x:c r="B394" t="s">
        <x:v>812</x:v>
      </x:c>
      <x:c r="C394" t="s">
        <x:v>813</x:v>
      </x:c>
      <x:c r="D394" t="s">
        <x:v>814</x:v>
      </x:c>
      <x:c r="E394" s="18">
        <x:v>442008</x:v>
      </x:c>
      <x:c r="F394" t="s">
        <x:v>815</x:v>
      </x:c>
      <x:c r="G394" s="8" t="s">
        <x:v>811</x:v>
      </x:c>
      <x:c r="H394" s="18">
        <x:v>4411</x:v>
      </x:c>
      <x:c r="I394" t="s">
        <x:v>102</x:v>
      </x:c>
      <x:c r="J394" t="s">
        <x:v>816</x:v>
      </x:c>
      <x:c r="K394" t="s">
        <x:v>109</x:v>
      </x:c>
      <x:c r="L394" s="20">
        <x:v>30</x:v>
      </x:c>
      <x:c r="M394" t="s">
        <x:v>110</x:v>
      </x:c>
      <x:c r="N394" s="18">
        <x:v>1105</x:v>
      </x:c>
      <x:c r="O394" t="s">
        <x:v>88</x:v>
      </x:c>
      <x:c r="P394" s="18">
        <x:v>4</x:v>
      </x:c>
      <x:c r="Q394" s="19" t="s">
        <x:v>111</x:v>
      </x:c>
      <x:c r="R394" s="18">
        <x:v>773566.25</x:v>
      </x:c>
      <x:c r="S394" t="s">
        <x:v>112</x:v>
      </x:c>
      <x:c r="T394" s="19">
        <x:f t="shared" si="394"/>
        <x:v>773566.25</x:v>
      </x:c>
      <x:c r="U394" s="20">
        <x:v>0.83699999999999997</x:v>
      </x:c>
      <x:c r="V394" t="s">
        <x:v>113</x:v>
      </x:c>
      <x:c r="W394" s="20">
        <x:v>22.25</x:v>
      </x:c>
      <x:c r="X394" s="21" t="n">
        <x:f>2*U394/100*(1-0.15)*T394</x:f>
        <x:v>11007.074171249998</x:v>
      </x:c>
      <x:c r="Y394" s="21" t="n">
        <x:f>7.21*T394/1000</x:f>
        <x:v>5577.4126625</x:v>
      </x:c>
      <x:c r="Z394" s="21" t="n">
        <x:f>2*T394/1000</x:f>
        <x:v>1547.1325</x:v>
      </x:c>
      <x:c r="AA394" s="21" t="n">
        <x:f>W394/100*(1-0.25)*0.23*T394</x:f>
        <x:v>29690.4396328125</x:v>
      </x:c>
      <x:c r="AB394" s="21" t="n">
        <x:f>W394/100*(1-0.25)*0.06*T394</x:f>
        <x:v>7745.3320781249995</x:v>
      </x:c>
      <x:c r="AC394" s="21">
        <x:f t="shared" si="395"/>
        <x:v>15.490664156249998</x:v>
      </x:c>
      <x:c r="AD394" s="21"/>
      <x:c r="AE394" s="21" t="n">
        <x:f>0.04*T394/1000</x:f>
        <x:v>30.94265</x:v>
      </x:c>
      <x:c r="AF394" s="21"/>
      <x:c r="AG394" s="19" t="s">
        <x:v>78</x:v>
      </x:c>
      <x:c r="AH394" t="s">
        <x:v>78</x:v>
      </x:c>
      <x:c r="AI394" t="s">
        <x:v>78</x:v>
      </x:c>
      <x:c r="AJ394" s="19"/>
      <x:c r="AK394" s="19" t="s">
        <x:v>78</x:v>
      </x:c>
      <x:c r="AL394" t="s">
        <x:v>78</x:v>
      </x:c>
      <x:c r="AM394" s="19" t="s">
        <x:v>78</x:v>
      </x:c>
      <x:c r="AN394" s="21"/>
      <x:c r="AO394" s="21"/>
      <x:c r="AP394" s="21"/>
      <x:c r="AQ394" s="21"/>
      <x:c r="AR394" s="21"/>
      <x:c r="AS394" s="21"/>
      <x:c r="AT394" s="21"/>
      <x:c r="AU394" s="21"/>
      <x:c r="AV394" s="21"/>
      <x:c r="AW394" t="s">
        <x:v>78</x:v>
      </x:c>
      <x:c r="AX394" s="19"/>
      <x:c r="AY394" s="21"/>
      <x:c r="AZ394" s="21"/>
      <x:c r="BA394" s="21"/>
      <x:c r="BB394" s="21"/>
      <x:c r="BC394" s="21"/>
      <x:c r="BD394" s="21"/>
      <x:c r="BE394" s="21"/>
      <x:c r="BF394" s="21"/>
      <x:c r="BG394" s="21"/>
      <x:c r="BH394" t="s">
        <x:v>81</x:v>
      </x:c>
      <x:c r="BI394" s="18">
        <x:v>113</x:v>
      </x:c>
      <x:c r="BJ394" s="18">
        <x:v>19</x:v>
      </x:c>
      <x:c r="BK394" s="18">
        <x:v>28</x:v>
      </x:c>
      <x:c r="BL394" s="18">
        <x:v>22</x:v>
      </x:c>
      <x:c r="BM394" s="18">
        <x:v>41</x:v>
      </x:c>
      <x:c r="BN394" s="18">
        <x:v>32</x:v>
      </x:c>
      <x:c r="BO394" s="22">
        <x:v>113.324444444444</x:v>
      </x:c>
      <x:c r="BP394" s="22">
        <x:v>22.692222222222199</x:v>
      </x:c>
      <x:c r="BQ394" s="18">
        <x:v>210</x:v>
      </x:c>
      <x:c r="BR394" s="18">
        <x:v>514854</x:v>
      </x:c>
      <x:c r="BS394" s="18">
        <x:v>11733.513999999999</x:v>
      </x:c>
      <x:c r="BT394" s="18">
        <x:v>112.336</x:v>
      </x:c>
      <x:c r="BU394" s="18">
        <x:v>1158.421</x:v>
      </x:c>
      <x:c r="BV394" s="18">
        <x:v>221.10900000000001</x:v>
      </x:c>
      <x:c r="BW394" s="18">
        <x:v>155155.66399999999</x:v>
      </x:c>
      <x:c r="BX394" s="18">
        <x:v>17.236999999999998</x:v>
      </x:c>
      <x:c r="BY394" s="18">
        <x:v>9128.0820000000003</x:v>
      </x:c>
      <x:c r="BZ394" s="18">
        <x:v>9128.0820000000003</x:v>
      </x:c>
      <x:c r="CA394" s="23">
        <x:f t="shared" si="380"/>
        <x:v>11007.074171249998</x:v>
      </x:c>
      <x:c r="CB394" s="23">
        <x:f t="shared" si="381"/>
        <x:v>5577.4126624999999</x:v>
      </x:c>
      <x:c r="CC394" s="23">
        <x:f t="shared" si="382"/>
        <x:v>1547.1324999999999</x:v>
      </x:c>
      <x:c r="CD394" s="23">
        <x:f t="shared" si="383"/>
        <x:v>29690.4396328125</x:v>
      </x:c>
      <x:c r="CE394" s="23">
        <x:f t="shared" si="384"/>
        <x:v>7745.3320781249995</x:v>
      </x:c>
      <x:c r="CF394" s="23">
        <x:f t="shared" si="385"/>
        <x:v>15.490664156249998</x:v>
      </x:c>
      <x:c r="CG394" s="23">
        <x:f t="shared" si="386"/>
        <x:v>0</x:v>
      </x:c>
      <x:c r="CH394" s="23">
        <x:f t="shared" si="387"/>
        <x:v>30.94265</x:v>
      </x:c>
      <x:c r="CI394" s="23">
        <x:f t="shared" si="388"/>
        <x:v>0</x:v>
      </x:c>
      <x:c r="CJ394" s="24" t="s">
        <x:v>646</x:v>
      </x:c>
      <x:c r="CK394" s="25">
        <x:v>98.2</x:v>
      </x:c>
      <x:c r="CL394" s="26" t="s">
        <x:v>647</x:v>
      </x:c>
      <x:c r="CM394" s="26">
        <x:v>86</x:v>
      </x:c>
      <x:c r="CN394" s="27" t="s">
        <x:v>817</x:v>
      </x:c>
      <x:c r="CO394" s="27">
        <x:v>99.4</x:v>
      </x:c>
      <x:c r="CP394" s="27">
        <x:v>98.3</x:v>
      </x:c>
      <x:c r="CQ394" s="26">
        <x:f t="shared" si="389"/>
        <x:v>198.12733508250014</x:v>
      </x:c>
      <x:c r="CR394" s="26">
        <x:f t="shared" si="390"/>
        <x:v>780.83777275000011</x:v>
      </x:c>
      <x:c r="CS394" s="26">
        <x:f t="shared" si="391"/>
        <x:v>1547.1324999999999</x:v>
      </x:c>
      <x:c r="CT394" s="26">
        <x:f t="shared" si="350"/>
        <x:v>178.14263779687187</x:v>
      </x:c>
      <x:c r="CU394" s="26">
        <x:f t="shared" si="351"/>
        <x:v>131.67064532812512</x:v>
      </x:c>
      <x:c r="CV394" s="26">
        <x:f t="shared" si="352"/>
        <x:v>0.26334129065625023</x:v>
      </x:c>
      <x:c r="CW394" s="26">
        <x:f t="shared" si="353"/>
        <x:v>0</x:v>
      </x:c>
      <x:c r="CX394" s="26">
        <x:f t="shared" si="392"/>
        <x:v>30.94265</x:v>
      </x:c>
      <x:c r="CY394" s="26">
        <x:f t="shared" si="393"/>
        <x:v>0</x:v>
      </x:c>
    </x:row>
    <x:row r="395" s="8" customFormat="1">
      <x:c r="A395" s="31">
        <x:v>2022</x:v>
      </x:c>
      <x:c r="B395" s="8" t="s">
        <x:v>818</x:v>
      </x:c>
      <x:c r="C395" s="8" t="s">
        <x:v>819</x:v>
      </x:c>
      <x:c r="D395" s="8" t="s">
        <x:v>820</x:v>
      </x:c>
      <x:c r="E395" s="31">
        <x:v>442009</x:v>
      </x:c>
      <x:c r="F395" s="8" t="s">
        <x:v>821</x:v>
      </x:c>
      <x:c r="G395" s="8" t="s">
        <x:v>811</x:v>
      </x:c>
      <x:c r="H395" s="31">
        <x:v>3399</x:v>
      </x:c>
      <x:c r="I395" s="8" t="s">
        <x:v>726</x:v>
      </x:c>
      <x:c r="J395" s="8" t="s">
        <x:v>822</x:v>
      </x:c>
      <x:c r="K395" s="8" t="s">
        <x:v>72</x:v>
      </x:c>
      <x:c r="L395" s="31">
        <x:v>30</x:v>
      </x:c>
      <x:c r="M395" s="8" t="s">
        <x:v>73</x:v>
      </x:c>
      <x:c r="N395" s="31">
        <x:v>3</x:v>
      </x:c>
      <x:c r="O395" s="8" t="s">
        <x:v>74</x:v>
      </x:c>
      <x:c r="P395" s="31">
        <x:v>15</x:v>
      </x:c>
      <x:c r="Q395" s="32" t="s">
        <x:v>96</x:v>
      </x:c>
      <x:c r="R395" s="31">
        <x:v>98.35</x:v>
      </x:c>
      <x:c r="S395" s="8" t="s">
        <x:v>76</x:v>
      </x:c>
      <x:c r="T395" s="32">
        <x:f t="shared" si="394"/>
        <x:v>98.35</x:v>
      </x:c>
      <x:c r="U395" s="36">
        <x:v>0.14000000000000001</x:v>
      </x:c>
      <x:c r="V395" s="8" t="s">
        <x:v>77</x:v>
      </x:c>
      <x:c r="W395" s="36">
        <x:v>0</x:v>
      </x:c>
      <x:c r="X395" s="33" t="n">
        <x:f t="shared" ref="X395:X408" si="396">2*U395*T395*10000/1000000000</x:f>
        <x:v>0.00027538</x:v>
      </x:c>
      <x:c r="Y395" s="21" t="n">
        <x:f t="shared" ref="Y395:Y408" si="397">4.1*T395*10000/1000000</x:f>
        <x:v>4.032349999999999</x:v>
      </x:c>
      <x:c r="Z395" s="21" t="n">
        <x:f t="shared" ref="Z395:Z408" si="398">1.3*T395*10000/1000000</x:f>
        <x:v>1.27855</x:v>
      </x:c>
      <x:c r="AA395" s="21" t="n">
        <x:f t="shared" ref="AA395:AA408" si="399">0.03*T395*10000/1000000</x:f>
        <x:v>0.029505</x:v>
      </x:c>
      <x:c r="AB395" s="21" t="n">
        <x:f t="shared" ref="AB395:AB408" si="400">0.03*T395*10000/1000000</x:f>
        <x:v>0.029505</x:v>
      </x:c>
      <x:c r="AC395" s="33"/>
      <x:c r="AD395" s="33"/>
      <x:c r="AE395" s="21" t="n">
        <x:f t="shared" ref="AE395:AE408" si="401">0.02*T395*10000/1000000</x:f>
        <x:v>0.01967</x:v>
      </x:c>
      <x:c r="AF395" s="33"/>
      <x:c r="AG395" s="32" t="s">
        <x:v>78</x:v>
      </x:c>
      <x:c r="AH395" s="8" t="s">
        <x:v>78</x:v>
      </x:c>
      <x:c r="AI395" s="8" t="s">
        <x:v>78</x:v>
      </x:c>
      <x:c r="AJ395" s="32"/>
      <x:c r="AK395" s="32" t="s">
        <x:v>78</x:v>
      </x:c>
      <x:c r="AL395" s="8" t="s">
        <x:v>78</x:v>
      </x:c>
      <x:c r="AM395" s="32" t="s">
        <x:v>78</x:v>
      </x:c>
      <x:c r="AN395" s="33"/>
      <x:c r="AO395" s="33"/>
      <x:c r="AP395" s="33"/>
      <x:c r="AQ395" s="33"/>
      <x:c r="AR395" s="33"/>
      <x:c r="AS395" s="33"/>
      <x:c r="AT395" s="33"/>
      <x:c r="AU395" s="33"/>
      <x:c r="AV395" s="33"/>
      <x:c r="AW395" s="8" t="s">
        <x:v>78</x:v>
      </x:c>
      <x:c r="AX395" s="32"/>
      <x:c r="AY395" s="33"/>
      <x:c r="AZ395" s="33"/>
      <x:c r="BA395" s="33"/>
      <x:c r="BB395" s="33"/>
      <x:c r="BC395" s="33"/>
      <x:c r="BD395" s="33"/>
      <x:c r="BE395" s="33"/>
      <x:c r="BF395" s="33"/>
      <x:c r="BG395" s="33"/>
      <x:c r="BH395" s="8" t="s">
        <x:v>81</x:v>
      </x:c>
      <x:c r="BI395" s="31">
        <x:v>113</x:v>
      </x:c>
      <x:c r="BJ395" s="31">
        <x:v>28</x:v>
      </x:c>
      <x:c r="BK395" s="31">
        <x:v>31.25</x:v>
      </x:c>
      <x:c r="BL395" s="31">
        <x:v>22</x:v>
      </x:c>
      <x:c r="BM395" s="31">
        <x:v>36</x:v>
      </x:c>
      <x:c r="BN395" s="31">
        <x:v>3.32</x:v>
      </x:c>
      <x:c r="BO395" s="22">
        <x:v>113.475347222222</x:v>
      </x:c>
      <x:c r="BP395" s="22">
        <x:v>22.600922222222199</x:v>
      </x:c>
      <x:c r="BQ395" s="31">
        <x:v>18</x:v>
      </x:c>
      <x:c r="BR395" s="31">
        <x:v>5896</x:v>
      </x:c>
      <x:c r="BS395" s="8" t="s">
        <x:v>78</x:v>
      </x:c>
      <x:c r="BT395" s="8" t="s">
        <x:v>78</x:v>
      </x:c>
      <x:c r="BU395" s="8" t="s">
        <x:v>78</x:v>
      </x:c>
      <x:c r="BV395" s="8" t="s">
        <x:v>78</x:v>
      </x:c>
      <x:c r="BW395" s="8" t="s">
        <x:v>78</x:v>
      </x:c>
      <x:c r="BX395" s="8" t="s">
        <x:v>78</x:v>
      </x:c>
      <x:c r="BY395" s="31">
        <x:v>165.22800000000001</x:v>
      </x:c>
      <x:c r="BZ395" s="31">
        <x:v>165.22800000000001</x:v>
      </x:c>
      <x:c r="CA395" s="23">
        <x:f t="shared" si="380"/>
        <x:v>2.7537999999999998E-4</x:v>
      </x:c>
      <x:c r="CB395" s="23">
        <x:f t="shared" si="381"/>
        <x:v>4.0323499999999992</x:v>
      </x:c>
      <x:c r="CC395" s="23">
        <x:f t="shared" si="382"/>
        <x:v>1.2785500000000001</x:v>
      </x:c>
      <x:c r="CD395" s="23">
        <x:f t="shared" si="383"/>
        <x:v>2.9505E-2</x:v>
      </x:c>
      <x:c r="CE395" s="23">
        <x:f t="shared" si="384"/>
        <x:v>2.9505E-2</x:v>
      </x:c>
      <x:c r="CF395" s="23">
        <x:f t="shared" si="385"/>
        <x:v>0</x:v>
      </x:c>
      <x:c r="CG395" s="23">
        <x:f t="shared" si="386"/>
        <x:v>0</x:v>
      </x:c>
      <x:c r="CH395" s="23">
        <x:f t="shared" si="387"/>
        <x:v>1.967E-2</x:v>
      </x:c>
      <x:c r="CI395" s="23">
        <x:f t="shared" si="388"/>
        <x:v>0</x:v>
      </x:c>
      <x:c r="CJ395" s="25" t="s">
        <x:v>78</x:v>
      </x:c>
      <x:c r="CK395" s="25">
        <x:v>0</x:v>
      </x:c>
      <x:c r="CL395" s="34" t="s">
        <x:v>78</x:v>
      </x:c>
      <x:c r="CM395" s="26">
        <x:v>0</x:v>
      </x:c>
      <x:c r="CN395" s="35" t="s">
        <x:v>78</x:v>
      </x:c>
      <x:c r="CO395" s="27">
        <x:v>0</x:v>
      </x:c>
      <x:c r="CP395" s="27">
        <x:v>0</x:v>
      </x:c>
      <x:c r="CQ395" s="26">
        <x:f t="shared" si="389"/>
        <x:v>2.7537999999999998E-4</x:v>
      </x:c>
      <x:c r="CR395" s="26">
        <x:f t="shared" si="390"/>
        <x:v>4.0323499999999992</x:v>
      </x:c>
      <x:c r="CS395" s="26">
        <x:f t="shared" si="391"/>
        <x:v>1.2785500000000001</x:v>
      </x:c>
      <x:c r="CT395" s="26">
        <x:f t="shared" si="350"/>
        <x:v>2.9505E-2</x:v>
      </x:c>
      <x:c r="CU395" s="26">
        <x:f t="shared" si="351"/>
        <x:v>2.9505E-2</x:v>
      </x:c>
      <x:c r="CV395" s="26">
        <x:f t="shared" si="352"/>
        <x:v>0</x:v>
      </x:c>
      <x:c r="CW395" s="26">
        <x:f t="shared" si="353"/>
        <x:v>0</x:v>
      </x:c>
      <x:c r="CX395" s="26">
        <x:f t="shared" si="392"/>
        <x:v>1.967E-2</x:v>
      </x:c>
      <x:c r="CY395" s="26">
        <x:f t="shared" si="393"/>
        <x:v>0</x:v>
      </x:c>
    </x:row>
    <x:row r="396" s="8" customFormat="1">
      <x:c r="A396" s="31">
        <x:v>2022</x:v>
      </x:c>
      <x:c r="B396" s="8" t="s">
        <x:v>823</x:v>
      </x:c>
      <x:c r="C396" s="8" t="s">
        <x:v>824</x:v>
      </x:c>
      <x:c r="D396" s="8" t="s">
        <x:v>825</x:v>
      </x:c>
      <x:c r="E396" s="31">
        <x:v>442013</x:v>
      </x:c>
      <x:c r="F396" s="8" t="s">
        <x:v>826</x:v>
      </x:c>
      <x:c r="G396" s="8" t="s">
        <x:v>811</x:v>
      </x:c>
      <x:c r="H396" s="31">
        <x:v>2221</x:v>
      </x:c>
      <x:c r="I396" s="8" t="s">
        <x:v>158</x:v>
      </x:c>
      <x:c r="J396" s="8" t="s">
        <x:v>78</x:v>
      </x:c>
      <x:c r="K396" s="8" t="s">
        <x:v>72</x:v>
      </x:c>
      <x:c r="L396" s="31">
        <x:v>1.2</x:v>
      </x:c>
      <x:c r="M396" s="8" t="s">
        <x:v>73</x:v>
      </x:c>
      <x:c r="N396" s="31">
        <x:v>75</x:v>
      </x:c>
      <x:c r="O396" s="8" t="s">
        <x:v>88</x:v>
      </x:c>
      <x:c r="P396" s="31">
        <x:v>15</x:v>
      </x:c>
      <x:c r="Q396" s="32" t="s">
        <x:v>96</x:v>
      </x:c>
      <x:c r="R396" s="31">
        <x:v>4164.4290000000001</x:v>
      </x:c>
      <x:c r="S396" s="8" t="s">
        <x:v>76</x:v>
      </x:c>
      <x:c r="T396" s="32">
        <x:f t="shared" si="394"/>
        <x:v>4164.4290000000001</x:v>
      </x:c>
      <x:c r="U396" s="32">
        <x:v>3.83</x:v>
      </x:c>
      <x:c r="V396" s="8" t="s">
        <x:v>77</x:v>
      </x:c>
      <x:c r="W396" s="32" t="s">
        <x:v>78</x:v>
      </x:c>
      <x:c r="X396" s="33">
        <x:f t="shared" si="396"/>
        <x:v>0.31899526140000006</x:v>
      </x:c>
      <x:c r="Y396" s="21">
        <x:f t="shared" si="397"/>
        <x:v>170.741589</x:v>
      </x:c>
      <x:c r="Z396" s="21">
        <x:f t="shared" si="398"/>
        <x:v>54.137577</x:v>
      </x:c>
      <x:c r="AA396" s="21">
        <x:f t="shared" si="399"/>
        <x:v>1.2493287</x:v>
      </x:c>
      <x:c r="AB396" s="21">
        <x:f t="shared" si="400"/>
        <x:v>1.2493287</x:v>
      </x:c>
      <x:c r="AC396" s="33"/>
      <x:c r="AD396" s="33"/>
      <x:c r="AE396" s="21">
        <x:f t="shared" si="401"/>
        <x:v>0.83288580000000001</x:v>
      </x:c>
      <x:c r="AF396" s="33"/>
      <x:c r="AG396" s="32" t="s">
        <x:v>78</x:v>
      </x:c>
      <x:c r="AH396" s="8" t="s">
        <x:v>78</x:v>
      </x:c>
      <x:c r="AI396" s="8" t="s">
        <x:v>78</x:v>
      </x:c>
      <x:c r="AJ396" s="32"/>
      <x:c r="AK396" s="32" t="s">
        <x:v>78</x:v>
      </x:c>
      <x:c r="AL396" s="8" t="s">
        <x:v>78</x:v>
      </x:c>
      <x:c r="AM396" s="32" t="s">
        <x:v>78</x:v>
      </x:c>
      <x:c r="AN396" s="33"/>
      <x:c r="AO396" s="33"/>
      <x:c r="AP396" s="33"/>
      <x:c r="AQ396" s="33"/>
      <x:c r="AR396" s="33"/>
      <x:c r="AS396" s="33"/>
      <x:c r="AT396" s="33"/>
      <x:c r="AU396" s="33"/>
      <x:c r="AV396" s="33"/>
      <x:c r="AW396" s="8" t="s">
        <x:v>78</x:v>
      </x:c>
      <x:c r="AX396" s="32"/>
      <x:c r="AY396" s="33"/>
      <x:c r="AZ396" s="33"/>
      <x:c r="BA396" s="33"/>
      <x:c r="BB396" s="33"/>
      <x:c r="BC396" s="33"/>
      <x:c r="BD396" s="33"/>
      <x:c r="BE396" s="33"/>
      <x:c r="BF396" s="33"/>
      <x:c r="BG396" s="33"/>
      <x:c r="BH396" s="8" t="s">
        <x:v>82</x:v>
      </x:c>
      <x:c r="BI396" s="31">
        <x:v>113</x:v>
      </x:c>
      <x:c r="BJ396" s="31">
        <x:v>19</x:v>
      </x:c>
      <x:c r="BK396" s="31">
        <x:v>40.22</x:v>
      </x:c>
      <x:c r="BL396" s="31">
        <x:v>22</x:v>
      </x:c>
      <x:c r="BM396" s="31">
        <x:v>29</x:v>
      </x:c>
      <x:c r="BN396" s="31">
        <x:v>22.56</x:v>
      </x:c>
      <x:c r="BO396" s="22">
        <x:v>113.327838888889</x:v>
      </x:c>
      <x:c r="BP396" s="22">
        <x:v>22.489599999999999</x:v>
      </x:c>
      <x:c r="BQ396" s="31">
        <x:v>40</x:v>
      </x:c>
      <x:c r="BR396" s="31">
        <x:v>51869.09</x:v>
      </x:c>
      <x:c r="BS396" s="31">
        <x:v>0.16700000000000001</x:v>
      </x:c>
      <x:c r="BT396" s="31">
        <x:v>0.16700000000000001</x:v>
      </x:c>
      <x:c r="BU396" s="31">
        <x:v>35.81</x:v>
      </x:c>
      <x:c r="BV396" s="31">
        <x:v>10.743</x:v>
      </x:c>
      <x:c r="BW396" s="31">
        <x:v>4.3259999999999996</x:v>
      </x:c>
      <x:c r="BX396" s="31">
        <x:v>4.3259999999999996</x:v>
      </x:c>
      <x:c r="BY396" s="31">
        <x:v>6996.241</x:v>
      </x:c>
      <x:c r="BZ396" s="31">
        <x:v>6996.241</x:v>
      </x:c>
      <x:c r="CA396" s="23">
        <x:f t="shared" si="380"/>
        <x:v>0.31899526140000006</x:v>
      </x:c>
      <x:c r="CB396" s="23">
        <x:f t="shared" si="381"/>
        <x:v>170.741589</x:v>
      </x:c>
      <x:c r="CC396" s="23">
        <x:f t="shared" si="382"/>
        <x:v>54.137577</x:v>
      </x:c>
      <x:c r="CD396" s="23">
        <x:f t="shared" si="383"/>
        <x:v>1.2493287</x:v>
      </x:c>
      <x:c r="CE396" s="23">
        <x:f t="shared" si="384"/>
        <x:v>1.2493287</x:v>
      </x:c>
      <x:c r="CF396" s="23">
        <x:f t="shared" si="385"/>
        <x:v>0</x:v>
      </x:c>
      <x:c r="CG396" s="23">
        <x:f t="shared" si="386"/>
        <x:v>0</x:v>
      </x:c>
      <x:c r="CH396" s="23">
        <x:f t="shared" si="387"/>
        <x:v>0.83288580000000001</x:v>
      </x:c>
      <x:c r="CI396" s="23">
        <x:f t="shared" si="388"/>
        <x:v>0</x:v>
      </x:c>
      <x:c r="CJ396" s="25"/>
      <x:c r="CK396" s="25">
        <x:v>0</x:v>
      </x:c>
      <x:c r="CL396" s="34" t="s">
        <x:v>78</x:v>
      </x:c>
      <x:c r="CM396" s="26" t="n">
        <x:f>(1-BV396/BU396)*100</x:f>
        <x:v>70</x:v>
      </x:c>
      <x:c r="CN396" s="35" t="s">
        <x:v>78</x:v>
      </x:c>
      <x:c r="CO396" s="27">
        <x:v>0</x:v>
      </x:c>
      <x:c r="CP396" s="27">
        <x:v>0</x:v>
      </x:c>
      <x:c r="CQ396" s="26">
        <x:f t="shared" si="389"/>
        <x:v>0.31899526140000006</x:v>
      </x:c>
      <x:c r="CR396" s="26">
        <x:f t="shared" si="390"/>
        <x:v>51.222476700000009</x:v>
      </x:c>
      <x:c r="CS396" s="26">
        <x:f t="shared" si="391"/>
        <x:v>54.137577</x:v>
      </x:c>
      <x:c r="CT396" s="26">
        <x:f t="shared" si="350"/>
        <x:v>1.2493287</x:v>
      </x:c>
      <x:c r="CU396" s="26">
        <x:f t="shared" si="351"/>
        <x:v>1.2493287</x:v>
      </x:c>
      <x:c r="CV396" s="26">
        <x:f t="shared" si="352"/>
        <x:v>0</x:v>
      </x:c>
      <x:c r="CW396" s="26">
        <x:f t="shared" si="353"/>
        <x:v>0</x:v>
      </x:c>
      <x:c r="CX396" s="26">
        <x:f t="shared" si="392"/>
        <x:v>0.83288580000000001</x:v>
      </x:c>
      <x:c r="CY396" s="26">
        <x:f t="shared" si="393"/>
        <x:v>0</x:v>
      </x:c>
    </x:row>
    <x:row r="397" s="8" customFormat="1">
      <x:c r="A397" s="31">
        <x:v>2022</x:v>
      </x:c>
      <x:c r="B397" s="8" t="s">
        <x:v>827</x:v>
      </x:c>
      <x:c r="C397" s="8" t="s">
        <x:v>828</x:v>
      </x:c>
      <x:c r="D397" s="8" t="s">
        <x:v>829</x:v>
      </x:c>
      <x:c r="E397" s="31">
        <x:v>442016</x:v>
      </x:c>
      <x:c r="F397" s="8" t="s">
        <x:v>830</x:v>
      </x:c>
      <x:c r="G397" s="8" t="s">
        <x:v>811</x:v>
      </x:c>
      <x:c r="H397" s="31">
        <x:v>4412</x:v>
      </x:c>
      <x:c r="I397" s="8" t="s">
        <x:v>108</x:v>
      </x:c>
      <x:c r="J397" s="8" t="s">
        <x:v>78</x:v>
      </x:c>
      <x:c r="K397" s="8" t="s">
        <x:v>80</x:v>
      </x:c>
      <x:c r="L397" s="31">
        <x:v>46</x:v>
      </x:c>
      <x:c r="M397" s="8" t="s">
        <x:v>78</x:v>
      </x:c>
      <x:c r="N397" s="31">
        <x:v>293.39999999999998</x:v>
      </x:c>
      <x:c r="O397" s="8" t="s">
        <x:v>88</x:v>
      </x:c>
      <x:c r="P397" s="31">
        <x:v>15</x:v>
      </x:c>
      <x:c r="Q397" s="32" t="s">
        <x:v>96</x:v>
      </x:c>
      <x:c r="R397" s="31">
        <x:v>21002.637999999999</x:v>
      </x:c>
      <x:c r="S397" s="8" t="s">
        <x:v>76</x:v>
      </x:c>
      <x:c r="T397" s="32">
        <x:f t="shared" si="394"/>
        <x:v>21002.637999999999</x:v>
      </x:c>
      <x:c r="U397" s="32">
        <x:v>3.83</x:v>
      </x:c>
      <x:c r="V397" s="8" t="s">
        <x:v>77</x:v>
      </x:c>
      <x:c r="W397" s="32" t="s">
        <x:v>78</x:v>
      </x:c>
      <x:c r="X397" s="33">
        <x:f t="shared" si="396"/>
        <x:v>1.6088020707999999</x:v>
      </x:c>
      <x:c r="Y397" s="21">
        <x:f t="shared" si="397"/>
        <x:v>861.10815799999978</x:v>
      </x:c>
      <x:c r="Z397" s="21">
        <x:f t="shared" si="398"/>
        <x:v>273.03429399999999</x:v>
      </x:c>
      <x:c r="AA397" s="21">
        <x:f t="shared" si="399"/>
        <x:v>6.3007913999999996</x:v>
      </x:c>
      <x:c r="AB397" s="21">
        <x:f t="shared" si="400"/>
        <x:v>6.3007913999999996</x:v>
      </x:c>
      <x:c r="AC397" s="33"/>
      <x:c r="AD397" s="33"/>
      <x:c r="AE397" s="21">
        <x:f t="shared" si="401"/>
        <x:v>4.2005276</x:v>
      </x:c>
      <x:c r="AF397" s="33"/>
      <x:c r="AG397" s="32" t="s">
        <x:v>78</x:v>
      </x:c>
      <x:c r="AH397" s="8" t="s">
        <x:v>78</x:v>
      </x:c>
      <x:c r="AI397" s="8" t="s">
        <x:v>78</x:v>
      </x:c>
      <x:c r="AJ397" s="32"/>
      <x:c r="AK397" s="32" t="s">
        <x:v>78</x:v>
      </x:c>
      <x:c r="AL397" s="8" t="s">
        <x:v>78</x:v>
      </x:c>
      <x:c r="AM397" s="32" t="s">
        <x:v>78</x:v>
      </x:c>
      <x:c r="AN397" s="33"/>
      <x:c r="AO397" s="33"/>
      <x:c r="AP397" s="33"/>
      <x:c r="AQ397" s="33"/>
      <x:c r="AR397" s="33"/>
      <x:c r="AS397" s="33"/>
      <x:c r="AT397" s="33"/>
      <x:c r="AU397" s="33"/>
      <x:c r="AV397" s="33"/>
      <x:c r="AW397" s="8" t="s">
        <x:v>78</x:v>
      </x:c>
      <x:c r="AX397" s="32"/>
      <x:c r="AY397" s="33"/>
      <x:c r="AZ397" s="33"/>
      <x:c r="BA397" s="33"/>
      <x:c r="BB397" s="33"/>
      <x:c r="BC397" s="33"/>
      <x:c r="BD397" s="33"/>
      <x:c r="BE397" s="33"/>
      <x:c r="BF397" s="33"/>
      <x:c r="BG397" s="33"/>
      <x:c r="BH397" s="8" t="s">
        <x:v>81</x:v>
      </x:c>
      <x:c r="BI397" s="31">
        <x:v>113</x:v>
      </x:c>
      <x:c r="BJ397" s="31">
        <x:v>26</x:v>
      </x:c>
      <x:c r="BK397" s="31">
        <x:v>28.54</x:v>
      </x:c>
      <x:c r="BL397" s="31">
        <x:v>22</x:v>
      </x:c>
      <x:c r="BM397" s="31">
        <x:v>42</x:v>
      </x:c>
      <x:c r="BN397" s="31">
        <x:v>47.05</x:v>
      </x:c>
      <x:c r="BO397" s="22">
        <x:v>113.441261111111</x:v>
      </x:c>
      <x:c r="BP397" s="22">
        <x:v>22.7130694444444</x:v>
      </x:c>
      <x:c r="BQ397" s="31">
        <x:v>80</x:v>
      </x:c>
      <x:c r="BR397" s="31">
        <x:v>477392</x:v>
      </x:c>
      <x:c r="BS397" s="8" t="s">
        <x:v>78</x:v>
      </x:c>
      <x:c r="BT397" s="8" t="s">
        <x:v>78</x:v>
      </x:c>
      <x:c r="BU397" s="31">
        <x:v>266.733</x:v>
      </x:c>
      <x:c r="BV397" s="31">
        <x:v>93.356999999999999</x:v>
      </x:c>
      <x:c r="BW397" s="8" t="s">
        <x:v>78</x:v>
      </x:c>
      <x:c r="BX397" s="8" t="s">
        <x:v>78</x:v>
      </x:c>
      <x:c r="BY397" s="8" t="s">
        <x:v>78</x:v>
      </x:c>
      <x:c r="BZ397" s="8" t="s">
        <x:v>78</x:v>
      </x:c>
      <x:c r="CA397" s="23">
        <x:f t="shared" si="380"/>
        <x:v>1.6088020707999999</x:v>
      </x:c>
      <x:c r="CB397" s="23">
        <x:f t="shared" si="381"/>
        <x:v>861.10815799999978</x:v>
      </x:c>
      <x:c r="CC397" s="23">
        <x:f t="shared" si="382"/>
        <x:v>273.03429399999999</x:v>
      </x:c>
      <x:c r="CD397" s="23">
        <x:f t="shared" si="383"/>
        <x:v>6.3007913999999996</x:v>
      </x:c>
      <x:c r="CE397" s="23">
        <x:f t="shared" si="384"/>
        <x:v>6.3007913999999996</x:v>
      </x:c>
      <x:c r="CF397" s="23">
        <x:f t="shared" si="385"/>
        <x:v>0</x:v>
      </x:c>
      <x:c r="CG397" s="23">
        <x:f t="shared" si="386"/>
        <x:v>0</x:v>
      </x:c>
      <x:c r="CH397" s="23">
        <x:f t="shared" si="387"/>
        <x:v>4.2005276</x:v>
      </x:c>
      <x:c r="CI397" s="23">
        <x:f t="shared" si="388"/>
        <x:v>0</x:v>
      </x:c>
      <x:c r="CJ397" s="25" t="s">
        <x:v>78</x:v>
      </x:c>
      <x:c r="CK397" s="25">
        <x:v>0</x:v>
      </x:c>
      <x:c r="CL397" s="34" t="s">
        <x:v>97</x:v>
      </x:c>
      <x:c r="CM397" s="28">
        <x:v>60</x:v>
      </x:c>
      <x:c r="CN397" s="35" t="s">
        <x:v>78</x:v>
      </x:c>
      <x:c r="CO397" s="27">
        <x:v>0</x:v>
      </x:c>
      <x:c r="CP397" s="27">
        <x:v>0</x:v>
      </x:c>
      <x:c r="CQ397" s="26">
        <x:f t="shared" si="389"/>
        <x:v>1.6088020707999999</x:v>
      </x:c>
      <x:c r="CR397" s="26">
        <x:f t="shared" si="390"/>
        <x:v>344.44326319999993</x:v>
      </x:c>
      <x:c r="CS397" s="26">
        <x:f t="shared" si="391"/>
        <x:v>273.03429399999999</x:v>
      </x:c>
      <x:c r="CT397" s="26">
        <x:f t="shared" si="350"/>
        <x:v>6.3007913999999996</x:v>
      </x:c>
      <x:c r="CU397" s="26">
        <x:f t="shared" si="351"/>
        <x:v>6.3007913999999996</x:v>
      </x:c>
      <x:c r="CV397" s="26">
        <x:f t="shared" si="352"/>
        <x:v>0</x:v>
      </x:c>
      <x:c r="CW397" s="26">
        <x:f t="shared" si="353"/>
        <x:v>0</x:v>
      </x:c>
      <x:c r="CX397" s="26">
        <x:f t="shared" si="392"/>
        <x:v>4.2005276</x:v>
      </x:c>
      <x:c r="CY397" s="26">
        <x:f t="shared" si="393"/>
        <x:v>0</x:v>
      </x:c>
    </x:row>
    <x:row r="398" s="8" customFormat="1">
      <x:c r="A398" s="31">
        <x:v>2022</x:v>
      </x:c>
      <x:c r="B398" s="8" t="s">
        <x:v>827</x:v>
      </x:c>
      <x:c r="C398" s="8" t="s">
        <x:v>828</x:v>
      </x:c>
      <x:c r="D398" s="8" t="s">
        <x:v>829</x:v>
      </x:c>
      <x:c r="E398" s="31">
        <x:v>442016</x:v>
      </x:c>
      <x:c r="F398" s="8" t="s">
        <x:v>830</x:v>
      </x:c>
      <x:c r="G398" s="8" t="s">
        <x:v>811</x:v>
      </x:c>
      <x:c r="H398" s="31">
        <x:v>4412</x:v>
      </x:c>
      <x:c r="I398" s="8" t="s">
        <x:v>108</x:v>
      </x:c>
      <x:c r="J398" s="8" t="s">
        <x:v>78</x:v>
      </x:c>
      <x:c r="K398" s="8" t="s">
        <x:v>80</x:v>
      </x:c>
      <x:c r="L398" s="31">
        <x:v>46</x:v>
      </x:c>
      <x:c r="M398" s="8" t="s">
        <x:v>78</x:v>
      </x:c>
      <x:c r="N398" s="31">
        <x:v>293.39999999999998</x:v>
      </x:c>
      <x:c r="O398" s="8" t="s">
        <x:v>88</x:v>
      </x:c>
      <x:c r="P398" s="31">
        <x:v>15</x:v>
      </x:c>
      <x:c r="Q398" s="32" t="s">
        <x:v>96</x:v>
      </x:c>
      <x:c r="R398" s="31">
        <x:v>16665.919999999998</x:v>
      </x:c>
      <x:c r="S398" s="8" t="s">
        <x:v>76</x:v>
      </x:c>
      <x:c r="T398" s="32">
        <x:f t="shared" si="394"/>
        <x:v>16665.919999999998</x:v>
      </x:c>
      <x:c r="U398" s="32">
        <x:v>3.83</x:v>
      </x:c>
      <x:c r="V398" s="8" t="s">
        <x:v>77</x:v>
      </x:c>
      <x:c r="W398" s="32" t="s">
        <x:v>78</x:v>
      </x:c>
      <x:c r="X398" s="33">
        <x:f t="shared" si="396"/>
        <x:v>1.2766094720000001</x:v>
      </x:c>
      <x:c r="Y398" s="21">
        <x:f t="shared" si="397"/>
        <x:v>683.30271999999991</x:v>
      </x:c>
      <x:c r="Z398" s="21">
        <x:f t="shared" si="398"/>
        <x:v>216.65696</x:v>
      </x:c>
      <x:c r="AA398" s="21">
        <x:f t="shared" si="399"/>
        <x:v>4.9997759999999989</x:v>
      </x:c>
      <x:c r="AB398" s="21">
        <x:f t="shared" si="400"/>
        <x:v>4.9997759999999989</x:v>
      </x:c>
      <x:c r="AC398" s="33"/>
      <x:c r="AD398" s="33"/>
      <x:c r="AE398" s="21">
        <x:f t="shared" si="401"/>
        <x:v>3.3331840000000001</x:v>
      </x:c>
      <x:c r="AF398" s="33"/>
      <x:c r="AG398" s="32" t="s">
        <x:v>78</x:v>
      </x:c>
      <x:c r="AH398" s="8" t="s">
        <x:v>78</x:v>
      </x:c>
      <x:c r="AI398" s="8" t="s">
        <x:v>78</x:v>
      </x:c>
      <x:c r="AJ398" s="32"/>
      <x:c r="AK398" s="32" t="s">
        <x:v>78</x:v>
      </x:c>
      <x:c r="AL398" s="8" t="s">
        <x:v>78</x:v>
      </x:c>
      <x:c r="AM398" s="32" t="s">
        <x:v>78</x:v>
      </x:c>
      <x:c r="AN398" s="33"/>
      <x:c r="AO398" s="33"/>
      <x:c r="AP398" s="33"/>
      <x:c r="AQ398" s="33"/>
      <x:c r="AR398" s="33"/>
      <x:c r="AS398" s="33"/>
      <x:c r="AT398" s="33"/>
      <x:c r="AU398" s="33"/>
      <x:c r="AV398" s="33"/>
      <x:c r="AW398" s="8" t="s">
        <x:v>78</x:v>
      </x:c>
      <x:c r="AX398" s="32"/>
      <x:c r="AY398" s="33"/>
      <x:c r="AZ398" s="33"/>
      <x:c r="BA398" s="33"/>
      <x:c r="BB398" s="33"/>
      <x:c r="BC398" s="33"/>
      <x:c r="BD398" s="33"/>
      <x:c r="BE398" s="33"/>
      <x:c r="BF398" s="33"/>
      <x:c r="BG398" s="33"/>
      <x:c r="BH398" s="8" t="s">
        <x:v>82</x:v>
      </x:c>
      <x:c r="BI398" s="31">
        <x:v>113</x:v>
      </x:c>
      <x:c r="BJ398" s="31">
        <x:v>26</x:v>
      </x:c>
      <x:c r="BK398" s="31">
        <x:v>26.66</x:v>
      </x:c>
      <x:c r="BL398" s="31">
        <x:v>22</x:v>
      </x:c>
      <x:c r="BM398" s="31">
        <x:v>42</x:v>
      </x:c>
      <x:c r="BN398" s="31">
        <x:v>47.52</x:v>
      </x:c>
      <x:c r="BO398" s="22">
        <x:v>113.440738888889</x:v>
      </x:c>
      <x:c r="BP398" s="22">
        <x:v>22.713200000000001</x:v>
      </x:c>
      <x:c r="BQ398" s="31">
        <x:v>80</x:v>
      </x:c>
      <x:c r="BR398" s="31">
        <x:v>408221</x:v>
      </x:c>
      <x:c r="BS398" s="8" t="s">
        <x:v>78</x:v>
      </x:c>
      <x:c r="BT398" s="8" t="s">
        <x:v>78</x:v>
      </x:c>
      <x:c r="BU398" s="31">
        <x:v>211.65700000000001</x:v>
      </x:c>
      <x:c r="BV398" s="31">
        <x:v>74.08</x:v>
      </x:c>
      <x:c r="BW398" s="8" t="s">
        <x:v>78</x:v>
      </x:c>
      <x:c r="BX398" s="8" t="s">
        <x:v>78</x:v>
      </x:c>
      <x:c r="BY398" s="8" t="s">
        <x:v>78</x:v>
      </x:c>
      <x:c r="BZ398" s="8" t="s">
        <x:v>78</x:v>
      </x:c>
      <x:c r="CA398" s="23">
        <x:f t="shared" si="380"/>
        <x:v>1.2766094720000001</x:v>
      </x:c>
      <x:c r="CB398" s="23">
        <x:f t="shared" si="381"/>
        <x:v>683.30271999999991</x:v>
      </x:c>
      <x:c r="CC398" s="23">
        <x:f t="shared" si="382"/>
        <x:v>216.65696</x:v>
      </x:c>
      <x:c r="CD398" s="23">
        <x:f t="shared" si="383"/>
        <x:v>4.9997759999999989</x:v>
      </x:c>
      <x:c r="CE398" s="23">
        <x:f t="shared" si="384"/>
        <x:v>4.9997759999999989</x:v>
      </x:c>
      <x:c r="CF398" s="23">
        <x:f t="shared" si="385"/>
        <x:v>0</x:v>
      </x:c>
      <x:c r="CG398" s="23">
        <x:f t="shared" si="386"/>
        <x:v>0</x:v>
      </x:c>
      <x:c r="CH398" s="23">
        <x:f t="shared" si="387"/>
        <x:v>3.3331840000000001</x:v>
      </x:c>
      <x:c r="CI398" s="23">
        <x:f t="shared" si="388"/>
        <x:v>0</x:v>
      </x:c>
      <x:c r="CJ398" s="25" t="s">
        <x:v>78</x:v>
      </x:c>
      <x:c r="CK398" s="25">
        <x:v>0</x:v>
      </x:c>
      <x:c r="CL398" s="34" t="s">
        <x:v>97</x:v>
      </x:c>
      <x:c r="CM398" s="28">
        <x:v>60</x:v>
      </x:c>
      <x:c r="CN398" s="35" t="s">
        <x:v>78</x:v>
      </x:c>
      <x:c r="CO398" s="27">
        <x:v>0</x:v>
      </x:c>
      <x:c r="CP398" s="27">
        <x:v>0</x:v>
      </x:c>
      <x:c r="CQ398" s="26">
        <x:f t="shared" si="389"/>
        <x:v>1.2766094720000001</x:v>
      </x:c>
      <x:c r="CR398" s="26">
        <x:f t="shared" si="390"/>
        <x:v>273.32108799999997</x:v>
      </x:c>
      <x:c r="CS398" s="26">
        <x:f t="shared" si="391"/>
        <x:v>216.65696</x:v>
      </x:c>
      <x:c r="CT398" s="26">
        <x:f t="shared" si="350"/>
        <x:v>4.9997759999999989</x:v>
      </x:c>
      <x:c r="CU398" s="26">
        <x:f t="shared" si="351"/>
        <x:v>4.9997759999999989</x:v>
      </x:c>
      <x:c r="CV398" s="26">
        <x:f t="shared" si="352"/>
        <x:v>0</x:v>
      </x:c>
      <x:c r="CW398" s="26">
        <x:f t="shared" si="353"/>
        <x:v>0</x:v>
      </x:c>
      <x:c r="CX398" s="26">
        <x:f t="shared" si="392"/>
        <x:v>3.3331840000000001</x:v>
      </x:c>
      <x:c r="CY398" s="26">
        <x:f t="shared" si="393"/>
        <x:v>0</x:v>
      </x:c>
    </x:row>
    <x:row r="399" s="8" customFormat="1">
      <x:c r="A399" s="31">
        <x:v>2022</x:v>
      </x:c>
      <x:c r="B399" s="8" t="s">
        <x:v>827</x:v>
      </x:c>
      <x:c r="C399" s="8" t="s">
        <x:v>828</x:v>
      </x:c>
      <x:c r="D399" s="8" t="s">
        <x:v>829</x:v>
      </x:c>
      <x:c r="E399" s="31">
        <x:v>442016</x:v>
      </x:c>
      <x:c r="F399" s="8" t="s">
        <x:v>830</x:v>
      </x:c>
      <x:c r="G399" s="8" t="s">
        <x:v>811</x:v>
      </x:c>
      <x:c r="H399" s="31">
        <x:v>4412</x:v>
      </x:c>
      <x:c r="I399" s="8" t="s">
        <x:v>108</x:v>
      </x:c>
      <x:c r="J399" s="8" t="s">
        <x:v>78</x:v>
      </x:c>
      <x:c r="K399" s="8" t="s">
        <x:v>80</x:v>
      </x:c>
      <x:c r="L399" s="31">
        <x:v>46</x:v>
      </x:c>
      <x:c r="M399" s="8" t="s">
        <x:v>78</x:v>
      </x:c>
      <x:c r="N399" s="31">
        <x:v>293.39999999999998</x:v>
      </x:c>
      <x:c r="O399" s="8" t="s">
        <x:v>88</x:v>
      </x:c>
      <x:c r="P399" s="31">
        <x:v>15</x:v>
      </x:c>
      <x:c r="Q399" s="32" t="s">
        <x:v>96</x:v>
      </x:c>
      <x:c r="R399" s="31">
        <x:v>31222.495999999999</x:v>
      </x:c>
      <x:c r="S399" s="8" t="s">
        <x:v>76</x:v>
      </x:c>
      <x:c r="T399" s="32">
        <x:f t="shared" si="394"/>
        <x:v>31222.495999999999</x:v>
      </x:c>
      <x:c r="U399" s="32">
        <x:v>3.83</x:v>
      </x:c>
      <x:c r="V399" s="8" t="s">
        <x:v>77</x:v>
      </x:c>
      <x:c r="W399" s="32" t="s">
        <x:v>78</x:v>
      </x:c>
      <x:c r="X399" s="33">
        <x:f t="shared" si="396"/>
        <x:v>2.3916431935999998</x:v>
      </x:c>
      <x:c r="Y399" s="21">
        <x:f t="shared" si="397"/>
        <x:v>1280.1223359999999</x:v>
      </x:c>
      <x:c r="Z399" s="21">
        <x:f t="shared" si="398"/>
        <x:v>405.892448</x:v>
      </x:c>
      <x:c r="AA399" s="21">
        <x:f t="shared" si="399"/>
        <x:v>9.3667487999999981</x:v>
      </x:c>
      <x:c r="AB399" s="21">
        <x:f t="shared" si="400"/>
        <x:v>9.3667487999999981</x:v>
      </x:c>
      <x:c r="AC399" s="33"/>
      <x:c r="AD399" s="33"/>
      <x:c r="AE399" s="21">
        <x:f t="shared" si="401"/>
        <x:v>6.2444991999999999</x:v>
      </x:c>
      <x:c r="AF399" s="33"/>
      <x:c r="AG399" s="32" t="s">
        <x:v>78</x:v>
      </x:c>
      <x:c r="AH399" s="8" t="s">
        <x:v>78</x:v>
      </x:c>
      <x:c r="AI399" s="8" t="s">
        <x:v>78</x:v>
      </x:c>
      <x:c r="AJ399" s="32"/>
      <x:c r="AK399" s="32" t="s">
        <x:v>78</x:v>
      </x:c>
      <x:c r="AL399" s="8" t="s">
        <x:v>78</x:v>
      </x:c>
      <x:c r="AM399" s="32" t="s">
        <x:v>78</x:v>
      </x:c>
      <x:c r="AN399" s="33"/>
      <x:c r="AO399" s="33"/>
      <x:c r="AP399" s="33"/>
      <x:c r="AQ399" s="33"/>
      <x:c r="AR399" s="33"/>
      <x:c r="AS399" s="33"/>
      <x:c r="AT399" s="33"/>
      <x:c r="AU399" s="33"/>
      <x:c r="AV399" s="33"/>
      <x:c r="AW399" s="8" t="s">
        <x:v>78</x:v>
      </x:c>
      <x:c r="AX399" s="32"/>
      <x:c r="AY399" s="33"/>
      <x:c r="AZ399" s="33"/>
      <x:c r="BA399" s="33"/>
      <x:c r="BB399" s="33"/>
      <x:c r="BC399" s="33"/>
      <x:c r="BD399" s="33"/>
      <x:c r="BE399" s="33"/>
      <x:c r="BF399" s="33"/>
      <x:c r="BG399" s="33"/>
      <x:c r="BH399" s="8" t="s">
        <x:v>79</x:v>
      </x:c>
      <x:c r="BI399" s="31">
        <x:v>113</x:v>
      </x:c>
      <x:c r="BJ399" s="31">
        <x:v>26</x:v>
      </x:c>
      <x:c r="BK399" s="31">
        <x:v>24.83</x:v>
      </x:c>
      <x:c r="BL399" s="31">
        <x:v>22</x:v>
      </x:c>
      <x:c r="BM399" s="31">
        <x:v>42</x:v>
      </x:c>
      <x:c r="BN399" s="31">
        <x:v>47.45</x:v>
      </x:c>
      <x:c r="BO399" s="22">
        <x:v>113.440230555556</x:v>
      </x:c>
      <x:c r="BP399" s="22">
        <x:v>22.713180555555599</x:v>
      </x:c>
      <x:c r="BQ399" s="31">
        <x:v>80</x:v>
      </x:c>
      <x:c r="BR399" s="31">
        <x:v>662264</x:v>
      </x:c>
      <x:c r="BS399" s="8" t="s">
        <x:v>78</x:v>
      </x:c>
      <x:c r="BT399" s="8" t="s">
        <x:v>78</x:v>
      </x:c>
      <x:c r="BU399" s="31">
        <x:v>396.52600000000001</x:v>
      </x:c>
      <x:c r="BV399" s="31">
        <x:v>138.78399999999999</x:v>
      </x:c>
      <x:c r="BW399" s="8" t="s">
        <x:v>78</x:v>
      </x:c>
      <x:c r="BX399" s="8" t="s">
        <x:v>78</x:v>
      </x:c>
      <x:c r="BY399" s="8" t="s">
        <x:v>78</x:v>
      </x:c>
      <x:c r="BZ399" s="8" t="s">
        <x:v>78</x:v>
      </x:c>
      <x:c r="CA399" s="23">
        <x:f t="shared" si="380"/>
        <x:v>2.3916431935999998</x:v>
      </x:c>
      <x:c r="CB399" s="23">
        <x:f t="shared" si="381"/>
        <x:v>1280.1223359999999</x:v>
      </x:c>
      <x:c r="CC399" s="23">
        <x:f t="shared" si="382"/>
        <x:v>405.892448</x:v>
      </x:c>
      <x:c r="CD399" s="23">
        <x:f t="shared" si="383"/>
        <x:v>9.3667487999999981</x:v>
      </x:c>
      <x:c r="CE399" s="23">
        <x:f t="shared" si="384"/>
        <x:v>9.3667487999999981</x:v>
      </x:c>
      <x:c r="CF399" s="23">
        <x:f t="shared" si="385"/>
        <x:v>0</x:v>
      </x:c>
      <x:c r="CG399" s="23">
        <x:f t="shared" si="386"/>
        <x:v>0</x:v>
      </x:c>
      <x:c r="CH399" s="23">
        <x:f t="shared" si="387"/>
        <x:v>6.2444991999999999</x:v>
      </x:c>
      <x:c r="CI399" s="23">
        <x:f t="shared" si="388"/>
        <x:v>0</x:v>
      </x:c>
      <x:c r="CJ399" s="25" t="s">
        <x:v>78</x:v>
      </x:c>
      <x:c r="CK399" s="25">
        <x:v>0</x:v>
      </x:c>
      <x:c r="CL399" s="34" t="s">
        <x:v>97</x:v>
      </x:c>
      <x:c r="CM399" s="28">
        <x:v>60</x:v>
      </x:c>
      <x:c r="CN399" s="35" t="s">
        <x:v>78</x:v>
      </x:c>
      <x:c r="CO399" s="27">
        <x:v>0</x:v>
      </x:c>
      <x:c r="CP399" s="27">
        <x:v>0</x:v>
      </x:c>
      <x:c r="CQ399" s="26">
        <x:f t="shared" si="389"/>
        <x:v>2.3916431935999998</x:v>
      </x:c>
      <x:c r="CR399" s="26">
        <x:f t="shared" si="390"/>
        <x:v>512.04893440000001</x:v>
      </x:c>
      <x:c r="CS399" s="26">
        <x:f t="shared" si="391"/>
        <x:v>405.892448</x:v>
      </x:c>
      <x:c r="CT399" s="26">
        <x:f t="shared" si="350"/>
        <x:v>9.3667487999999981</x:v>
      </x:c>
      <x:c r="CU399" s="26">
        <x:f t="shared" si="351"/>
        <x:v>9.3667487999999981</x:v>
      </x:c>
      <x:c r="CV399" s="26">
        <x:f t="shared" si="352"/>
        <x:v>0</x:v>
      </x:c>
      <x:c r="CW399" s="26">
        <x:f t="shared" si="353"/>
        <x:v>0</x:v>
      </x:c>
      <x:c r="CX399" s="26">
        <x:f t="shared" si="392"/>
        <x:v>6.2444991999999999</x:v>
      </x:c>
      <x:c r="CY399" s="26">
        <x:f t="shared" si="393"/>
        <x:v>0</x:v>
      </x:c>
    </x:row>
    <x:row r="400" s="8" customFormat="1">
      <x:c r="A400" s="31">
        <x:v>2022</x:v>
      </x:c>
      <x:c r="B400" s="8" t="s">
        <x:v>831</x:v>
      </x:c>
      <x:c r="C400" s="8" t="s">
        <x:v>832</x:v>
      </x:c>
      <x:c r="D400" s="8" t="s">
        <x:v>833</x:v>
      </x:c>
      <x:c r="E400" s="31">
        <x:v>442020</x:v>
      </x:c>
      <x:c r="F400" s="8" t="s">
        <x:v>834</x:v>
      </x:c>
      <x:c r="G400" s="8" t="s">
        <x:v>811</x:v>
      </x:c>
      <x:c r="H400" s="31">
        <x:v>4412</x:v>
      </x:c>
      <x:c r="I400" s="8" t="s">
        <x:v>108</x:v>
      </x:c>
      <x:c r="J400" s="8" t="s">
        <x:v>78</x:v>
      </x:c>
      <x:c r="K400" s="8" t="s">
        <x:v>80</x:v>
      </x:c>
      <x:c r="L400" s="31">
        <x:v>39</x:v>
      </x:c>
      <x:c r="M400" s="8" t="s">
        <x:v>78</x:v>
      </x:c>
      <x:c r="N400" s="31">
        <x:v>350</x:v>
      </x:c>
      <x:c r="O400" s="8" t="s">
        <x:v>88</x:v>
      </x:c>
      <x:c r="P400" s="31">
        <x:v>15</x:v>
      </x:c>
      <x:c r="Q400" s="32" t="s">
        <x:v>96</x:v>
      </x:c>
      <x:c r="R400" s="31">
        <x:v>12181.712</x:v>
      </x:c>
      <x:c r="S400" s="8" t="s">
        <x:v>76</x:v>
      </x:c>
      <x:c r="T400" s="32">
        <x:f t="shared" si="394"/>
        <x:v>12181.712</x:v>
      </x:c>
      <x:c r="U400" s="36">
        <x:v>1</x:v>
      </x:c>
      <x:c r="V400" s="8" t="s">
        <x:v>77</x:v>
      </x:c>
      <x:c r="W400" s="36">
        <x:v>0</x:v>
      </x:c>
      <x:c r="X400" s="33">
        <x:f t="shared" si="396"/>
        <x:v>0.24363424</x:v>
      </x:c>
      <x:c r="Y400" s="21">
        <x:f t="shared" si="397"/>
        <x:v>499.45019199999996</x:v>
      </x:c>
      <x:c r="Z400" s="21">
        <x:f t="shared" si="398"/>
        <x:v>158.362256</x:v>
      </x:c>
      <x:c r="AA400" s="21">
        <x:f t="shared" si="399"/>
        <x:v>3.6545135999999996</x:v>
      </x:c>
      <x:c r="AB400" s="21">
        <x:f t="shared" si="400"/>
        <x:v>3.6545135999999996</x:v>
      </x:c>
      <x:c r="AC400" s="33"/>
      <x:c r="AD400" s="33"/>
      <x:c r="AE400" s="21">
        <x:f t="shared" si="401"/>
        <x:v>2.4363424</x:v>
      </x:c>
      <x:c r="AF400" s="33"/>
      <x:c r="AG400" s="32" t="s">
        <x:v>78</x:v>
      </x:c>
      <x:c r="AH400" s="8" t="s">
        <x:v>78</x:v>
      </x:c>
      <x:c r="AI400" s="8" t="s">
        <x:v>78</x:v>
      </x:c>
      <x:c r="AJ400" s="32"/>
      <x:c r="AK400" s="32" t="s">
        <x:v>78</x:v>
      </x:c>
      <x:c r="AL400" s="8" t="s">
        <x:v>78</x:v>
      </x:c>
      <x:c r="AM400" s="32" t="s">
        <x:v>78</x:v>
      </x:c>
      <x:c r="AN400" s="33"/>
      <x:c r="AO400" s="33"/>
      <x:c r="AP400" s="33"/>
      <x:c r="AQ400" s="33"/>
      <x:c r="AR400" s="33"/>
      <x:c r="AS400" s="33"/>
      <x:c r="AT400" s="33"/>
      <x:c r="AU400" s="33"/>
      <x:c r="AV400" s="33"/>
      <x:c r="AW400" s="8" t="s">
        <x:v>78</x:v>
      </x:c>
      <x:c r="AX400" s="32"/>
      <x:c r="AY400" s="33"/>
      <x:c r="AZ400" s="33"/>
      <x:c r="BA400" s="33"/>
      <x:c r="BB400" s="33"/>
      <x:c r="BC400" s="33"/>
      <x:c r="BD400" s="33"/>
      <x:c r="BE400" s="33"/>
      <x:c r="BF400" s="33"/>
      <x:c r="BG400" s="33"/>
      <x:c r="BH400" s="8" t="s">
        <x:v>81</x:v>
      </x:c>
      <x:c r="BI400" s="31">
        <x:v>113</x:v>
      </x:c>
      <x:c r="BJ400" s="31">
        <x:v>35</x:v>
      </x:c>
      <x:c r="BK400" s="31">
        <x:v>42</x:v>
      </x:c>
      <x:c r="BL400" s="31">
        <x:v>22</x:v>
      </x:c>
      <x:c r="BM400" s="31">
        <x:v>34</x:v>
      </x:c>
      <x:c r="BN400" s="31">
        <x:v>16</x:v>
      </x:c>
      <x:c r="BO400" s="22">
        <x:v>113.595</x:v>
      </x:c>
      <x:c r="BP400" s="22">
        <x:v>22.571111111111101</x:v>
      </x:c>
      <x:c r="BQ400" s="31">
        <x:v>60</x:v>
      </x:c>
      <x:c r="BR400" s="31">
        <x:v>182065.666</x:v>
      </x:c>
      <x:c r="BS400" s="31">
        <x:v>0</x:v>
      </x:c>
      <x:c r="BT400" s="31">
        <x:v>0</x:v>
      </x:c>
      <x:c r="BU400" s="31">
        <x:v>104.76300000000001</x:v>
      </x:c>
      <x:c r="BV400" s="31">
        <x:v>104.76300000000001</x:v>
      </x:c>
      <x:c r="BW400" s="31">
        <x:v>12.657</x:v>
      </x:c>
      <x:c r="BX400" s="31">
        <x:v>12.657</x:v>
      </x:c>
      <x:c r="BY400" s="8" t="s">
        <x:v>78</x:v>
      </x:c>
      <x:c r="BZ400" s="8" t="s">
        <x:v>78</x:v>
      </x:c>
      <x:c r="CA400" s="23">
        <x:f t="shared" si="380"/>
        <x:v>0.24363424</x:v>
      </x:c>
      <x:c r="CB400" s="23">
        <x:f t="shared" si="381"/>
        <x:v>499.45019199999996</x:v>
      </x:c>
      <x:c r="CC400" s="23">
        <x:f t="shared" si="382"/>
        <x:v>158.362256</x:v>
      </x:c>
      <x:c r="CD400" s="23">
        <x:f t="shared" si="383"/>
        <x:v>3.6545135999999996</x:v>
      </x:c>
      <x:c r="CE400" s="23">
        <x:f t="shared" si="384"/>
        <x:v>3.6545135999999996</x:v>
      </x:c>
      <x:c r="CF400" s="23">
        <x:f t="shared" si="385"/>
        <x:v>0</x:v>
      </x:c>
      <x:c r="CG400" s="23">
        <x:f t="shared" si="386"/>
        <x:v>0</x:v>
      </x:c>
      <x:c r="CH400" s="23">
        <x:f t="shared" si="387"/>
        <x:v>2.4363424</x:v>
      </x:c>
      <x:c r="CI400" s="23">
        <x:f t="shared" si="388"/>
        <x:v>0</x:v>
      </x:c>
      <x:c r="CJ400" s="25" t="s">
        <x:v>78</x:v>
      </x:c>
      <x:c r="CK400" s="25">
        <x:v>0</x:v>
      </x:c>
      <x:c r="CL400" s="34" t="s">
        <x:v>78</x:v>
      </x:c>
      <x:c r="CM400" s="26">
        <x:v>42</x:v>
      </x:c>
      <x:c r="CN400" s="35" t="s">
        <x:v>78</x:v>
      </x:c>
      <x:c r="CO400" s="27">
        <x:v>0</x:v>
      </x:c>
      <x:c r="CP400" s="27">
        <x:v>0</x:v>
      </x:c>
      <x:c r="CQ400" s="26">
        <x:f t="shared" si="389"/>
        <x:v>0.24363424</x:v>
      </x:c>
      <x:c r="CR400" s="26">
        <x:f t="shared" si="390"/>
        <x:v>289.68111135999999</x:v>
      </x:c>
      <x:c r="CS400" s="26">
        <x:f t="shared" si="391"/>
        <x:v>158.362256</x:v>
      </x:c>
      <x:c r="CT400" s="26">
        <x:f t="shared" si="350"/>
        <x:v>3.6545135999999996</x:v>
      </x:c>
      <x:c r="CU400" s="26">
        <x:f t="shared" si="351"/>
        <x:v>3.6545135999999996</x:v>
      </x:c>
      <x:c r="CV400" s="26">
        <x:f t="shared" si="352"/>
        <x:v>0</x:v>
      </x:c>
      <x:c r="CW400" s="26">
        <x:f t="shared" si="353"/>
        <x:v>0</x:v>
      </x:c>
      <x:c r="CX400" s="26">
        <x:f t="shared" si="392"/>
        <x:v>2.4363424</x:v>
      </x:c>
      <x:c r="CY400" s="26">
        <x:f t="shared" si="393"/>
        <x:v>0</x:v>
      </x:c>
    </x:row>
    <x:row r="401" s="8" customFormat="1">
      <x:c r="A401" s="31">
        <x:v>2022</x:v>
      </x:c>
      <x:c r="B401" s="8" t="s">
        <x:v>831</x:v>
      </x:c>
      <x:c r="C401" s="8" t="s">
        <x:v>832</x:v>
      </x:c>
      <x:c r="D401" s="8" t="s">
        <x:v>833</x:v>
      </x:c>
      <x:c r="E401" s="31">
        <x:v>442020</x:v>
      </x:c>
      <x:c r="F401" s="8" t="s">
        <x:v>834</x:v>
      </x:c>
      <x:c r="G401" s="8" t="s">
        <x:v>811</x:v>
      </x:c>
      <x:c r="H401" s="31">
        <x:v>4412</x:v>
      </x:c>
      <x:c r="I401" s="8" t="s">
        <x:v>108</x:v>
      </x:c>
      <x:c r="J401" s="8" t="s">
        <x:v>78</x:v>
      </x:c>
      <x:c r="K401" s="8" t="s">
        <x:v>80</x:v>
      </x:c>
      <x:c r="L401" s="31">
        <x:v>39</x:v>
      </x:c>
      <x:c r="M401" s="8" t="s">
        <x:v>78</x:v>
      </x:c>
      <x:c r="N401" s="31">
        <x:v>350</x:v>
      </x:c>
      <x:c r="O401" s="8" t="s">
        <x:v>88</x:v>
      </x:c>
      <x:c r="P401" s="31">
        <x:v>15</x:v>
      </x:c>
      <x:c r="Q401" s="32" t="s">
        <x:v>96</x:v>
      </x:c>
      <x:c r="R401" s="31">
        <x:v>9493.0779999999995</x:v>
      </x:c>
      <x:c r="S401" s="8" t="s">
        <x:v>76</x:v>
      </x:c>
      <x:c r="T401" s="32">
        <x:f t="shared" si="394"/>
        <x:v>9493.0779999999995</x:v>
      </x:c>
      <x:c r="U401" s="36">
        <x:v>1</x:v>
      </x:c>
      <x:c r="V401" s="8" t="s">
        <x:v>77</x:v>
      </x:c>
      <x:c r="W401" s="36">
        <x:v>0</x:v>
      </x:c>
      <x:c r="X401" s="33">
        <x:f t="shared" si="396"/>
        <x:v>0.18986156000000001</x:v>
      </x:c>
      <x:c r="Y401" s="21">
        <x:f t="shared" si="397"/>
        <x:v>389.21619799999996</x:v>
      </x:c>
      <x:c r="Z401" s="21">
        <x:f t="shared" si="398"/>
        <x:v>123.41001399999999</x:v>
      </x:c>
      <x:c r="AA401" s="21">
        <x:f t="shared" si="399"/>
        <x:v>2.8479233999999995</x:v>
      </x:c>
      <x:c r="AB401" s="21">
        <x:f t="shared" si="400"/>
        <x:v>2.8479233999999995</x:v>
      </x:c>
      <x:c r="AC401" s="33"/>
      <x:c r="AD401" s="33"/>
      <x:c r="AE401" s="21">
        <x:f t="shared" si="401"/>
        <x:v>1.8986155999999998</x:v>
      </x:c>
      <x:c r="AF401" s="33"/>
      <x:c r="AG401" s="32" t="s">
        <x:v>78</x:v>
      </x:c>
      <x:c r="AH401" s="8" t="s">
        <x:v>78</x:v>
      </x:c>
      <x:c r="AI401" s="8" t="s">
        <x:v>78</x:v>
      </x:c>
      <x:c r="AJ401" s="32"/>
      <x:c r="AK401" s="32" t="s">
        <x:v>78</x:v>
      </x:c>
      <x:c r="AL401" s="8" t="s">
        <x:v>78</x:v>
      </x:c>
      <x:c r="AM401" s="32" t="s">
        <x:v>78</x:v>
      </x:c>
      <x:c r="AN401" s="33"/>
      <x:c r="AO401" s="33"/>
      <x:c r="AP401" s="33"/>
      <x:c r="AQ401" s="33"/>
      <x:c r="AR401" s="33"/>
      <x:c r="AS401" s="33"/>
      <x:c r="AT401" s="33"/>
      <x:c r="AU401" s="33"/>
      <x:c r="AV401" s="33"/>
      <x:c r="AW401" s="8" t="s">
        <x:v>78</x:v>
      </x:c>
      <x:c r="AX401" s="32"/>
      <x:c r="AY401" s="33"/>
      <x:c r="AZ401" s="33"/>
      <x:c r="BA401" s="33"/>
      <x:c r="BB401" s="33"/>
      <x:c r="BC401" s="33"/>
      <x:c r="BD401" s="33"/>
      <x:c r="BE401" s="33"/>
      <x:c r="BF401" s="33"/>
      <x:c r="BG401" s="33"/>
      <x:c r="BH401" s="8" t="s">
        <x:v>79</x:v>
      </x:c>
      <x:c r="BI401" s="31">
        <x:v>113</x:v>
      </x:c>
      <x:c r="BJ401" s="31">
        <x:v>35</x:v>
      </x:c>
      <x:c r="BK401" s="31">
        <x:v>42</x:v>
      </x:c>
      <x:c r="BL401" s="31">
        <x:v>22</x:v>
      </x:c>
      <x:c r="BM401" s="31">
        <x:v>34</x:v>
      </x:c>
      <x:c r="BN401" s="31">
        <x:v>16</x:v>
      </x:c>
      <x:c r="BO401" s="22">
        <x:v>113.595</x:v>
      </x:c>
      <x:c r="BP401" s="22">
        <x:v>22.571111111111101</x:v>
      </x:c>
      <x:c r="BQ401" s="31">
        <x:v>60</x:v>
      </x:c>
      <x:c r="BR401" s="31">
        <x:v>198331.348</x:v>
      </x:c>
      <x:c r="BS401" s="31">
        <x:v>0</x:v>
      </x:c>
      <x:c r="BT401" s="31">
        <x:v>0</x:v>
      </x:c>
      <x:c r="BU401" s="31">
        <x:v>81.64</x:v>
      </x:c>
      <x:c r="BV401" s="31">
        <x:v>81.64</x:v>
      </x:c>
      <x:c r="BW401" s="31">
        <x:v>9.8629999999999995</x:v>
      </x:c>
      <x:c r="BX401" s="31">
        <x:v>9.8629999999999995</x:v>
      </x:c>
      <x:c r="BY401" s="8" t="s">
        <x:v>78</x:v>
      </x:c>
      <x:c r="BZ401" s="8" t="s">
        <x:v>78</x:v>
      </x:c>
      <x:c r="CA401" s="23">
        <x:f t="shared" si="380"/>
        <x:v>0.18986156000000001</x:v>
      </x:c>
      <x:c r="CB401" s="23">
        <x:f t="shared" si="381"/>
        <x:v>389.21619799999996</x:v>
      </x:c>
      <x:c r="CC401" s="23">
        <x:f t="shared" si="382"/>
        <x:v>123.41001399999999</x:v>
      </x:c>
      <x:c r="CD401" s="23">
        <x:f t="shared" si="383"/>
        <x:v>2.8479233999999995</x:v>
      </x:c>
      <x:c r="CE401" s="23">
        <x:f t="shared" si="384"/>
        <x:v>2.8479233999999995</x:v>
      </x:c>
      <x:c r="CF401" s="23">
        <x:f t="shared" si="385"/>
        <x:v>0</x:v>
      </x:c>
      <x:c r="CG401" s="23">
        <x:f t="shared" si="386"/>
        <x:v>0</x:v>
      </x:c>
      <x:c r="CH401" s="23">
        <x:f t="shared" si="387"/>
        <x:v>1.8986155999999998</x:v>
      </x:c>
      <x:c r="CI401" s="23">
        <x:f t="shared" si="388"/>
        <x:v>0</x:v>
      </x:c>
      <x:c r="CJ401" s="25" t="s">
        <x:v>78</x:v>
      </x:c>
      <x:c r="CK401" s="25">
        <x:v>0</x:v>
      </x:c>
      <x:c r="CL401" s="34" t="s">
        <x:v>78</x:v>
      </x:c>
      <x:c r="CM401" s="26">
        <x:v>42</x:v>
      </x:c>
      <x:c r="CN401" s="35" t="s">
        <x:v>78</x:v>
      </x:c>
      <x:c r="CO401" s="27">
        <x:v>0</x:v>
      </x:c>
      <x:c r="CP401" s="27">
        <x:v>0</x:v>
      </x:c>
      <x:c r="CQ401" s="26">
        <x:f t="shared" si="389"/>
        <x:v>0.18986156000000001</x:v>
      </x:c>
      <x:c r="CR401" s="26">
        <x:f t="shared" si="390"/>
        <x:v>225.74539484000002</x:v>
      </x:c>
      <x:c r="CS401" s="26">
        <x:f t="shared" si="391"/>
        <x:v>123.41001399999999</x:v>
      </x:c>
      <x:c r="CT401" s="26">
        <x:f t="shared" si="350"/>
        <x:v>2.8479233999999995</x:v>
      </x:c>
      <x:c r="CU401" s="26">
        <x:f t="shared" si="351"/>
        <x:v>2.8479233999999995</x:v>
      </x:c>
      <x:c r="CV401" s="26">
        <x:f t="shared" si="352"/>
        <x:v>0</x:v>
      </x:c>
      <x:c r="CW401" s="26">
        <x:f t="shared" si="353"/>
        <x:v>0</x:v>
      </x:c>
      <x:c r="CX401" s="26">
        <x:f t="shared" si="392"/>
        <x:v>1.8986155999999998</x:v>
      </x:c>
      <x:c r="CY401" s="26">
        <x:f t="shared" si="393"/>
        <x:v>0</x:v>
      </x:c>
    </x:row>
    <x:row r="402" s="8" customFormat="1">
      <x:c r="A402" s="31">
        <x:v>2022</x:v>
      </x:c>
      <x:c r="B402" s="8" t="s">
        <x:v>831</x:v>
      </x:c>
      <x:c r="C402" s="8" t="s">
        <x:v>832</x:v>
      </x:c>
      <x:c r="D402" s="8" t="s">
        <x:v>833</x:v>
      </x:c>
      <x:c r="E402" s="31">
        <x:v>442020</x:v>
      </x:c>
      <x:c r="F402" s="8" t="s">
        <x:v>834</x:v>
      </x:c>
      <x:c r="G402" s="8" t="s">
        <x:v>811</x:v>
      </x:c>
      <x:c r="H402" s="31">
        <x:v>4412</x:v>
      </x:c>
      <x:c r="I402" s="8" t="s">
        <x:v>108</x:v>
      </x:c>
      <x:c r="J402" s="8" t="s">
        <x:v>78</x:v>
      </x:c>
      <x:c r="K402" s="8" t="s">
        <x:v>80</x:v>
      </x:c>
      <x:c r="L402" s="31">
        <x:v>46</x:v>
      </x:c>
      <x:c r="M402" s="8" t="s">
        <x:v>78</x:v>
      </x:c>
      <x:c r="N402" s="31">
        <x:v>410</x:v>
      </x:c>
      <x:c r="O402" s="8" t="s">
        <x:v>88</x:v>
      </x:c>
      <x:c r="P402" s="31">
        <x:v>15</x:v>
      </x:c>
      <x:c r="Q402" s="32" t="s">
        <x:v>96</x:v>
      </x:c>
      <x:c r="R402" s="31">
        <x:v>18985.416000000001</x:v>
      </x:c>
      <x:c r="S402" s="8" t="s">
        <x:v>76</x:v>
      </x:c>
      <x:c r="T402" s="32">
        <x:f t="shared" si="394"/>
        <x:v>18985.416000000001</x:v>
      </x:c>
      <x:c r="U402" s="36">
        <x:v>1</x:v>
      </x:c>
      <x:c r="V402" s="8" t="s">
        <x:v>77</x:v>
      </x:c>
      <x:c r="W402" s="36">
        <x:v>0</x:v>
      </x:c>
      <x:c r="X402" s="33">
        <x:f t="shared" si="396"/>
        <x:v>0.37970831999999999</x:v>
      </x:c>
      <x:c r="Y402" s="21">
        <x:f t="shared" si="397"/>
        <x:v>778.40205600000002</x:v>
      </x:c>
      <x:c r="Z402" s="21">
        <x:f t="shared" si="398"/>
        <x:v>246.81040800000002</x:v>
      </x:c>
      <x:c r="AA402" s="21">
        <x:f t="shared" si="399"/>
        <x:v>5.6956248000000009</x:v>
      </x:c>
      <x:c r="AB402" s="21">
        <x:f t="shared" si="400"/>
        <x:v>5.6956248000000009</x:v>
      </x:c>
      <x:c r="AC402" s="33"/>
      <x:c r="AD402" s="33"/>
      <x:c r="AE402" s="21">
        <x:f t="shared" si="401"/>
        <x:v>3.7970832000000003</x:v>
      </x:c>
      <x:c r="AF402" s="33"/>
      <x:c r="AG402" s="32" t="s">
        <x:v>78</x:v>
      </x:c>
      <x:c r="AH402" s="8" t="s">
        <x:v>78</x:v>
      </x:c>
      <x:c r="AI402" s="8" t="s">
        <x:v>78</x:v>
      </x:c>
      <x:c r="AJ402" s="32"/>
      <x:c r="AK402" s="32" t="s">
        <x:v>78</x:v>
      </x:c>
      <x:c r="AL402" s="8" t="s">
        <x:v>78</x:v>
      </x:c>
      <x:c r="AM402" s="32" t="s">
        <x:v>78</x:v>
      </x:c>
      <x:c r="AN402" s="33"/>
      <x:c r="AO402" s="33"/>
      <x:c r="AP402" s="33"/>
      <x:c r="AQ402" s="33"/>
      <x:c r="AR402" s="33"/>
      <x:c r="AS402" s="33"/>
      <x:c r="AT402" s="33"/>
      <x:c r="AU402" s="33"/>
      <x:c r="AV402" s="33"/>
      <x:c r="AW402" s="8" t="s">
        <x:v>78</x:v>
      </x:c>
      <x:c r="AX402" s="32"/>
      <x:c r="AY402" s="33"/>
      <x:c r="AZ402" s="33"/>
      <x:c r="BA402" s="33"/>
      <x:c r="BB402" s="33"/>
      <x:c r="BC402" s="33"/>
      <x:c r="BD402" s="33"/>
      <x:c r="BE402" s="33"/>
      <x:c r="BF402" s="33"/>
      <x:c r="BG402" s="33"/>
      <x:c r="BH402" s="8" t="s">
        <x:v>82</x:v>
      </x:c>
      <x:c r="BI402" s="31">
        <x:v>113</x:v>
      </x:c>
      <x:c r="BJ402" s="31">
        <x:v>35</x:v>
      </x:c>
      <x:c r="BK402" s="31">
        <x:v>42</x:v>
      </x:c>
      <x:c r="BL402" s="31">
        <x:v>22</x:v>
      </x:c>
      <x:c r="BM402" s="31">
        <x:v>34</x:v>
      </x:c>
      <x:c r="BN402" s="31">
        <x:v>16</x:v>
      </x:c>
      <x:c r="BO402" s="22">
        <x:v>113.595</x:v>
      </x:c>
      <x:c r="BP402" s="22">
        <x:v>22.571111111111101</x:v>
      </x:c>
      <x:c r="BQ402" s="31">
        <x:v>60</x:v>
      </x:c>
      <x:c r="BR402" s="31">
        <x:v>290998.31800000003</x:v>
      </x:c>
      <x:c r="BS402" s="31">
        <x:v>0</x:v>
      </x:c>
      <x:c r="BT402" s="31">
        <x:v>0</x:v>
      </x:c>
      <x:c r="BU402" s="31">
        <x:v>163.27500000000001</x:v>
      </x:c>
      <x:c r="BV402" s="31">
        <x:v>163.27500000000001</x:v>
      </x:c>
      <x:c r="BW402" s="31">
        <x:v>19.725999999999999</x:v>
      </x:c>
      <x:c r="BX402" s="31">
        <x:v>19.725999999999999</x:v>
      </x:c>
      <x:c r="BY402" s="8" t="s">
        <x:v>78</x:v>
      </x:c>
      <x:c r="BZ402" s="8" t="s">
        <x:v>78</x:v>
      </x:c>
      <x:c r="CA402" s="23">
        <x:f t="shared" si="380"/>
        <x:v>0.37970831999999999</x:v>
      </x:c>
      <x:c r="CB402" s="23">
        <x:f t="shared" si="381"/>
        <x:v>778.40205600000002</x:v>
      </x:c>
      <x:c r="CC402" s="23">
        <x:f t="shared" si="382"/>
        <x:v>246.81040800000002</x:v>
      </x:c>
      <x:c r="CD402" s="23">
        <x:f t="shared" si="383"/>
        <x:v>5.6956248000000009</x:v>
      </x:c>
      <x:c r="CE402" s="23">
        <x:f t="shared" si="384"/>
        <x:v>5.6956248000000009</x:v>
      </x:c>
      <x:c r="CF402" s="23">
        <x:f t="shared" si="385"/>
        <x:v>0</x:v>
      </x:c>
      <x:c r="CG402" s="23">
        <x:f t="shared" si="386"/>
        <x:v>0</x:v>
      </x:c>
      <x:c r="CH402" s="23">
        <x:f t="shared" si="387"/>
        <x:v>3.7970832000000003</x:v>
      </x:c>
      <x:c r="CI402" s="23">
        <x:f t="shared" si="388"/>
        <x:v>0</x:v>
      </x:c>
      <x:c r="CJ402" s="25" t="s">
        <x:v>78</x:v>
      </x:c>
      <x:c r="CK402" s="25">
        <x:v>0</x:v>
      </x:c>
      <x:c r="CL402" s="34" t="s">
        <x:v>78</x:v>
      </x:c>
      <x:c r="CM402" s="26">
        <x:v>42</x:v>
      </x:c>
      <x:c r="CN402" s="35" t="s">
        <x:v>78</x:v>
      </x:c>
      <x:c r="CO402" s="27">
        <x:v>0</x:v>
      </x:c>
      <x:c r="CP402" s="27">
        <x:v>0</x:v>
      </x:c>
      <x:c r="CQ402" s="26">
        <x:f t="shared" si="389"/>
        <x:v>0.37970831999999999</x:v>
      </x:c>
      <x:c r="CR402" s="26">
        <x:f t="shared" si="390"/>
        <x:v>451.47319248000008</x:v>
      </x:c>
      <x:c r="CS402" s="26">
        <x:f t="shared" si="391"/>
        <x:v>246.81040800000002</x:v>
      </x:c>
      <x:c r="CT402" s="26">
        <x:f t="shared" si="350"/>
        <x:v>5.6956248000000009</x:v>
      </x:c>
      <x:c r="CU402" s="26">
        <x:f t="shared" si="351"/>
        <x:v>5.6956248000000009</x:v>
      </x:c>
      <x:c r="CV402" s="26">
        <x:f t="shared" si="352"/>
        <x:v>0</x:v>
      </x:c>
      <x:c r="CW402" s="26">
        <x:f t="shared" si="353"/>
        <x:v>0</x:v>
      </x:c>
      <x:c r="CX402" s="26">
        <x:f t="shared" si="392"/>
        <x:v>3.7970832000000003</x:v>
      </x:c>
      <x:c r="CY402" s="26">
        <x:f t="shared" si="393"/>
        <x:v>0</x:v>
      </x:c>
    </x:row>
    <x:row r="403" s="8" customFormat="1">
      <x:c r="A403" s="31">
        <x:v>2022</x:v>
      </x:c>
      <x:c r="B403" s="8" t="s">
        <x:v>831</x:v>
      </x:c>
      <x:c r="C403" s="8" t="s">
        <x:v>832</x:v>
      </x:c>
      <x:c r="D403" s="8" t="s">
        <x:v>833</x:v>
      </x:c>
      <x:c r="E403" s="31">
        <x:v>442020</x:v>
      </x:c>
      <x:c r="F403" s="8" t="s">
        <x:v>834</x:v>
      </x:c>
      <x:c r="G403" s="8" t="s">
        <x:v>811</x:v>
      </x:c>
      <x:c r="H403" s="31">
        <x:v>4412</x:v>
      </x:c>
      <x:c r="I403" s="8" t="s">
        <x:v>108</x:v>
      </x:c>
      <x:c r="J403" s="8" t="s">
        <x:v>78</x:v>
      </x:c>
      <x:c r="K403" s="8" t="s">
        <x:v>80</x:v>
      </x:c>
      <x:c r="L403" s="31">
        <x:v>46</x:v>
      </x:c>
      <x:c r="M403" s="8" t="s">
        <x:v>78</x:v>
      </x:c>
      <x:c r="N403" s="31">
        <x:v>410</x:v>
      </x:c>
      <x:c r="O403" s="8" t="s">
        <x:v>88</x:v>
      </x:c>
      <x:c r="P403" s="31">
        <x:v>15</x:v>
      </x:c>
      <x:c r="Q403" s="32" t="s">
        <x:v>96</x:v>
      </x:c>
      <x:c r="R403" s="31">
        <x:v>29136.473000000002</x:v>
      </x:c>
      <x:c r="S403" s="8" t="s">
        <x:v>76</x:v>
      </x:c>
      <x:c r="T403" s="32">
        <x:f t="shared" si="394"/>
        <x:v>29136.473000000002</x:v>
      </x:c>
      <x:c r="U403" s="36">
        <x:v>1</x:v>
      </x:c>
      <x:c r="V403" s="8" t="s">
        <x:v>77</x:v>
      </x:c>
      <x:c r="W403" s="36">
        <x:v>0</x:v>
      </x:c>
      <x:c r="X403" s="33">
        <x:f t="shared" si="396"/>
        <x:v>0.58272946000000003</x:v>
      </x:c>
      <x:c r="Y403" s="21">
        <x:f t="shared" si="397"/>
        <x:v>1194.5953930000001</x:v>
      </x:c>
      <x:c r="Z403" s="21">
        <x:f t="shared" si="398"/>
        <x:v>378.77414900000008</x:v>
      </x:c>
      <x:c r="AA403" s="21">
        <x:f t="shared" si="399"/>
        <x:v>8.740941900000001</x:v>
      </x:c>
      <x:c r="AB403" s="21">
        <x:f t="shared" si="400"/>
        <x:v>8.740941900000001</x:v>
      </x:c>
      <x:c r="AC403" s="33"/>
      <x:c r="AD403" s="33"/>
      <x:c r="AE403" s="21">
        <x:f t="shared" si="401"/>
        <x:v>5.827294600000001</x:v>
      </x:c>
      <x:c r="AF403" s="33"/>
      <x:c r="AG403" s="32" t="s">
        <x:v>78</x:v>
      </x:c>
      <x:c r="AH403" s="8" t="s">
        <x:v>78</x:v>
      </x:c>
      <x:c r="AI403" s="8" t="s">
        <x:v>78</x:v>
      </x:c>
      <x:c r="AJ403" s="32"/>
      <x:c r="AK403" s="32" t="s">
        <x:v>78</x:v>
      </x:c>
      <x:c r="AL403" s="8" t="s">
        <x:v>78</x:v>
      </x:c>
      <x:c r="AM403" s="32" t="s">
        <x:v>78</x:v>
      </x:c>
      <x:c r="AN403" s="33"/>
      <x:c r="AO403" s="33"/>
      <x:c r="AP403" s="33"/>
      <x:c r="AQ403" s="33"/>
      <x:c r="AR403" s="33"/>
      <x:c r="AS403" s="33"/>
      <x:c r="AT403" s="33"/>
      <x:c r="AU403" s="33"/>
      <x:c r="AV403" s="33"/>
      <x:c r="AW403" s="8" t="s">
        <x:v>78</x:v>
      </x:c>
      <x:c r="AX403" s="32"/>
      <x:c r="AY403" s="33"/>
      <x:c r="AZ403" s="33"/>
      <x:c r="BA403" s="33"/>
      <x:c r="BB403" s="33"/>
      <x:c r="BC403" s="33"/>
      <x:c r="BD403" s="33"/>
      <x:c r="BE403" s="33"/>
      <x:c r="BF403" s="33"/>
      <x:c r="BG403" s="33"/>
      <x:c r="BH403" s="8" t="s">
        <x:v>83</x:v>
      </x:c>
      <x:c r="BI403" s="31">
        <x:v>113</x:v>
      </x:c>
      <x:c r="BJ403" s="31">
        <x:v>35</x:v>
      </x:c>
      <x:c r="BK403" s="31">
        <x:v>42</x:v>
      </x:c>
      <x:c r="BL403" s="31">
        <x:v>22</x:v>
      </x:c>
      <x:c r="BM403" s="31">
        <x:v>34</x:v>
      </x:c>
      <x:c r="BN403" s="31">
        <x:v>16</x:v>
      </x:c>
      <x:c r="BO403" s="22">
        <x:v>113.595</x:v>
      </x:c>
      <x:c r="BP403" s="22">
        <x:v>22.571111111111101</x:v>
      </x:c>
      <x:c r="BQ403" s="31">
        <x:v>60</x:v>
      </x:c>
      <x:c r="BR403" s="31">
        <x:v>370916.02299999999</x:v>
      </x:c>
      <x:c r="BS403" s="31">
        <x:v>0</x:v>
      </x:c>
      <x:c r="BT403" s="31">
        <x:v>0</x:v>
      </x:c>
      <x:c r="BU403" s="31">
        <x:v>250.57400000000001</x:v>
      </x:c>
      <x:c r="BV403" s="31">
        <x:v>250.57400000000001</x:v>
      </x:c>
      <x:c r="BW403" s="31">
        <x:v>30.273</x:v>
      </x:c>
      <x:c r="BX403" s="31">
        <x:v>30.273</x:v>
      </x:c>
      <x:c r="BY403" s="8" t="s">
        <x:v>78</x:v>
      </x:c>
      <x:c r="BZ403" s="8" t="s">
        <x:v>78</x:v>
      </x:c>
      <x:c r="CA403" s="23">
        <x:f t="shared" si="380"/>
        <x:v>0.58272946000000003</x:v>
      </x:c>
      <x:c r="CB403" s="23">
        <x:f t="shared" si="381"/>
        <x:v>1194.5953930000001</x:v>
      </x:c>
      <x:c r="CC403" s="23">
        <x:f t="shared" si="382"/>
        <x:v>378.77414900000008</x:v>
      </x:c>
      <x:c r="CD403" s="23">
        <x:f t="shared" si="383"/>
        <x:v>8.740941900000001</x:v>
      </x:c>
      <x:c r="CE403" s="23">
        <x:f t="shared" si="384"/>
        <x:v>8.740941900000001</x:v>
      </x:c>
      <x:c r="CF403" s="23">
        <x:f t="shared" si="385"/>
        <x:v>0</x:v>
      </x:c>
      <x:c r="CG403" s="23">
        <x:f t="shared" si="386"/>
        <x:v>0</x:v>
      </x:c>
      <x:c r="CH403" s="23">
        <x:f t="shared" si="387"/>
        <x:v>5.827294600000001</x:v>
      </x:c>
      <x:c r="CI403" s="23">
        <x:f t="shared" si="388"/>
        <x:v>0</x:v>
      </x:c>
      <x:c r="CJ403" s="25" t="s">
        <x:v>78</x:v>
      </x:c>
      <x:c r="CK403" s="25">
        <x:v>0</x:v>
      </x:c>
      <x:c r="CL403" s="34" t="s">
        <x:v>78</x:v>
      </x:c>
      <x:c r="CM403" s="26">
        <x:v>42</x:v>
      </x:c>
      <x:c r="CN403" s="35" t="s">
        <x:v>78</x:v>
      </x:c>
      <x:c r="CO403" s="27">
        <x:v>0</x:v>
      </x:c>
      <x:c r="CP403" s="27">
        <x:v>0</x:v>
      </x:c>
      <x:c r="CQ403" s="26">
        <x:f t="shared" si="389"/>
        <x:v>0.58272946000000003</x:v>
      </x:c>
      <x:c r="CR403" s="26">
        <x:f t="shared" si="390"/>
        <x:v>692.86532794000016</x:v>
      </x:c>
      <x:c r="CS403" s="26">
        <x:f t="shared" si="391"/>
        <x:v>378.77414900000008</x:v>
      </x:c>
      <x:c r="CT403" s="26">
        <x:f t="shared" si="350"/>
        <x:v>8.740941900000001</x:v>
      </x:c>
      <x:c r="CU403" s="26">
        <x:f t="shared" si="351"/>
        <x:v>8.740941900000001</x:v>
      </x:c>
      <x:c r="CV403" s="26">
        <x:f t="shared" si="352"/>
        <x:v>0</x:v>
      </x:c>
      <x:c r="CW403" s="26">
        <x:f t="shared" si="353"/>
        <x:v>0</x:v>
      </x:c>
      <x:c r="CX403" s="26">
        <x:f t="shared" si="392"/>
        <x:v>5.827294600000001</x:v>
      </x:c>
      <x:c r="CY403" s="26">
        <x:f t="shared" si="393"/>
        <x:v>0</x:v>
      </x:c>
    </x:row>
    <x:row r="404" s="8" customFormat="1">
      <x:c r="A404" s="31">
        <x:v>2022</x:v>
      </x:c>
      <x:c r="B404" s="8" t="s">
        <x:v>831</x:v>
      </x:c>
      <x:c r="C404" s="8" t="s">
        <x:v>832</x:v>
      </x:c>
      <x:c r="D404" s="8" t="s">
        <x:v>833</x:v>
      </x:c>
      <x:c r="E404" s="31">
        <x:v>442020</x:v>
      </x:c>
      <x:c r="F404" s="8" t="s">
        <x:v>834</x:v>
      </x:c>
      <x:c r="G404" s="8" t="s">
        <x:v>811</x:v>
      </x:c>
      <x:c r="H404" s="31">
        <x:v>4412</x:v>
      </x:c>
      <x:c r="I404" s="8" t="s">
        <x:v>108</x:v>
      </x:c>
      <x:c r="J404" s="8" t="s">
        <x:v>78</x:v>
      </x:c>
      <x:c r="K404" s="8" t="s">
        <x:v>80</x:v>
      </x:c>
      <x:c r="L404" s="31">
        <x:v>46</x:v>
      </x:c>
      <x:c r="M404" s="8" t="s">
        <x:v>78</x:v>
      </x:c>
      <x:c r="N404" s="31">
        <x:v>410</x:v>
      </x:c>
      <x:c r="O404" s="8" t="s">
        <x:v>88</x:v>
      </x:c>
      <x:c r="P404" s="31">
        <x:v>15</x:v>
      </x:c>
      <x:c r="Q404" s="32" t="s">
        <x:v>96</x:v>
      </x:c>
      <x:c r="R404" s="31">
        <x:v>29983.434000000001</x:v>
      </x:c>
      <x:c r="S404" s="8" t="s">
        <x:v>76</x:v>
      </x:c>
      <x:c r="T404" s="32">
        <x:f t="shared" si="394"/>
        <x:v>29983.434000000001</x:v>
      </x:c>
      <x:c r="U404" s="36">
        <x:v>1</x:v>
      </x:c>
      <x:c r="V404" s="8" t="s">
        <x:v>77</x:v>
      </x:c>
      <x:c r="W404" s="36">
        <x:v>0</x:v>
      </x:c>
      <x:c r="X404" s="33">
        <x:f t="shared" si="396"/>
        <x:v>0.59966867999999995</x:v>
      </x:c>
      <x:c r="Y404" s="21">
        <x:f t="shared" si="397"/>
        <x:v>1229.3207939999998</x:v>
      </x:c>
      <x:c r="Z404" s="21">
        <x:f t="shared" si="398"/>
        <x:v>389.78464200000002</x:v>
      </x:c>
      <x:c r="AA404" s="21">
        <x:f t="shared" si="399"/>
        <x:v>8.9950301999999986</x:v>
      </x:c>
      <x:c r="AB404" s="21">
        <x:f t="shared" si="400"/>
        <x:v>8.9950301999999986</x:v>
      </x:c>
      <x:c r="AC404" s="33"/>
      <x:c r="AD404" s="33"/>
      <x:c r="AE404" s="21">
        <x:f t="shared" si="401"/>
        <x:v>5.9966868</x:v>
      </x:c>
      <x:c r="AF404" s="33"/>
      <x:c r="AG404" s="32" t="s">
        <x:v>78</x:v>
      </x:c>
      <x:c r="AH404" s="8" t="s">
        <x:v>78</x:v>
      </x:c>
      <x:c r="AI404" s="8" t="s">
        <x:v>78</x:v>
      </x:c>
      <x:c r="AJ404" s="32"/>
      <x:c r="AK404" s="32" t="s">
        <x:v>78</x:v>
      </x:c>
      <x:c r="AL404" s="8" t="s">
        <x:v>78</x:v>
      </x:c>
      <x:c r="AM404" s="32" t="s">
        <x:v>78</x:v>
      </x:c>
      <x:c r="AN404" s="33"/>
      <x:c r="AO404" s="33"/>
      <x:c r="AP404" s="33"/>
      <x:c r="AQ404" s="33"/>
      <x:c r="AR404" s="33"/>
      <x:c r="AS404" s="33"/>
      <x:c r="AT404" s="33"/>
      <x:c r="AU404" s="33"/>
      <x:c r="AV404" s="33"/>
      <x:c r="AW404" s="8" t="s">
        <x:v>78</x:v>
      </x:c>
      <x:c r="AX404" s="32"/>
      <x:c r="AY404" s="33"/>
      <x:c r="AZ404" s="33"/>
      <x:c r="BA404" s="33"/>
      <x:c r="BB404" s="33"/>
      <x:c r="BC404" s="33"/>
      <x:c r="BD404" s="33"/>
      <x:c r="BE404" s="33"/>
      <x:c r="BF404" s="33"/>
      <x:c r="BG404" s="33"/>
      <x:c r="BH404" s="8" t="s">
        <x:v>89</x:v>
      </x:c>
      <x:c r="BI404" s="31">
        <x:v>113</x:v>
      </x:c>
      <x:c r="BJ404" s="31">
        <x:v>35</x:v>
      </x:c>
      <x:c r="BK404" s="31">
        <x:v>42</x:v>
      </x:c>
      <x:c r="BL404" s="31">
        <x:v>22</x:v>
      </x:c>
      <x:c r="BM404" s="31">
        <x:v>34</x:v>
      </x:c>
      <x:c r="BN404" s="31">
        <x:v>16</x:v>
      </x:c>
      <x:c r="BO404" s="22">
        <x:v>113.595</x:v>
      </x:c>
      <x:c r="BP404" s="22">
        <x:v>22.571111111111101</x:v>
      </x:c>
      <x:c r="BQ404" s="31">
        <x:v>60</x:v>
      </x:c>
      <x:c r="BR404" s="31">
        <x:v>415762.67800000001</x:v>
      </x:c>
      <x:c r="BS404" s="31">
        <x:v>0</x:v>
      </x:c>
      <x:c r="BT404" s="31">
        <x:v>0</x:v>
      </x:c>
      <x:c r="BU404" s="31">
        <x:v>257.858</x:v>
      </x:c>
      <x:c r="BV404" s="31">
        <x:v>257.858</x:v>
      </x:c>
      <x:c r="BW404" s="31">
        <x:v>31.152999999999999</x:v>
      </x:c>
      <x:c r="BX404" s="31">
        <x:v>31.152999999999999</x:v>
      </x:c>
      <x:c r="BY404" s="8" t="s">
        <x:v>78</x:v>
      </x:c>
      <x:c r="BZ404" s="8" t="s">
        <x:v>78</x:v>
      </x:c>
      <x:c r="CA404" s="23">
        <x:f t="shared" si="380"/>
        <x:v>0.59966867999999995</x:v>
      </x:c>
      <x:c r="CB404" s="23">
        <x:f t="shared" si="381"/>
        <x:v>1229.3207939999998</x:v>
      </x:c>
      <x:c r="CC404" s="23">
        <x:f t="shared" si="382"/>
        <x:v>389.78464200000002</x:v>
      </x:c>
      <x:c r="CD404" s="23">
        <x:f t="shared" si="383"/>
        <x:v>8.9950301999999986</x:v>
      </x:c>
      <x:c r="CE404" s="23">
        <x:f t="shared" si="384"/>
        <x:v>8.9950301999999986</x:v>
      </x:c>
      <x:c r="CF404" s="23">
        <x:f t="shared" si="385"/>
        <x:v>0</x:v>
      </x:c>
      <x:c r="CG404" s="23">
        <x:f t="shared" si="386"/>
        <x:v>0</x:v>
      </x:c>
      <x:c r="CH404" s="23">
        <x:f t="shared" si="387"/>
        <x:v>5.9966868</x:v>
      </x:c>
      <x:c r="CI404" s="23">
        <x:f t="shared" si="388"/>
        <x:v>0</x:v>
      </x:c>
      <x:c r="CJ404" s="25" t="s">
        <x:v>78</x:v>
      </x:c>
      <x:c r="CK404" s="25">
        <x:v>0</x:v>
      </x:c>
      <x:c r="CL404" s="34" t="s">
        <x:v>78</x:v>
      </x:c>
      <x:c r="CM404" s="26">
        <x:v>42</x:v>
      </x:c>
      <x:c r="CN404" s="35" t="s">
        <x:v>78</x:v>
      </x:c>
      <x:c r="CO404" s="27">
        <x:v>0</x:v>
      </x:c>
      <x:c r="CP404" s="27">
        <x:v>0</x:v>
      </x:c>
      <x:c r="CQ404" s="26">
        <x:f t="shared" si="389"/>
        <x:v>0.59966867999999995</x:v>
      </x:c>
      <x:c r="CR404" s="26">
        <x:f t="shared" si="390"/>
        <x:v>713.00606051999989</x:v>
      </x:c>
      <x:c r="CS404" s="26">
        <x:f t="shared" si="391"/>
        <x:v>389.78464200000002</x:v>
      </x:c>
      <x:c r="CT404" s="26">
        <x:f t="shared" si="350"/>
        <x:v>8.9950301999999986</x:v>
      </x:c>
      <x:c r="CU404" s="26">
        <x:f t="shared" si="351"/>
        <x:v>8.9950301999999986</x:v>
      </x:c>
      <x:c r="CV404" s="26">
        <x:f t="shared" si="352"/>
        <x:v>0</x:v>
      </x:c>
      <x:c r="CW404" s="26">
        <x:f t="shared" si="353"/>
        <x:v>0</x:v>
      </x:c>
      <x:c r="CX404" s="26">
        <x:f t="shared" si="392"/>
        <x:v>5.9966868</x:v>
      </x:c>
      <x:c r="CY404" s="26">
        <x:f t="shared" si="393"/>
        <x:v>0</x:v>
      </x:c>
    </x:row>
    <x:row r="405" s="8" customFormat="1">
      <x:c r="A405" s="31">
        <x:v>2022</x:v>
      </x:c>
      <x:c r="B405" s="8" t="s">
        <x:v>835</x:v>
      </x:c>
      <x:c r="C405" s="8" t="s">
        <x:v>836</x:v>
      </x:c>
      <x:c r="D405" s="8" t="s">
        <x:v>837</x:v>
      </x:c>
      <x:c r="E405" s="31">
        <x:v>442020</x:v>
      </x:c>
      <x:c r="F405" s="8" t="s">
        <x:v>834</x:v>
      </x:c>
      <x:c r="G405" s="8" t="s">
        <x:v>811</x:v>
      </x:c>
      <x:c r="H405" s="31">
        <x:v>4411</x:v>
      </x:c>
      <x:c r="I405" s="8" t="s">
        <x:v>102</x:v>
      </x:c>
      <x:c r="J405" s="8" t="s">
        <x:v>78</x:v>
      </x:c>
      <x:c r="K405" s="8" t="s">
        <x:v>80</x:v>
      </x:c>
      <x:c r="L405" s="31">
        <x:v>12</x:v>
      </x:c>
      <x:c r="M405" s="8" t="s">
        <x:v>78</x:v>
      </x:c>
      <x:c r="N405" s="31">
        <x:v>172</x:v>
      </x:c>
      <x:c r="O405" s="8" t="s">
        <x:v>88</x:v>
      </x:c>
      <x:c r="P405" s="31">
        <x:v>15</x:v>
      </x:c>
      <x:c r="Q405" s="32" t="s">
        <x:v>96</x:v>
      </x:c>
      <x:c r="R405" s="31">
        <x:v>728.75900000000001</x:v>
      </x:c>
      <x:c r="S405" s="8" t="s">
        <x:v>76</x:v>
      </x:c>
      <x:c r="T405" s="32">
        <x:f t="shared" si="394"/>
        <x:v>728.75900000000001</x:v>
      </x:c>
      <x:c r="U405" s="32">
        <x:v>3.83</x:v>
      </x:c>
      <x:c r="V405" s="8" t="s">
        <x:v>77</x:v>
      </x:c>
      <x:c r="W405" s="32" t="s">
        <x:v>78</x:v>
      </x:c>
      <x:c r="X405" s="33">
        <x:f t="shared" si="396"/>
        <x:v>5.5822939400000007E-2</x:v>
      </x:c>
      <x:c r="Y405" s="21">
        <x:f t="shared" si="397"/>
        <x:v>29.879118999999996</x:v>
      </x:c>
      <x:c r="Z405" s="21">
        <x:f t="shared" si="398"/>
        <x:v>9.4738670000000003</x:v>
      </x:c>
      <x:c r="AA405" s="21">
        <x:f t="shared" si="399"/>
        <x:v>0.21862770000000001</x:v>
      </x:c>
      <x:c r="AB405" s="21">
        <x:f t="shared" si="400"/>
        <x:v>0.21862770000000001</x:v>
      </x:c>
      <x:c r="AC405" s="33"/>
      <x:c r="AD405" s="33"/>
      <x:c r="AE405" s="21">
        <x:f t="shared" si="401"/>
        <x:v>0.14575180000000001</x:v>
      </x:c>
      <x:c r="AF405" s="33"/>
      <x:c r="AG405" s="32" t="s">
        <x:v>78</x:v>
      </x:c>
      <x:c r="AH405" s="8" t="s">
        <x:v>78</x:v>
      </x:c>
      <x:c r="AI405" s="8" t="s">
        <x:v>78</x:v>
      </x:c>
      <x:c r="AJ405" s="32"/>
      <x:c r="AK405" s="32" t="s">
        <x:v>78</x:v>
      </x:c>
      <x:c r="AL405" s="8" t="s">
        <x:v>78</x:v>
      </x:c>
      <x:c r="AM405" s="32" t="s">
        <x:v>78</x:v>
      </x:c>
      <x:c r="AN405" s="33"/>
      <x:c r="AO405" s="33"/>
      <x:c r="AP405" s="33"/>
      <x:c r="AQ405" s="33"/>
      <x:c r="AR405" s="33"/>
      <x:c r="AS405" s="33"/>
      <x:c r="AT405" s="33"/>
      <x:c r="AU405" s="33"/>
      <x:c r="AV405" s="33"/>
      <x:c r="AW405" s="8" t="s">
        <x:v>78</x:v>
      </x:c>
      <x:c r="AX405" s="32"/>
      <x:c r="AY405" s="33"/>
      <x:c r="AZ405" s="33"/>
      <x:c r="BA405" s="33"/>
      <x:c r="BB405" s="33"/>
      <x:c r="BC405" s="33"/>
      <x:c r="BD405" s="33"/>
      <x:c r="BE405" s="33"/>
      <x:c r="BF405" s="33"/>
      <x:c r="BG405" s="33"/>
      <x:c r="BH405" s="8" t="s">
        <x:v>81</x:v>
      </x:c>
      <x:c r="BI405" s="31">
        <x:v>113</x:v>
      </x:c>
      <x:c r="BJ405" s="31">
        <x:v>34</x:v>
      </x:c>
      <x:c r="BK405" s="31">
        <x:v>2</x:v>
      </x:c>
      <x:c r="BL405" s="31">
        <x:v>22</x:v>
      </x:c>
      <x:c r="BM405" s="31">
        <x:v>32</x:v>
      </x:c>
      <x:c r="BN405" s="31">
        <x:v>25</x:v>
      </x:c>
      <x:c r="BO405" s="22">
        <x:v>113.567222222222</x:v>
      </x:c>
      <x:c r="BP405" s="22">
        <x:v>22.540277777777799</x:v>
      </x:c>
      <x:c r="BQ405" s="31">
        <x:v>60</x:v>
      </x:c>
      <x:c r="BR405" s="31">
        <x:v>19163.624</x:v>
      </x:c>
      <x:c r="BS405" s="8" t="s">
        <x:v>78</x:v>
      </x:c>
      <x:c r="BT405" s="8" t="s">
        <x:v>78</x:v>
      </x:c>
      <x:c r="BU405" s="31">
        <x:v>9.2550000000000008</x:v>
      </x:c>
      <x:c r="BV405" s="31">
        <x:v>9.2550000000000008</x:v>
      </x:c>
      <x:c r="BW405" s="8" t="s">
        <x:v>78</x:v>
      </x:c>
      <x:c r="BX405" s="8" t="s">
        <x:v>78</x:v>
      </x:c>
      <x:c r="BY405" s="8" t="s">
        <x:v>78</x:v>
      </x:c>
      <x:c r="BZ405" s="8" t="s">
        <x:v>78</x:v>
      </x:c>
      <x:c r="CA405" s="23">
        <x:f t="shared" si="380"/>
        <x:v>5.5822939400000007E-2</x:v>
      </x:c>
      <x:c r="CB405" s="23">
        <x:f t="shared" si="381"/>
        <x:v>29.879118999999996</x:v>
      </x:c>
      <x:c r="CC405" s="23">
        <x:f t="shared" si="382"/>
        <x:v>9.4738670000000003</x:v>
      </x:c>
      <x:c r="CD405" s="23">
        <x:f t="shared" si="383"/>
        <x:v>0.21862770000000001</x:v>
      </x:c>
      <x:c r="CE405" s="23">
        <x:f t="shared" si="384"/>
        <x:v>0.21862770000000001</x:v>
      </x:c>
      <x:c r="CF405" s="23">
        <x:f t="shared" si="385"/>
        <x:v>0</x:v>
      </x:c>
      <x:c r="CG405" s="23">
        <x:f t="shared" si="386"/>
        <x:v>0</x:v>
      </x:c>
      <x:c r="CH405" s="23">
        <x:f t="shared" si="387"/>
        <x:v>0.14575180000000001</x:v>
      </x:c>
      <x:c r="CI405" s="23">
        <x:f t="shared" si="388"/>
        <x:v>0</x:v>
      </x:c>
      <x:c r="CJ405" s="25" t="s">
        <x:v>78</x:v>
      </x:c>
      <x:c r="CK405" s="25">
        <x:v>0</x:v>
      </x:c>
      <x:c r="CL405" s="34" t="s">
        <x:v>78</x:v>
      </x:c>
      <x:c r="CM405" s="26">
        <x:v>42</x:v>
      </x:c>
      <x:c r="CN405" s="35" t="s">
        <x:v>78</x:v>
      </x:c>
      <x:c r="CO405" s="27">
        <x:v>0</x:v>
      </x:c>
      <x:c r="CP405" s="27">
        <x:v>0</x:v>
      </x:c>
      <x:c r="CQ405" s="26">
        <x:f t="shared" si="389"/>
        <x:v>5.5822939400000007E-2</x:v>
      </x:c>
      <x:c r="CR405" s="26">
        <x:f t="shared" si="390"/>
        <x:v>17.32988902</x:v>
      </x:c>
      <x:c r="CS405" s="26">
        <x:f t="shared" si="391"/>
        <x:v>9.4738670000000003</x:v>
      </x:c>
      <x:c r="CT405" s="26">
        <x:f t="shared" si="350"/>
        <x:v>0.21862770000000001</x:v>
      </x:c>
      <x:c r="CU405" s="26">
        <x:f t="shared" si="351"/>
        <x:v>0.21862770000000001</x:v>
      </x:c>
      <x:c r="CV405" s="26">
        <x:f t="shared" si="352"/>
        <x:v>0</x:v>
      </x:c>
      <x:c r="CW405" s="26">
        <x:f t="shared" si="353"/>
        <x:v>0</x:v>
      </x:c>
      <x:c r="CX405" s="26">
        <x:f t="shared" si="392"/>
        <x:v>0.14575180000000001</x:v>
      </x:c>
      <x:c r="CY405" s="26">
        <x:f t="shared" si="393"/>
        <x:v>0</x:v>
      </x:c>
    </x:row>
    <x:row r="406" s="8" customFormat="1">
      <x:c r="A406" s="31">
        <x:v>2022</x:v>
      </x:c>
      <x:c r="B406" s="8" t="s">
        <x:v>835</x:v>
      </x:c>
      <x:c r="C406" s="8" t="s">
        <x:v>836</x:v>
      </x:c>
      <x:c r="D406" s="8" t="s">
        <x:v>837</x:v>
      </x:c>
      <x:c r="E406" s="31">
        <x:v>442020</x:v>
      </x:c>
      <x:c r="F406" s="8" t="s">
        <x:v>834</x:v>
      </x:c>
      <x:c r="G406" s="8" t="s">
        <x:v>811</x:v>
      </x:c>
      <x:c r="H406" s="31">
        <x:v>4411</x:v>
      </x:c>
      <x:c r="I406" s="8" t="s">
        <x:v>102</x:v>
      </x:c>
      <x:c r="J406" s="8" t="s">
        <x:v>78</x:v>
      </x:c>
      <x:c r="K406" s="8" t="s">
        <x:v>80</x:v>
      </x:c>
      <x:c r="L406" s="31">
        <x:v>12</x:v>
      </x:c>
      <x:c r="M406" s="8" t="s">
        <x:v>78</x:v>
      </x:c>
      <x:c r="N406" s="31">
        <x:v>172</x:v>
      </x:c>
      <x:c r="O406" s="8" t="s">
        <x:v>88</x:v>
      </x:c>
      <x:c r="P406" s="31">
        <x:v>15</x:v>
      </x:c>
      <x:c r="Q406" s="32" t="s">
        <x:v>96</x:v>
      </x:c>
      <x:c r="R406" s="31">
        <x:v>673.38599999999997</x:v>
      </x:c>
      <x:c r="S406" s="8" t="s">
        <x:v>76</x:v>
      </x:c>
      <x:c r="T406" s="32">
        <x:f t="shared" si="394"/>
        <x:v>673.38599999999997</x:v>
      </x:c>
      <x:c r="U406" s="32">
        <x:v>3.83</x:v>
      </x:c>
      <x:c r="V406" s="8" t="s">
        <x:v>77</x:v>
      </x:c>
      <x:c r="W406" s="32" t="s">
        <x:v>78</x:v>
      </x:c>
      <x:c r="X406" s="33">
        <x:f t="shared" si="396"/>
        <x:v>5.1581367599999997E-2</x:v>
      </x:c>
      <x:c r="Y406" s="21">
        <x:f t="shared" si="397"/>
        <x:v>27.608825999999997</x:v>
      </x:c>
      <x:c r="Z406" s="21">
        <x:f t="shared" si="398"/>
        <x:v>8.7540180000000003</x:v>
      </x:c>
      <x:c r="AA406" s="21">
        <x:f t="shared" si="399"/>
        <x:v>0.2020158</x:v>
      </x:c>
      <x:c r="AB406" s="21">
        <x:f t="shared" si="400"/>
        <x:v>0.2020158</x:v>
      </x:c>
      <x:c r="AC406" s="33"/>
      <x:c r="AD406" s="33"/>
      <x:c r="AE406" s="21">
        <x:f t="shared" si="401"/>
        <x:v>0.13467720000000002</x:v>
      </x:c>
      <x:c r="AF406" s="33"/>
      <x:c r="AG406" s="32" t="s">
        <x:v>78</x:v>
      </x:c>
      <x:c r="AH406" s="8" t="s">
        <x:v>78</x:v>
      </x:c>
      <x:c r="AI406" s="8" t="s">
        <x:v>78</x:v>
      </x:c>
      <x:c r="AJ406" s="32"/>
      <x:c r="AK406" s="32" t="s">
        <x:v>78</x:v>
      </x:c>
      <x:c r="AL406" s="8" t="s">
        <x:v>78</x:v>
      </x:c>
      <x:c r="AM406" s="32" t="s">
        <x:v>78</x:v>
      </x:c>
      <x:c r="AN406" s="33"/>
      <x:c r="AO406" s="33"/>
      <x:c r="AP406" s="33"/>
      <x:c r="AQ406" s="33"/>
      <x:c r="AR406" s="33"/>
      <x:c r="AS406" s="33"/>
      <x:c r="AT406" s="33"/>
      <x:c r="AU406" s="33"/>
      <x:c r="AV406" s="33"/>
      <x:c r="AW406" s="8" t="s">
        <x:v>78</x:v>
      </x:c>
      <x:c r="AX406" s="32"/>
      <x:c r="AY406" s="33"/>
      <x:c r="AZ406" s="33"/>
      <x:c r="BA406" s="33"/>
      <x:c r="BB406" s="33"/>
      <x:c r="BC406" s="33"/>
      <x:c r="BD406" s="33"/>
      <x:c r="BE406" s="33"/>
      <x:c r="BF406" s="33"/>
      <x:c r="BG406" s="33"/>
      <x:c r="BH406" s="8" t="s">
        <x:v>79</x:v>
      </x:c>
      <x:c r="BI406" s="31">
        <x:v>113</x:v>
      </x:c>
      <x:c r="BJ406" s="31">
        <x:v>34</x:v>
      </x:c>
      <x:c r="BK406" s="31">
        <x:v>2</x:v>
      </x:c>
      <x:c r="BL406" s="31">
        <x:v>22</x:v>
      </x:c>
      <x:c r="BM406" s="31">
        <x:v>32</x:v>
      </x:c>
      <x:c r="BN406" s="31">
        <x:v>25</x:v>
      </x:c>
      <x:c r="BO406" s="22">
        <x:v>113.567222222222</x:v>
      </x:c>
      <x:c r="BP406" s="22">
        <x:v>22.540277777777799</x:v>
      </x:c>
      <x:c r="BQ406" s="31">
        <x:v>60</x:v>
      </x:c>
      <x:c r="BR406" s="31">
        <x:v>16810.759999999998</x:v>
      </x:c>
      <x:c r="BS406" s="8" t="s">
        <x:v>78</x:v>
      </x:c>
      <x:c r="BT406" s="8" t="s">
        <x:v>78</x:v>
      </x:c>
      <x:c r="BU406" s="31">
        <x:v>8.5519999999999996</x:v>
      </x:c>
      <x:c r="BV406" s="31">
        <x:v>8.5519999999999996</x:v>
      </x:c>
      <x:c r="BW406" s="8" t="s">
        <x:v>78</x:v>
      </x:c>
      <x:c r="BX406" s="8" t="s">
        <x:v>78</x:v>
      </x:c>
      <x:c r="BY406" s="8" t="s">
        <x:v>78</x:v>
      </x:c>
      <x:c r="BZ406" s="8" t="s">
        <x:v>78</x:v>
      </x:c>
      <x:c r="CA406" s="23">
        <x:f t="shared" si="380"/>
        <x:v>5.1581367599999997E-2</x:v>
      </x:c>
      <x:c r="CB406" s="23">
        <x:f t="shared" si="381"/>
        <x:v>27.608825999999997</x:v>
      </x:c>
      <x:c r="CC406" s="23">
        <x:f t="shared" si="382"/>
        <x:v>8.7540180000000003</x:v>
      </x:c>
      <x:c r="CD406" s="23">
        <x:f t="shared" si="383"/>
        <x:v>0.2020158</x:v>
      </x:c>
      <x:c r="CE406" s="23">
        <x:f t="shared" si="384"/>
        <x:v>0.2020158</x:v>
      </x:c>
      <x:c r="CF406" s="23">
        <x:f t="shared" si="385"/>
        <x:v>0</x:v>
      </x:c>
      <x:c r="CG406" s="23">
        <x:f t="shared" si="386"/>
        <x:v>0</x:v>
      </x:c>
      <x:c r="CH406" s="23">
        <x:f t="shared" si="387"/>
        <x:v>0.13467720000000002</x:v>
      </x:c>
      <x:c r="CI406" s="23">
        <x:f t="shared" si="388"/>
        <x:v>0</x:v>
      </x:c>
      <x:c r="CJ406" s="25" t="s">
        <x:v>78</x:v>
      </x:c>
      <x:c r="CK406" s="25">
        <x:v>0</x:v>
      </x:c>
      <x:c r="CL406" s="34" t="s">
        <x:v>78</x:v>
      </x:c>
      <x:c r="CM406" s="26">
        <x:v>42</x:v>
      </x:c>
      <x:c r="CN406" s="35" t="s">
        <x:v>78</x:v>
      </x:c>
      <x:c r="CO406" s="27">
        <x:v>0</x:v>
      </x:c>
      <x:c r="CP406" s="27">
        <x:v>0</x:v>
      </x:c>
      <x:c r="CQ406" s="26">
        <x:f t="shared" si="389"/>
        <x:v>5.1581367599999997E-2</x:v>
      </x:c>
      <x:c r="CR406" s="26">
        <x:f t="shared" si="390"/>
        <x:v>16.013119079999999</x:v>
      </x:c>
      <x:c r="CS406" s="26">
        <x:f t="shared" si="391"/>
        <x:v>8.7540180000000003</x:v>
      </x:c>
      <x:c r="CT406" s="26">
        <x:f t="shared" si="350"/>
        <x:v>0.2020158</x:v>
      </x:c>
      <x:c r="CU406" s="26">
        <x:f t="shared" si="351"/>
        <x:v>0.2020158</x:v>
      </x:c>
      <x:c r="CV406" s="26">
        <x:f t="shared" si="352"/>
        <x:v>0</x:v>
      </x:c>
      <x:c r="CW406" s="26">
        <x:f t="shared" si="353"/>
        <x:v>0</x:v>
      </x:c>
      <x:c r="CX406" s="26">
        <x:f t="shared" si="392"/>
        <x:v>0.13467720000000002</x:v>
      </x:c>
      <x:c r="CY406" s="26">
        <x:f t="shared" si="393"/>
        <x:v>0</x:v>
      </x:c>
    </x:row>
    <x:row r="407">
      <x:c r="A407" s="18">
        <x:v>2022</x:v>
      </x:c>
      <x:c r="B407" t="s">
        <x:v>838</x:v>
      </x:c>
      <x:c r="C407" t="s">
        <x:v>839</x:v>
      </x:c>
      <x:c r="D407" t="s">
        <x:v>840</x:v>
      </x:c>
      <x:c r="E407" s="18">
        <x:v>445103</x:v>
      </x:c>
      <x:c r="F407" t="s">
        <x:v>841</x:v>
      </x:c>
      <x:c r="G407" t="s">
        <x:v>842</x:v>
      </x:c>
      <x:c r="H407" s="18">
        <x:v>4412</x:v>
      </x:c>
      <x:c r="I407" t="s">
        <x:v>108</x:v>
      </x:c>
      <x:c r="J407" t="s">
        <x:v>78</x:v>
      </x:c>
      <x:c r="K407" t="s">
        <x:v>80</x:v>
      </x:c>
      <x:c r="L407" s="18">
        <x:v>12</x:v>
      </x:c>
      <x:c r="M407" t="s">
        <x:v>78</x:v>
      </x:c>
      <x:c r="N407" s="18">
        <x:v>118</x:v>
      </x:c>
      <x:c r="O407" t="s">
        <x:v>88</x:v>
      </x:c>
      <x:c r="P407" s="18">
        <x:v>15</x:v>
      </x:c>
      <x:c r="Q407" s="19" t="s">
        <x:v>96</x:v>
      </x:c>
      <x:c r="R407" s="18">
        <x:v>1668.1</x:v>
      </x:c>
      <x:c r="S407" t="s">
        <x:v>76</x:v>
      </x:c>
      <x:c r="T407" s="19">
        <x:f t="shared" si="394"/>
        <x:v>1668.1</x:v>
      </x:c>
      <x:c r="U407" s="19">
        <x:v>12.72</x:v>
      </x:c>
      <x:c r="V407" t="s">
        <x:v>77</x:v>
      </x:c>
      <x:c r="W407" s="20">
        <x:v>0</x:v>
      </x:c>
      <x:c r="X407" s="21">
        <x:f t="shared" si="396"/>
        <x:v>0.42436464000000002</x:v>
      </x:c>
      <x:c r="Y407" s="21">
        <x:f t="shared" si="397"/>
        <x:v>68.392099999999985</x:v>
      </x:c>
      <x:c r="Z407" s="21">
        <x:f t="shared" si="398"/>
        <x:v>21.685299999999998</x:v>
      </x:c>
      <x:c r="AA407" s="21">
        <x:f t="shared" si="399"/>
        <x:v>0.50042999999999993</x:v>
      </x:c>
      <x:c r="AB407" s="21">
        <x:f t="shared" si="400"/>
        <x:v>0.50042999999999993</x:v>
      </x:c>
      <x:c r="AC407" s="21"/>
      <x:c r="AD407" s="21"/>
      <x:c r="AE407" s="21">
        <x:f t="shared" si="401"/>
        <x:v>0.33362000000000003</x:v>
      </x:c>
      <x:c r="AF407" s="21"/>
      <x:c r="AG407" s="19" t="s">
        <x:v>78</x:v>
      </x:c>
      <x:c r="AH407" s="18">
        <x:v>0</x:v>
      </x:c>
      <x:c r="AI407" t="s">
        <x:v>78</x:v>
      </x:c>
      <x:c r="AJ407" s="19"/>
      <x:c r="AK407" s="20">
        <x:v>0</x:v>
      </x:c>
      <x:c r="AL407" t="s">
        <x:v>78</x:v>
      </x:c>
      <x:c r="AM407" s="20">
        <x:v>0</x:v>
      </x:c>
      <x:c r="AN407" s="21"/>
      <x:c r="AO407" s="21"/>
      <x:c r="AP407" s="21"/>
      <x:c r="AQ407" s="21"/>
      <x:c r="AR407" s="21"/>
      <x:c r="AS407" s="21"/>
      <x:c r="AT407" s="21"/>
      <x:c r="AU407" s="21"/>
      <x:c r="AV407" s="21"/>
      <x:c r="AW407" s="18">
        <x:v>0</x:v>
      </x:c>
      <x:c r="AX407" s="19"/>
      <x:c r="AY407" s="21"/>
      <x:c r="AZ407" s="21"/>
      <x:c r="BA407" s="21"/>
      <x:c r="BB407" s="21"/>
      <x:c r="BC407" s="21"/>
      <x:c r="BD407" s="21"/>
      <x:c r="BE407" s="21"/>
      <x:c r="BF407" s="21"/>
      <x:c r="BG407" s="21"/>
      <x:c r="BH407" t="s">
        <x:v>81</x:v>
      </x:c>
      <x:c r="BI407" s="18">
        <x:v>116</x:v>
      </x:c>
      <x:c r="BJ407" s="18">
        <x:v>35</x:v>
      </x:c>
      <x:c r="BK407" s="18">
        <x:v>55.46</x:v>
      </x:c>
      <x:c r="BL407" s="18">
        <x:v>23</x:v>
      </x:c>
      <x:c r="BM407" s="18">
        <x:v>28</x:v>
      </x:c>
      <x:c r="BN407" s="18">
        <x:v>39.4</x:v>
      </x:c>
      <x:c r="BO407" s="22">
        <x:v>116.598738888889</x:v>
      </x:c>
      <x:c r="BP407" s="22">
        <x:v>23.477611111111099</x:v>
      </x:c>
      <x:c r="BQ407" s="18">
        <x:v>40</x:v>
      </x:c>
      <x:c r="BR407" s="18">
        <x:v>61049</x:v>
      </x:c>
      <x:c r="BS407" t="s">
        <x:v>78</x:v>
      </x:c>
      <x:c r="BT407" t="s">
        <x:v>78</x:v>
      </x:c>
      <x:c r="BU407" s="18">
        <x:v>21.184999999999999</x:v>
      </x:c>
      <x:c r="BV407" s="18">
        <x:v>21.184999999999999</x:v>
      </x:c>
      <x:c r="BW407" t="s">
        <x:v>78</x:v>
      </x:c>
      <x:c r="BX407" t="s">
        <x:v>78</x:v>
      </x:c>
      <x:c r="BY407" t="s">
        <x:v>78</x:v>
      </x:c>
      <x:c r="BZ407" t="s">
        <x:v>78</x:v>
      </x:c>
      <x:c r="CA407" s="23">
        <x:f t="shared" si="380"/>
        <x:v>0.42436464000000002</x:v>
      </x:c>
      <x:c r="CB407" s="23">
        <x:f t="shared" si="381"/>
        <x:v>68.392099999999985</x:v>
      </x:c>
      <x:c r="CC407" s="23">
        <x:f t="shared" si="382"/>
        <x:v>21.685299999999998</x:v>
      </x:c>
      <x:c r="CD407" s="23">
        <x:f t="shared" si="383"/>
        <x:v>0.50042999999999993</x:v>
      </x:c>
      <x:c r="CE407" s="23">
        <x:f t="shared" si="384"/>
        <x:v>0.50042999999999993</x:v>
      </x:c>
      <x:c r="CF407" s="23">
        <x:f t="shared" si="385"/>
        <x:v>0</x:v>
      </x:c>
      <x:c r="CG407" s="23">
        <x:f t="shared" si="386"/>
        <x:v>0</x:v>
      </x:c>
      <x:c r="CH407" s="23">
        <x:f t="shared" si="387"/>
        <x:v>0.33362000000000003</x:v>
      </x:c>
      <x:c r="CI407" s="23">
        <x:f t="shared" si="388"/>
        <x:v>0</x:v>
      </x:c>
      <x:c r="CJ407" s="24" t="s">
        <x:v>78</x:v>
      </x:c>
      <x:c r="CK407" s="25">
        <x:v>0</x:v>
      </x:c>
      <x:c r="CL407" s="26" t="s">
        <x:v>78</x:v>
      </x:c>
      <x:c r="CM407" s="26">
        <x:v>42</x:v>
      </x:c>
      <x:c r="CN407" s="27" t="s">
        <x:v>78</x:v>
      </x:c>
      <x:c r="CO407" s="27">
        <x:v>0</x:v>
      </x:c>
      <x:c r="CP407" s="27">
        <x:v>0</x:v>
      </x:c>
      <x:c r="CQ407" s="26">
        <x:f t="shared" si="389"/>
        <x:v>0.42436464000000002</x:v>
      </x:c>
      <x:c r="CR407" s="26">
        <x:f t="shared" si="390"/>
        <x:v>39.667417999999998</x:v>
      </x:c>
      <x:c r="CS407" s="26">
        <x:f t="shared" si="391"/>
        <x:v>21.685299999999998</x:v>
      </x:c>
      <x:c r="CT407" s="26">
        <x:f t="shared" si="350"/>
        <x:v>0.50042999999999993</x:v>
      </x:c>
      <x:c r="CU407" s="26">
        <x:f t="shared" si="351"/>
        <x:v>0.50042999999999993</x:v>
      </x:c>
      <x:c r="CV407" s="26">
        <x:f t="shared" si="352"/>
        <x:v>0</x:v>
      </x:c>
      <x:c r="CW407" s="26">
        <x:f t="shared" si="353"/>
        <x:v>0</x:v>
      </x:c>
      <x:c r="CX407" s="26">
        <x:f t="shared" si="392"/>
        <x:v>0.33362000000000003</x:v>
      </x:c>
      <x:c r="CY407" s="26">
        <x:f t="shared" si="393"/>
        <x:v>0</x:v>
      </x:c>
    </x:row>
    <x:row r="408">
      <x:c r="A408" s="18">
        <x:v>2022</x:v>
      </x:c>
      <x:c r="B408" t="s">
        <x:v>838</x:v>
      </x:c>
      <x:c r="C408" t="s">
        <x:v>839</x:v>
      </x:c>
      <x:c r="D408" t="s">
        <x:v>840</x:v>
      </x:c>
      <x:c r="E408" s="18">
        <x:v>445103</x:v>
      </x:c>
      <x:c r="F408" t="s">
        <x:v>841</x:v>
      </x:c>
      <x:c r="G408" t="s">
        <x:v>842</x:v>
      </x:c>
      <x:c r="H408" s="18">
        <x:v>4412</x:v>
      </x:c>
      <x:c r="I408" t="s">
        <x:v>108</x:v>
      </x:c>
      <x:c r="J408" t="s">
        <x:v>78</x:v>
      </x:c>
      <x:c r="K408" t="s">
        <x:v>80</x:v>
      </x:c>
      <x:c r="L408" s="18">
        <x:v>12</x:v>
      </x:c>
      <x:c r="M408" t="s">
        <x:v>78</x:v>
      </x:c>
      <x:c r="N408" s="18">
        <x:v>118</x:v>
      </x:c>
      <x:c r="O408" t="s">
        <x:v>88</x:v>
      </x:c>
      <x:c r="P408" s="18">
        <x:v>15</x:v>
      </x:c>
      <x:c r="Q408" s="19" t="s">
        <x:v>96</x:v>
      </x:c>
      <x:c r="R408" s="18">
        <x:v>1265.9000000000001</x:v>
      </x:c>
      <x:c r="S408" t="s">
        <x:v>76</x:v>
      </x:c>
      <x:c r="T408" s="19">
        <x:f t="shared" si="394"/>
        <x:v>1265.9000000000001</x:v>
      </x:c>
      <x:c r="U408" s="19">
        <x:v>12.72</x:v>
      </x:c>
      <x:c r="V408" t="s">
        <x:v>77</x:v>
      </x:c>
      <x:c r="W408" s="20">
        <x:v>0</x:v>
      </x:c>
      <x:c r="X408" s="21">
        <x:f t="shared" si="396"/>
        <x:v>0.32204495999999999</x:v>
      </x:c>
      <x:c r="Y408" s="21">
        <x:f t="shared" si="397"/>
        <x:v>51.901899999999991</x:v>
      </x:c>
      <x:c r="Z408" s="21">
        <x:f t="shared" si="398"/>
        <x:v>16.456700000000001</x:v>
      </x:c>
      <x:c r="AA408" s="21">
        <x:f t="shared" si="399"/>
        <x:v>0.37977000000000005</x:v>
      </x:c>
      <x:c r="AB408" s="21">
        <x:f t="shared" si="400"/>
        <x:v>0.37977000000000005</x:v>
      </x:c>
      <x:c r="AC408" s="21"/>
      <x:c r="AD408" s="21"/>
      <x:c r="AE408" s="21">
        <x:f t="shared" si="401"/>
        <x:v>0.25318000000000002</x:v>
      </x:c>
      <x:c r="AF408" s="21"/>
      <x:c r="AG408" s="19" t="s">
        <x:v>78</x:v>
      </x:c>
      <x:c r="AH408" s="18">
        <x:v>0</x:v>
      </x:c>
      <x:c r="AI408" t="s">
        <x:v>78</x:v>
      </x:c>
      <x:c r="AJ408" s="19"/>
      <x:c r="AK408" s="20">
        <x:v>0</x:v>
      </x:c>
      <x:c r="AL408" t="s">
        <x:v>78</x:v>
      </x:c>
      <x:c r="AM408" s="20">
        <x:v>0</x:v>
      </x:c>
      <x:c r="AN408" s="21"/>
      <x:c r="AO408" s="21"/>
      <x:c r="AP408" s="21"/>
      <x:c r="AQ408" s="21"/>
      <x:c r="AR408" s="21"/>
      <x:c r="AS408" s="21"/>
      <x:c r="AT408" s="21"/>
      <x:c r="AU408" s="21"/>
      <x:c r="AV408" s="21"/>
      <x:c r="AW408" s="18">
        <x:v>0</x:v>
      </x:c>
      <x:c r="AX408" s="19"/>
      <x:c r="AY408" s="21"/>
      <x:c r="AZ408" s="21"/>
      <x:c r="BA408" s="21"/>
      <x:c r="BB408" s="21"/>
      <x:c r="BC408" s="21"/>
      <x:c r="BD408" s="21"/>
      <x:c r="BE408" s="21"/>
      <x:c r="BF408" s="21"/>
      <x:c r="BG408" s="21"/>
      <x:c r="BH408" t="s">
        <x:v>79</x:v>
      </x:c>
      <x:c r="BI408" s="18">
        <x:v>116</x:v>
      </x:c>
      <x:c r="BJ408" s="18">
        <x:v>35</x:v>
      </x:c>
      <x:c r="BK408" s="18">
        <x:v>57.26</x:v>
      </x:c>
      <x:c r="BL408" s="18">
        <x:v>23</x:v>
      </x:c>
      <x:c r="BM408" s="18">
        <x:v>28</x:v>
      </x:c>
      <x:c r="BN408" s="18">
        <x:v>39.47</x:v>
      </x:c>
      <x:c r="BO408" s="22">
        <x:v>116.599238888889</x:v>
      </x:c>
      <x:c r="BP408" s="22">
        <x:v>23.477630555555599</x:v>
      </x:c>
      <x:c r="BQ408" s="18">
        <x:v>40</x:v>
      </x:c>
      <x:c r="BR408" s="18">
        <x:v>45334</x:v>
      </x:c>
      <x:c r="BS408" t="s">
        <x:v>78</x:v>
      </x:c>
      <x:c r="BT408" t="s">
        <x:v>78</x:v>
      </x:c>
      <x:c r="BU408" s="18">
        <x:v>16.077999999999999</x:v>
      </x:c>
      <x:c r="BV408" s="18">
        <x:v>16.077999999999999</x:v>
      </x:c>
      <x:c r="BW408" t="s">
        <x:v>78</x:v>
      </x:c>
      <x:c r="BX408" t="s">
        <x:v>78</x:v>
      </x:c>
      <x:c r="BY408" t="s">
        <x:v>78</x:v>
      </x:c>
      <x:c r="BZ408" t="s">
        <x:v>78</x:v>
      </x:c>
      <x:c r="CA408" s="23">
        <x:f t="shared" si="380"/>
        <x:v>0.32204495999999999</x:v>
      </x:c>
      <x:c r="CB408" s="23">
        <x:f t="shared" si="381"/>
        <x:v>51.901899999999991</x:v>
      </x:c>
      <x:c r="CC408" s="23">
        <x:f t="shared" si="382"/>
        <x:v>16.456700000000001</x:v>
      </x:c>
      <x:c r="CD408" s="23">
        <x:f t="shared" si="383"/>
        <x:v>0.37977000000000005</x:v>
      </x:c>
      <x:c r="CE408" s="23">
        <x:f t="shared" si="384"/>
        <x:v>0.37977000000000005</x:v>
      </x:c>
      <x:c r="CF408" s="23">
        <x:f t="shared" si="385"/>
        <x:v>0</x:v>
      </x:c>
      <x:c r="CG408" s="23">
        <x:f t="shared" si="386"/>
        <x:v>0</x:v>
      </x:c>
      <x:c r="CH408" s="23">
        <x:f t="shared" si="387"/>
        <x:v>0.25318000000000002</x:v>
      </x:c>
      <x:c r="CI408" s="23">
        <x:f t="shared" si="388"/>
        <x:v>0</x:v>
      </x:c>
      <x:c r="CJ408" s="24" t="s">
        <x:v>78</x:v>
      </x:c>
      <x:c r="CK408" s="25">
        <x:v>0</x:v>
      </x:c>
      <x:c r="CL408" s="26" t="s">
        <x:v>78</x:v>
      </x:c>
      <x:c r="CM408" s="26">
        <x:v>42</x:v>
      </x:c>
      <x:c r="CN408" s="27" t="s">
        <x:v>78</x:v>
      </x:c>
      <x:c r="CO408" s="27">
        <x:v>0</x:v>
      </x:c>
      <x:c r="CP408" s="27">
        <x:v>0</x:v>
      </x:c>
      <x:c r="CQ408" s="26">
        <x:f t="shared" si="389"/>
        <x:v>0.32204495999999999</x:v>
      </x:c>
      <x:c r="CR408" s="26">
        <x:f t="shared" si="390"/>
        <x:v>30.103102</x:v>
      </x:c>
      <x:c r="CS408" s="26">
        <x:f t="shared" si="391"/>
        <x:v>16.456700000000001</x:v>
      </x:c>
      <x:c r="CT408" s="26">
        <x:f t="shared" si="350"/>
        <x:v>0.37977000000000005</x:v>
      </x:c>
      <x:c r="CU408" s="26">
        <x:f t="shared" si="351"/>
        <x:v>0.37977000000000005</x:v>
      </x:c>
      <x:c r="CV408" s="26">
        <x:f t="shared" si="352"/>
        <x:v>0</x:v>
      </x:c>
      <x:c r="CW408" s="26">
        <x:f t="shared" si="353"/>
        <x:v>0</x:v>
      </x:c>
      <x:c r="CX408" s="26">
        <x:f t="shared" si="392"/>
        <x:v>0.25318000000000002</x:v>
      </x:c>
      <x:c r="CY408" s="26">
        <x:f t="shared" si="393"/>
        <x:v>0</x:v>
      </x:c>
    </x:row>
    <x:row r="409">
      <x:c r="A409" s="18">
        <x:v>2022</x:v>
      </x:c>
      <x:c r="B409" t="s">
        <x:v>843</x:v>
      </x:c>
      <x:c r="C409" t="s">
        <x:v>844</x:v>
      </x:c>
      <x:c r="D409" t="s">
        <x:v>845</x:v>
      </x:c>
      <x:c r="E409" s="18">
        <x:v>445122</x:v>
      </x:c>
      <x:c r="F409" t="s">
        <x:v>846</x:v>
      </x:c>
      <x:c r="G409" t="s">
        <x:v>842</x:v>
      </x:c>
      <x:c r="H409" s="18">
        <x:v>4411</x:v>
      </x:c>
      <x:c r="I409" t="s">
        <x:v>102</x:v>
      </x:c>
      <x:c r="J409" t="s">
        <x:v>78</x:v>
      </x:c>
      <x:c r="K409" t="s">
        <x:v>109</x:v>
      </x:c>
      <x:c r="L409" s="20">
        <x:v>63</x:v>
      </x:c>
      <x:c r="M409" t="s">
        <x:v>110</x:v>
      </x:c>
      <x:c r="N409" s="18">
        <x:v>1990</x:v>
      </x:c>
      <x:c r="O409" t="s">
        <x:v>88</x:v>
      </x:c>
      <x:c r="P409" s="18">
        <x:v>5</x:v>
      </x:c>
      <x:c r="Q409" s="19" t="s">
        <x:v>238</x:v>
      </x:c>
      <x:c r="R409" s="18">
        <x:v>1905875</x:v>
      </x:c>
      <x:c r="S409" t="s">
        <x:v>112</x:v>
      </x:c>
      <x:c r="T409" s="19" t="n">
        <x:f t="shared" ref="T409:T417" si="402">R409</x:f>
        <x:v>1905875</x:v>
      </x:c>
      <x:c r="U409" s="20">
        <x:v>0.41</x:v>
      </x:c>
      <x:c r="V409" t="s">
        <x:v>113</x:v>
      </x:c>
      <x:c r="W409" s="20">
        <x:v>10.66</x:v>
      </x:c>
      <x:c r="X409" s="21" t="n">
        <x:f t="shared" ref="X409:X416" si="403">2*U409/100*(1-0.15)*T409</x:f>
        <x:v>13283.948749999998</x:v>
      </x:c>
      <x:c r="Y409" s="21" t="n">
        <x:f t="shared" ref="Y409:Y416" si="404">7.21*T409/1000</x:f>
        <x:v>13741.35875</x:v>
      </x:c>
      <x:c r="Z409" s="21" t="n">
        <x:f t="shared" ref="Z409:Z416" si="405">2*T409/1000</x:f>
        <x:v>3811.75</x:v>
      </x:c>
      <x:c r="AA409" s="21" t="n">
        <x:f t="shared" ref="AA409:AA416" si="406">W409/100*(1-0.25)*0.23*T409</x:f>
        <x:v>35046.1824375</x:v>
      </x:c>
      <x:c r="AB409" s="21" t="n">
        <x:f t="shared" ref="AB409:AB416" si="407">W409/100*(1-0.25)*0.06*T409</x:f>
        <x:v>9142.482374999998</x:v>
      </x:c>
      <x:c r="AC409" s="21" t="n">
        <x:f t="shared" ref="AC409:AC416" si="408">0.002*AB409</x:f>
        <x:v>18.284964749999997</x:v>
      </x:c>
      <x:c r="AD409" s="21"/>
      <x:c r="AE409" s="21" t="n">
        <x:f t="shared" ref="AE409:AE416" si="409">0.04*T409/1000</x:f>
        <x:v>76.235</x:v>
      </x:c>
      <x:c r="AF409" s="21"/>
      <x:c r="AG409" s="19" t="s">
        <x:v>78</x:v>
      </x:c>
      <x:c r="AH409" t="s">
        <x:v>78</x:v>
      </x:c>
      <x:c r="AI409" t="s">
        <x:v>78</x:v>
      </x:c>
      <x:c r="AJ409" s="19"/>
      <x:c r="AK409" s="19" t="s">
        <x:v>78</x:v>
      </x:c>
      <x:c r="AL409" t="s">
        <x:v>78</x:v>
      </x:c>
      <x:c r="AM409" s="19" t="s">
        <x:v>78</x:v>
      </x:c>
      <x:c r="AN409" s="21"/>
      <x:c r="AO409" s="21"/>
      <x:c r="AP409" s="21"/>
      <x:c r="AQ409" s="21"/>
      <x:c r="AR409" s="21"/>
      <x:c r="AS409" s="21"/>
      <x:c r="AT409" s="21"/>
      <x:c r="AU409" s="21"/>
      <x:c r="AV409" s="21"/>
      <x:c r="AW409" t="s">
        <x:v>78</x:v>
      </x:c>
      <x:c r="AX409" s="19"/>
      <x:c r="AY409" s="21"/>
      <x:c r="AZ409" s="21"/>
      <x:c r="BA409" s="21"/>
      <x:c r="BB409" s="21"/>
      <x:c r="BC409" s="21"/>
      <x:c r="BD409" s="21"/>
      <x:c r="BE409" s="21"/>
      <x:c r="BF409" s="21"/>
      <x:c r="BG409" s="21"/>
      <x:c r="BH409" t="s">
        <x:v>81</x:v>
      </x:c>
      <x:c r="BI409" s="18">
        <x:v>117</x:v>
      </x:c>
      <x:c r="BJ409" s="18">
        <x:v>5</x:v>
      </x:c>
      <x:c r="BK409" s="18">
        <x:v>50.4</x:v>
      </x:c>
      <x:c r="BL409" s="18">
        <x:v>23</x:v>
      </x:c>
      <x:c r="BM409" s="18">
        <x:v>34</x:v>
      </x:c>
      <x:c r="BN409" s="18">
        <x:v>1.86</x:v>
      </x:c>
      <x:c r="BO409" s="22">
        <x:v>117.097333333333</x:v>
      </x:c>
      <x:c r="BP409" s="22">
        <x:v>23.567183333333301</x:v>
      </x:c>
      <x:c r="BQ409" s="18">
        <x:v>210</x:v>
      </x:c>
      <x:c r="BR409" s="18">
        <x:v>1650353.57</x:v>
      </x:c>
      <x:c r="BS409" s="18">
        <x:v>14462.008</x:v>
      </x:c>
      <x:c r="BT409" s="18">
        <x:v>316.09399999999999</x:v>
      </x:c>
      <x:c r="BU409" s="18">
        <x:v>3455.87</x:v>
      </x:c>
      <x:c r="BV409" s="18">
        <x:v>517.88800000000003</x:v>
      </x:c>
      <x:c r="BW409" s="18">
        <x:v>240.042</x:v>
      </x:c>
      <x:c r="BX409" s="18">
        <x:v>59.518999999999998</x:v>
      </x:c>
      <x:c r="BY409" s="18">
        <x:v>11263.721</x:v>
      </x:c>
      <x:c r="BZ409" s="18">
        <x:v>11263.721</x:v>
      </x:c>
      <x:c r="CA409" s="23">
        <x:f t="shared" si="380"/>
        <x:v>13283.948749999998</x:v>
      </x:c>
      <x:c r="CB409" s="23">
        <x:f t="shared" si="381"/>
        <x:v>13741.358749999999</x:v>
      </x:c>
      <x:c r="CC409" s="23">
        <x:f t="shared" si="382"/>
        <x:v>3811.75</x:v>
      </x:c>
      <x:c r="CD409" s="23">
        <x:f t="shared" si="383"/>
        <x:v>35046.1824375</x:v>
      </x:c>
      <x:c r="CE409" s="23">
        <x:f t="shared" si="384"/>
        <x:v>9142.4823749999978</x:v>
      </x:c>
      <x:c r="CF409" s="23">
        <x:f t="shared" si="385"/>
        <x:v>18.284964749999997</x:v>
      </x:c>
      <x:c r="CG409" s="23">
        <x:f t="shared" si="386"/>
        <x:v>0</x:v>
      </x:c>
      <x:c r="CH409" s="23">
        <x:f t="shared" si="387"/>
        <x:v>76.234999999999999</x:v>
      </x:c>
      <x:c r="CI409" s="23">
        <x:f t="shared" si="388"/>
        <x:v>0</x:v>
      </x:c>
      <x:c r="CJ409" s="24" t="s">
        <x:v>180</x:v>
      </x:c>
      <x:c r="CK409" s="29">
        <x:v>97.89</x:v>
      </x:c>
      <x:c r="CL409" s="26"/>
      <x:c r="CM409" s="26" t="n">
        <x:f>(1-BV409/BU409)*100</x:f>
        <x:v>85.01425111476995</x:v>
      </x:c>
      <x:c r="CN409" s="27" t="s">
        <x:v>78</x:v>
      </x:c>
      <x:c r="CO409" s="27">
        <x:v>99.4</x:v>
      </x:c>
      <x:c r="CP409" s="27">
        <x:v>98.3</x:v>
      </x:c>
      <x:c r="CQ409" s="26">
        <x:f t="shared" si="389"/>
        <x:v>280.29131862500003</x:v>
      </x:c>
      <x:c r="CR409" s="26">
        <x:f t="shared" si="390"/>
        <x:v>2059.2455156935875</x:v>
      </x:c>
      <x:c r="CS409" s="26">
        <x:f t="shared" si="391"/>
        <x:v>3811.75</x:v>
      </x:c>
      <x:c r="CT409" s="26">
        <x:f t="shared" si="350"/>
        <x:v>210.27709462499629</x:v>
      </x:c>
      <x:c r="CU409" s="26">
        <x:f t="shared" si="351"/>
        <x:v>155.4222003750001</x:v>
      </x:c>
      <x:c r="CV409" s="26">
        <x:f t="shared" si="352"/>
        <x:v>0.31084440075000019</x:v>
      </x:c>
      <x:c r="CW409" s="26">
        <x:f t="shared" si="353"/>
        <x:v>0</x:v>
      </x:c>
      <x:c r="CX409" s="26">
        <x:f t="shared" si="392"/>
        <x:v>76.234999999999999</x:v>
      </x:c>
      <x:c r="CY409" s="26">
        <x:f t="shared" si="393"/>
        <x:v>0</x:v>
      </x:c>
    </x:row>
    <x:row r="410">
      <x:c r="A410" s="18">
        <x:v>2022</x:v>
      </x:c>
      <x:c r="B410" t="s">
        <x:v>843</x:v>
      </x:c>
      <x:c r="C410" t="s">
        <x:v>844</x:v>
      </x:c>
      <x:c r="D410" t="s">
        <x:v>845</x:v>
      </x:c>
      <x:c r="E410" s="18">
        <x:v>445122</x:v>
      </x:c>
      <x:c r="F410" t="s">
        <x:v>846</x:v>
      </x:c>
      <x:c r="G410" t="s">
        <x:v>842</x:v>
      </x:c>
      <x:c r="H410" s="18">
        <x:v>4411</x:v>
      </x:c>
      <x:c r="I410" t="s">
        <x:v>102</x:v>
      </x:c>
      <x:c r="J410" t="s">
        <x:v>78</x:v>
      </x:c>
      <x:c r="K410" t="s">
        <x:v>109</x:v>
      </x:c>
      <x:c r="L410" s="20">
        <x:v>63</x:v>
      </x:c>
      <x:c r="M410" t="s">
        <x:v>110</x:v>
      </x:c>
      <x:c r="N410" s="18">
        <x:v>1990</x:v>
      </x:c>
      <x:c r="O410" t="s">
        <x:v>88</x:v>
      </x:c>
      <x:c r="P410" s="18">
        <x:v>5</x:v>
      </x:c>
      <x:c r="Q410" s="19" t="s">
        <x:v>238</x:v>
      </x:c>
      <x:c r="R410" s="18">
        <x:v>1475761</x:v>
      </x:c>
      <x:c r="S410" t="s">
        <x:v>112</x:v>
      </x:c>
      <x:c r="T410" s="19">
        <x:f t="shared" si="402"/>
        <x:v>1475761</x:v>
      </x:c>
      <x:c r="U410" s="20">
        <x:v>0.41</x:v>
      </x:c>
      <x:c r="V410" t="s">
        <x:v>113</x:v>
      </x:c>
      <x:c r="W410" s="20">
        <x:v>10.66</x:v>
      </x:c>
      <x:c r="X410" s="21">
        <x:f t="shared" si="403"/>
        <x:v>10286.054169999998</x:v>
      </x:c>
      <x:c r="Y410" s="21">
        <x:f t="shared" si="404"/>
        <x:v>10640.23681</x:v>
      </x:c>
      <x:c r="Z410" s="21">
        <x:f t="shared" si="405"/>
        <x:v>2951.5219999999999</x:v>
      </x:c>
      <x:c r="AA410" s="21">
        <x:f t="shared" si="406"/>
        <x:v>27137.031148499998</x:v>
      </x:c>
      <x:c r="AB410" s="21">
        <x:f t="shared" si="407"/>
        <x:v>7079.2255169999989</x:v>
      </x:c>
      <x:c r="AC410" s="21">
        <x:f t="shared" si="408"/>
        <x:v>14.158451033999999</x:v>
      </x:c>
      <x:c r="AD410" s="21"/>
      <x:c r="AE410" s="21">
        <x:f t="shared" si="409"/>
        <x:v>59.030440000000006</x:v>
      </x:c>
      <x:c r="AF410" s="21"/>
      <x:c r="AG410" s="19" t="s">
        <x:v>78</x:v>
      </x:c>
      <x:c r="AH410" t="s">
        <x:v>78</x:v>
      </x:c>
      <x:c r="AI410" t="s">
        <x:v>78</x:v>
      </x:c>
      <x:c r="AJ410" s="19"/>
      <x:c r="AK410" s="19" t="s">
        <x:v>78</x:v>
      </x:c>
      <x:c r="AL410" t="s">
        <x:v>78</x:v>
      </x:c>
      <x:c r="AM410" s="19" t="s">
        <x:v>78</x:v>
      </x:c>
      <x:c r="AN410" s="21"/>
      <x:c r="AO410" s="21"/>
      <x:c r="AP410" s="21"/>
      <x:c r="AQ410" s="21"/>
      <x:c r="AR410" s="21"/>
      <x:c r="AS410" s="21"/>
      <x:c r="AT410" s="21"/>
      <x:c r="AU410" s="21"/>
      <x:c r="AV410" s="21"/>
      <x:c r="AW410" t="s">
        <x:v>78</x:v>
      </x:c>
      <x:c r="AX410" s="19"/>
      <x:c r="AY410" s="21"/>
      <x:c r="AZ410" s="21"/>
      <x:c r="BA410" s="21"/>
      <x:c r="BB410" s="21"/>
      <x:c r="BC410" s="21"/>
      <x:c r="BD410" s="21"/>
      <x:c r="BE410" s="21"/>
      <x:c r="BF410" s="21"/>
      <x:c r="BG410" s="21"/>
      <x:c r="BH410" t="s">
        <x:v>79</x:v>
      </x:c>
      <x:c r="BI410" s="18">
        <x:v>117</x:v>
      </x:c>
      <x:c r="BJ410" s="18">
        <x:v>5</x:v>
      </x:c>
      <x:c r="BK410" s="18">
        <x:v>50.4</x:v>
      </x:c>
      <x:c r="BL410" s="18">
        <x:v>23</x:v>
      </x:c>
      <x:c r="BM410" s="18">
        <x:v>34</x:v>
      </x:c>
      <x:c r="BN410" s="18">
        <x:v>1.86</x:v>
      </x:c>
      <x:c r="BO410" s="22">
        <x:v>117.097333333333</x:v>
      </x:c>
      <x:c r="BP410" s="22">
        <x:v>23.567183333333301</x:v>
      </x:c>
      <x:c r="BQ410" s="18">
        <x:v>210</x:v>
      </x:c>
      <x:c r="BR410" s="18">
        <x:v>1267844.915</x:v>
      </x:c>
      <x:c r="BS410" s="18">
        <x:v>10977.302</x:v>
      </x:c>
      <x:c r="BT410" s="18">
        <x:v>242.93799999999999</x:v>
      </x:c>
      <x:c r="BU410" s="18">
        <x:v>2837.6289999999999</x:v>
      </x:c>
      <x:c r="BV410" s="18">
        <x:v>427.88099999999997</x:v>
      </x:c>
      <x:c r="BW410" s="18">
        <x:v>280.42099999999999</x:v>
      </x:c>
      <x:c r="BX410" s="18">
        <x:v>53.552</x:v>
      </x:c>
      <x:c r="BY410" s="18">
        <x:v>8721.7479999999996</x:v>
      </x:c>
      <x:c r="BZ410" s="18">
        <x:v>8721.7479999999996</x:v>
      </x:c>
      <x:c r="CA410" s="23">
        <x:f t="shared" si="380"/>
        <x:v>10286.054169999998</x:v>
      </x:c>
      <x:c r="CB410" s="23">
        <x:f t="shared" si="381"/>
        <x:v>10640.23681</x:v>
      </x:c>
      <x:c r="CC410" s="23">
        <x:f t="shared" si="382"/>
        <x:v>2951.5219999999999</x:v>
      </x:c>
      <x:c r="CD410" s="23">
        <x:f t="shared" si="383"/>
        <x:v>27137.031148499998</x:v>
      </x:c>
      <x:c r="CE410" s="23">
        <x:f t="shared" si="384"/>
        <x:v>7079.2255169999989</x:v>
      </x:c>
      <x:c r="CF410" s="23">
        <x:f t="shared" si="385"/>
        <x:v>14.158451033999999</x:v>
      </x:c>
      <x:c r="CG410" s="23">
        <x:f t="shared" si="386"/>
        <x:v>0</x:v>
      </x:c>
      <x:c r="CH410" s="23">
        <x:f t="shared" si="387"/>
        <x:v>59.030440000000006</x:v>
      </x:c>
      <x:c r="CI410" s="23">
        <x:f t="shared" si="388"/>
        <x:v>0</x:v>
      </x:c>
      <x:c r="CJ410" s="24" t="s">
        <x:v>180</x:v>
      </x:c>
      <x:c r="CK410" s="29">
        <x:v>97.89</x:v>
      </x:c>
      <x:c r="CL410" s="26"/>
      <x:c r="CM410" s="26" t="n">
        <x:f>(1-BV410/BU410)*100</x:f>
        <x:v>84.92117891380445</x:v>
      </x:c>
      <x:c r="CN410" s="27" t="s">
        <x:v>78</x:v>
      </x:c>
      <x:c r="CO410" s="27">
        <x:v>99.4</x:v>
      </x:c>
      <x:c r="CP410" s="27">
        <x:v>98.3</x:v>
      </x:c>
      <x:c r="CQ410" s="26">
        <x:f t="shared" si="389"/>
        <x:v>217.03574298700002</x:v>
      </x:c>
      <x:c r="CR410" s="26">
        <x:f t="shared" si="390"/>
        <x:v>1604.4222717274206</x:v>
      </x:c>
      <x:c r="CS410" s="26">
        <x:f t="shared" si="391"/>
        <x:v>2951.5219999999999</x:v>
      </x:c>
      <x:c r="CT410" s="26">
        <x:f t="shared" si="350"/>
        <x:v>162.82218689099713</x:v>
      </x:c>
      <x:c r="CU410" s="26">
        <x:f t="shared" si="351"/>
        <x:v>120.34683378900009</x:v>
      </x:c>
      <x:c r="CV410" s="26">
        <x:f t="shared" si="352"/>
        <x:v>0.2406936675780002</x:v>
      </x:c>
      <x:c r="CW410" s="26">
        <x:f t="shared" si="353"/>
        <x:v>0</x:v>
      </x:c>
      <x:c r="CX410" s="26">
        <x:f t="shared" si="392"/>
        <x:v>59.030440000000006</x:v>
      </x:c>
      <x:c r="CY410" s="26">
        <x:f t="shared" si="393"/>
        <x:v>0</x:v>
      </x:c>
    </x:row>
    <x:row r="411">
      <x:c r="A411" s="18">
        <x:v>2022</x:v>
      </x:c>
      <x:c r="B411" t="s">
        <x:v>843</x:v>
      </x:c>
      <x:c r="C411" t="s">
        <x:v>844</x:v>
      </x:c>
      <x:c r="D411" t="s">
        <x:v>845</x:v>
      </x:c>
      <x:c r="E411" s="18">
        <x:v>445122</x:v>
      </x:c>
      <x:c r="F411" t="s">
        <x:v>846</x:v>
      </x:c>
      <x:c r="G411" t="s">
        <x:v>842</x:v>
      </x:c>
      <x:c r="H411" s="18">
        <x:v>4411</x:v>
      </x:c>
      <x:c r="I411" t="s">
        <x:v>102</x:v>
      </x:c>
      <x:c r="J411" t="s">
        <x:v>78</x:v>
      </x:c>
      <x:c r="K411" t="s">
        <x:v>109</x:v>
      </x:c>
      <x:c r="L411" s="20">
        <x:v>100</x:v>
      </x:c>
      <x:c r="M411" t="s">
        <x:v>110</x:v>
      </x:c>
      <x:c r="N411" s="18">
        <x:v>3110</x:v>
      </x:c>
      <x:c r="O411" t="s">
        <x:v>88</x:v>
      </x:c>
      <x:c r="P411" s="18">
        <x:v>5</x:v>
      </x:c>
      <x:c r="Q411" s="19" t="s">
        <x:v>238</x:v>
      </x:c>
      <x:c r="R411" s="18">
        <x:v>2179538</x:v>
      </x:c>
      <x:c r="S411" t="s">
        <x:v>112</x:v>
      </x:c>
      <x:c r="T411" s="19">
        <x:f t="shared" si="402"/>
        <x:v>2179538</x:v>
      </x:c>
      <x:c r="U411" s="20">
        <x:v>0.41</x:v>
      </x:c>
      <x:c r="V411" t="s">
        <x:v>113</x:v>
      </x:c>
      <x:c r="W411" s="20">
        <x:v>10.66</x:v>
      </x:c>
      <x:c r="X411" s="21">
        <x:f t="shared" si="403"/>
        <x:v>15191.379859999997</x:v>
      </x:c>
      <x:c r="Y411" s="21">
        <x:f t="shared" si="404"/>
        <x:v>15714.46898</x:v>
      </x:c>
      <x:c r="Z411" s="21">
        <x:f t="shared" si="405"/>
        <x:v>4359.076</x:v>
      </x:c>
      <x:c r="AA411" s="21">
        <x:f t="shared" si="406"/>
        <x:v>40078.434513</x:v>
      </x:c>
      <x:c r="AB411" s="21">
        <x:f t="shared" si="407"/>
        <x:v>10455.243785999999</x:v>
      </x:c>
      <x:c r="AC411" s="21">
        <x:f t="shared" si="408"/>
        <x:v>20.910487571999997</x:v>
      </x:c>
      <x:c r="AD411" s="21"/>
      <x:c r="AE411" s="21">
        <x:f t="shared" si="409"/>
        <x:v>87.181520000000006</x:v>
      </x:c>
      <x:c r="AF411" s="21"/>
      <x:c r="AG411" s="19" t="s">
        <x:v>78</x:v>
      </x:c>
      <x:c r="AH411" t="s">
        <x:v>78</x:v>
      </x:c>
      <x:c r="AI411" t="s">
        <x:v>78</x:v>
      </x:c>
      <x:c r="AJ411" s="19"/>
      <x:c r="AK411" s="19" t="s">
        <x:v>78</x:v>
      </x:c>
      <x:c r="AL411" t="s">
        <x:v>78</x:v>
      </x:c>
      <x:c r="AM411" s="19" t="s">
        <x:v>78</x:v>
      </x:c>
      <x:c r="AN411" s="21"/>
      <x:c r="AO411" s="21"/>
      <x:c r="AP411" s="21"/>
      <x:c r="AQ411" s="21"/>
      <x:c r="AR411" s="21"/>
      <x:c r="AS411" s="21"/>
      <x:c r="AT411" s="21"/>
      <x:c r="AU411" s="21"/>
      <x:c r="AV411" s="21"/>
      <x:c r="AW411" t="s">
        <x:v>78</x:v>
      </x:c>
      <x:c r="AX411" s="19"/>
      <x:c r="AY411" s="21"/>
      <x:c r="AZ411" s="21"/>
      <x:c r="BA411" s="21"/>
      <x:c r="BB411" s="21"/>
      <x:c r="BC411" s="21"/>
      <x:c r="BD411" s="21"/>
      <x:c r="BE411" s="21"/>
      <x:c r="BF411" s="21"/>
      <x:c r="BG411" s="21"/>
      <x:c r="BH411" t="s">
        <x:v>82</x:v>
      </x:c>
      <x:c r="BI411" s="18">
        <x:v>117</x:v>
      </x:c>
      <x:c r="BJ411" s="18">
        <x:v>5</x:v>
      </x:c>
      <x:c r="BK411" s="18">
        <x:v>44</x:v>
      </x:c>
      <x:c r="BL411" s="18">
        <x:v>23</x:v>
      </x:c>
      <x:c r="BM411" s="18">
        <x:v>33</x:v>
      </x:c>
      <x:c r="BN411" s="18">
        <x:v>58.6</x:v>
      </x:c>
      <x:c r="BO411" s="22">
        <x:v>117.095555555556</x:v>
      </x:c>
      <x:c r="BP411" s="22">
        <x:v>23.566277777777799</x:v>
      </x:c>
      <x:c r="BQ411" s="18">
        <x:v>240</x:v>
      </x:c>
      <x:c r="BR411" s="18">
        <x:v>1918618.37</x:v>
      </x:c>
      <x:c r="BS411" s="18">
        <x:v>17193.012999999999</x:v>
      </x:c>
      <x:c r="BT411" s="18">
        <x:v>370.23099999999999</x:v>
      </x:c>
      <x:c r="BU411" s="18">
        <x:v>4285.7960000000003</x:v>
      </x:c>
      <x:c r="BV411" s="18">
        <x:v>654.50400000000002</x:v>
      </x:c>
      <x:c r="BW411" s="18">
        <x:v>375.30099999999999</x:v>
      </x:c>
      <x:c r="BX411" s="18">
        <x:v>69.513000000000005</x:v>
      </x:c>
      <x:c r="BY411" s="18">
        <x:v>12881.07</x:v>
      </x:c>
      <x:c r="BZ411" s="18">
        <x:v>12881.07</x:v>
      </x:c>
      <x:c r="CA411" s="23">
        <x:f t="shared" si="380"/>
        <x:v>15191.379859999997</x:v>
      </x:c>
      <x:c r="CB411" s="23">
        <x:f t="shared" si="381"/>
        <x:v>15714.46898</x:v>
      </x:c>
      <x:c r="CC411" s="23">
        <x:f t="shared" si="382"/>
        <x:v>4359.076</x:v>
      </x:c>
      <x:c r="CD411" s="23">
        <x:f t="shared" si="383"/>
        <x:v>40078.434513</x:v>
      </x:c>
      <x:c r="CE411" s="23">
        <x:f t="shared" si="384"/>
        <x:v>10455.243785999999</x:v>
      </x:c>
      <x:c r="CF411" s="23">
        <x:f t="shared" si="385"/>
        <x:v>20.910487571999997</x:v>
      </x:c>
      <x:c r="CG411" s="23">
        <x:f t="shared" si="386"/>
        <x:v>0</x:v>
      </x:c>
      <x:c r="CH411" s="23">
        <x:f t="shared" si="387"/>
        <x:v>87.181520000000006</x:v>
      </x:c>
      <x:c r="CI411" s="23">
        <x:f t="shared" si="388"/>
        <x:v>0</x:v>
      </x:c>
      <x:c r="CJ411" s="24" t="s">
        <x:v>180</x:v>
      </x:c>
      <x:c r="CK411" s="29">
        <x:v>97.89</x:v>
      </x:c>
      <x:c r="CL411" s="26"/>
      <x:c r="CM411" s="26" t="n">
        <x:f>(1-BV411/BU411)*100</x:f>
        <x:v>84.72853117600559</x:v>
      </x:c>
      <x:c r="CN411" s="27" t="s">
        <x:v>78</x:v>
      </x:c>
      <x:c r="CO411" s="27">
        <x:v>99.4</x:v>
      </x:c>
      <x:c r="CP411" s="27">
        <x:v>98.3</x:v>
      </x:c>
      <x:c r="CQ411" s="26">
        <x:f t="shared" si="389"/>
        <x:v>320.53811504600009</x:v>
      </x:c>
      <x:c r="CR411" s="26">
        <x:f t="shared" si="390"/>
        <x:v>2399.8302311369735</x:v>
      </x:c>
      <x:c r="CS411" s="26">
        <x:f t="shared" si="391"/>
        <x:v>4359.076</x:v>
      </x:c>
      <x:c r="CT411" s="26">
        <x:f t="shared" si="350"/>
        <x:v>240.47060707799577</x:v>
      </x:c>
      <x:c r="CU411" s="26">
        <x:f t="shared" si="351"/>
        <x:v>177.73914436200013</x:v>
      </x:c>
      <x:c r="CV411" s="26">
        <x:f t="shared" si="352"/>
        <x:v>0.35547828872400028</x:v>
      </x:c>
      <x:c r="CW411" s="26">
        <x:f t="shared" si="353"/>
        <x:v>0</x:v>
      </x:c>
      <x:c r="CX411" s="26">
        <x:f t="shared" si="392"/>
        <x:v>87.181520000000006</x:v>
      </x:c>
      <x:c r="CY411" s="26">
        <x:f t="shared" si="393"/>
        <x:v>0</x:v>
      </x:c>
    </x:row>
    <x:row r="412">
      <x:c r="A412" s="18">
        <x:v>2022</x:v>
      </x:c>
      <x:c r="B412" t="s">
        <x:v>843</x:v>
      </x:c>
      <x:c r="C412" t="s">
        <x:v>844</x:v>
      </x:c>
      <x:c r="D412" t="s">
        <x:v>845</x:v>
      </x:c>
      <x:c r="E412" s="18">
        <x:v>445122</x:v>
      </x:c>
      <x:c r="F412" t="s">
        <x:v>846</x:v>
      </x:c>
      <x:c r="G412" t="s">
        <x:v>842</x:v>
      </x:c>
      <x:c r="H412" s="18">
        <x:v>4411</x:v>
      </x:c>
      <x:c r="I412" t="s">
        <x:v>102</x:v>
      </x:c>
      <x:c r="J412" t="s">
        <x:v>78</x:v>
      </x:c>
      <x:c r="K412" t="s">
        <x:v>109</x:v>
      </x:c>
      <x:c r="L412" s="20">
        <x:v>100</x:v>
      </x:c>
      <x:c r="M412" t="s">
        <x:v>110</x:v>
      </x:c>
      <x:c r="N412" s="18">
        <x:v>3110</x:v>
      </x:c>
      <x:c r="O412" t="s">
        <x:v>88</x:v>
      </x:c>
      <x:c r="P412" s="18">
        <x:v>5</x:v>
      </x:c>
      <x:c r="Q412" s="19" t="s">
        <x:v>238</x:v>
      </x:c>
      <x:c r="R412" s="18">
        <x:v>2241898</x:v>
      </x:c>
      <x:c r="S412" t="s">
        <x:v>112</x:v>
      </x:c>
      <x:c r="T412" s="19">
        <x:f t="shared" si="402"/>
        <x:v>2241898</x:v>
      </x:c>
      <x:c r="U412" s="20">
        <x:v>0.41</x:v>
      </x:c>
      <x:c r="V412" t="s">
        <x:v>113</x:v>
      </x:c>
      <x:c r="W412" s="20">
        <x:v>10.66</x:v>
      </x:c>
      <x:c r="X412" s="21">
        <x:f t="shared" si="403"/>
        <x:v>15626.029059999997</x:v>
      </x:c>
      <x:c r="Y412" s="21">
        <x:f t="shared" si="404"/>
        <x:v>16164.084580000001</x:v>
      </x:c>
      <x:c r="Z412" s="21">
        <x:f t="shared" si="405"/>
        <x:v>4483.7960000000003</x:v>
      </x:c>
      <x:c r="AA412" s="21">
        <x:f t="shared" si="406"/>
        <x:v>41225.141372999999</x:v>
      </x:c>
      <x:c r="AB412" s="21">
        <x:f t="shared" si="407"/>
        <x:v>10754.384705999999</x:v>
      </x:c>
      <x:c r="AC412" s="21">
        <x:f t="shared" si="408"/>
        <x:v>21.508769411999999</x:v>
      </x:c>
      <x:c r="AD412" s="21"/>
      <x:c r="AE412" s="21">
        <x:f t="shared" si="409"/>
        <x:v>89.675920000000005</x:v>
      </x:c>
      <x:c r="AF412" s="21"/>
      <x:c r="AG412" s="19" t="s">
        <x:v>78</x:v>
      </x:c>
      <x:c r="AH412" t="s">
        <x:v>78</x:v>
      </x:c>
      <x:c r="AI412" t="s">
        <x:v>78</x:v>
      </x:c>
      <x:c r="AJ412" s="19"/>
      <x:c r="AK412" s="19" t="s">
        <x:v>78</x:v>
      </x:c>
      <x:c r="AL412" t="s">
        <x:v>78</x:v>
      </x:c>
      <x:c r="AM412" s="19" t="s">
        <x:v>78</x:v>
      </x:c>
      <x:c r="AN412" s="21"/>
      <x:c r="AO412" s="21"/>
      <x:c r="AP412" s="21"/>
      <x:c r="AQ412" s="21"/>
      <x:c r="AR412" s="21"/>
      <x:c r="AS412" s="21"/>
      <x:c r="AT412" s="21"/>
      <x:c r="AU412" s="21"/>
      <x:c r="AV412" s="21"/>
      <x:c r="AW412" t="s">
        <x:v>78</x:v>
      </x:c>
      <x:c r="AX412" s="19"/>
      <x:c r="AY412" s="21"/>
      <x:c r="AZ412" s="21"/>
      <x:c r="BA412" s="21"/>
      <x:c r="BB412" s="21"/>
      <x:c r="BC412" s="21"/>
      <x:c r="BD412" s="21"/>
      <x:c r="BE412" s="21"/>
      <x:c r="BF412" s="21"/>
      <x:c r="BG412" s="21"/>
      <x:c r="BH412" t="s">
        <x:v>83</x:v>
      </x:c>
      <x:c r="BI412" s="18">
        <x:v>117</x:v>
      </x:c>
      <x:c r="BJ412" s="18">
        <x:v>5</x:v>
      </x:c>
      <x:c r="BK412" s="18">
        <x:v>44</x:v>
      </x:c>
      <x:c r="BL412" s="18">
        <x:v>23</x:v>
      </x:c>
      <x:c r="BM412" s="18">
        <x:v>33</x:v>
      </x:c>
      <x:c r="BN412" s="18">
        <x:v>58.6</x:v>
      </x:c>
      <x:c r="BO412" s="22">
        <x:v>117.095555555556</x:v>
      </x:c>
      <x:c r="BP412" s="22">
        <x:v>23.566277777777799</x:v>
      </x:c>
      <x:c r="BQ412" s="18">
        <x:v>240</x:v>
      </x:c>
      <x:c r="BR412" s="18">
        <x:v>2019532.2779999999</x:v>
      </x:c>
      <x:c r="BS412" s="18">
        <x:v>17466.804</x:v>
      </x:c>
      <x:c r="BT412" s="18">
        <x:v>351.60199999999998</x:v>
      </x:c>
      <x:c r="BU412" s="18">
        <x:v>4412.1530000000002</x:v>
      </x:c>
      <x:c r="BV412" s="18">
        <x:v>596.02300000000002</x:v>
      </x:c>
      <x:c r="BW412" s="18">
        <x:v>287.65699999999998</x:v>
      </x:c>
      <x:c r="BX412" s="18">
        <x:v>70.956999999999994</x:v>
      </x:c>
      <x:c r="BY412" s="18">
        <x:v>13249.617</x:v>
      </x:c>
      <x:c r="BZ412" s="18">
        <x:v>13249.617</x:v>
      </x:c>
      <x:c r="CA412" s="23">
        <x:f t="shared" si="380"/>
        <x:v>15626.029059999997</x:v>
      </x:c>
      <x:c r="CB412" s="23">
        <x:f t="shared" si="381"/>
        <x:v>16164.084580000001</x:v>
      </x:c>
      <x:c r="CC412" s="23">
        <x:f t="shared" si="382"/>
        <x:v>4483.7960000000003</x:v>
      </x:c>
      <x:c r="CD412" s="23">
        <x:f t="shared" si="383"/>
        <x:v>41225.141372999999</x:v>
      </x:c>
      <x:c r="CE412" s="23">
        <x:f t="shared" si="384"/>
        <x:v>10754.384705999999</x:v>
      </x:c>
      <x:c r="CF412" s="23">
        <x:f t="shared" si="385"/>
        <x:v>21.508769411999999</x:v>
      </x:c>
      <x:c r="CG412" s="23">
        <x:f t="shared" si="386"/>
        <x:v>0</x:v>
      </x:c>
      <x:c r="CH412" s="23">
        <x:f t="shared" si="387"/>
        <x:v>89.675920000000005</x:v>
      </x:c>
      <x:c r="CI412" s="23">
        <x:f t="shared" si="388"/>
        <x:v>0</x:v>
      </x:c>
      <x:c r="CJ412" s="24" t="s">
        <x:v>180</x:v>
      </x:c>
      <x:c r="CK412" s="29">
        <x:v>97.89</x:v>
      </x:c>
      <x:c r="CL412" s="26"/>
      <x:c r="CM412" s="26" t="n">
        <x:f>(1-BV412/BU412)*100</x:f>
        <x:v>86.49133427603259</x:v>
      </x:c>
      <x:c r="CN412" s="27" t="s">
        <x:v>78</x:v>
      </x:c>
      <x:c r="CO412" s="27">
        <x:v>99.4</x:v>
      </x:c>
      <x:c r="CP412" s="27">
        <x:v>98.3</x:v>
      </x:c>
      <x:c r="CQ412" s="26">
        <x:f t="shared" si="389"/>
        <x:v>329.70921316600004</x:v>
      </x:c>
      <x:c r="CR412" s="26">
        <x:f t="shared" si="390"/>
        <x:v>2183.5521532515609</x:v>
      </x:c>
      <x:c r="CS412" s="26">
        <x:f t="shared" si="391"/>
        <x:v>4483.7960000000003</x:v>
      </x:c>
      <x:c r="CT412" s="26">
        <x:f t="shared" si="350"/>
        <x:v>247.35084823799562</x:v>
      </x:c>
      <x:c r="CU412" s="26">
        <x:f t="shared" si="351"/>
        <x:v>182.82454000200013</x:v>
      </x:c>
      <x:c r="CV412" s="26">
        <x:f t="shared" si="352"/>
        <x:v>0.36564908000400032</x:v>
      </x:c>
      <x:c r="CW412" s="26">
        <x:f t="shared" si="353"/>
        <x:v>0</x:v>
      </x:c>
      <x:c r="CX412" s="26">
        <x:f t="shared" si="392"/>
        <x:v>89.675920000000005</x:v>
      </x:c>
      <x:c r="CY412" s="26">
        <x:f t="shared" si="393"/>
        <x:v>0</x:v>
      </x:c>
    </x:row>
    <x:row r="413">
      <x:c r="A413" s="18">
        <x:v>2022</x:v>
      </x:c>
      <x:c r="B413" t="s">
        <x:v>847</x:v>
      </x:c>
      <x:c r="C413" t="s">
        <x:v>78</x:v>
      </x:c>
      <x:c r="D413" t="s">
        <x:v>848</x:v>
      </x:c>
      <x:c r="E413" s="18">
        <x:v>445224</x:v>
      </x:c>
      <x:c r="F413" t="s">
        <x:v>849</x:v>
      </x:c>
      <x:c r="G413" t="s">
        <x:v>850</x:v>
      </x:c>
      <x:c r="H413" s="18">
        <x:v>4411</x:v>
      </x:c>
      <x:c r="I413" t="s">
        <x:v>102</x:v>
      </x:c>
      <x:c r="J413" t="s">
        <x:v>78</x:v>
      </x:c>
      <x:c r="K413" t="s">
        <x:v>109</x:v>
      </x:c>
      <x:c r="L413" s="20">
        <x:v>60</x:v>
      </x:c>
      <x:c r="M413" t="s">
        <x:v>110</x:v>
      </x:c>
      <x:c r="N413" s="18">
        <x:v>1950</x:v>
      </x:c>
      <x:c r="O413" t="s">
        <x:v>88</x:v>
      </x:c>
      <x:c r="P413" s="18">
        <x:v>4</x:v>
      </x:c>
      <x:c r="Q413" s="19" t="s">
        <x:v>111</x:v>
      </x:c>
      <x:c r="R413" s="18">
        <x:v>1549939</x:v>
      </x:c>
      <x:c r="S413" t="s">
        <x:v>112</x:v>
      </x:c>
      <x:c r="T413" s="19">
        <x:f t="shared" si="402"/>
        <x:v>1549939</x:v>
      </x:c>
      <x:c r="U413" s="20">
        <x:v>0.88</x:v>
      </x:c>
      <x:c r="V413" t="s">
        <x:v>113</x:v>
      </x:c>
      <x:c r="W413" s="20">
        <x:v>16.86</x:v>
      </x:c>
      <x:c r="X413" s="21">
        <x:f t="shared" si="403"/>
        <x:v>23187.087440000003</x:v>
      </x:c>
      <x:c r="Y413" s="21">
        <x:f t="shared" si="404"/>
        <x:v>11175.06019</x:v>
      </x:c>
      <x:c r="Z413" s="21">
        <x:f t="shared" si="405"/>
        <x:v>3099.8780000000002</x:v>
      </x:c>
      <x:c r="AA413" s="21">
        <x:f t="shared" si="406"/>
        <x:v>45077.650906499999</x:v>
      </x:c>
      <x:c r="AB413" s="21">
        <x:f t="shared" si="407"/>
        <x:v>11759.387193</x:v>
      </x:c>
      <x:c r="AC413" s="21">
        <x:f t="shared" si="408"/>
        <x:v>23.518774386</x:v>
      </x:c>
      <x:c r="AD413" s="21"/>
      <x:c r="AE413" s="21">
        <x:f t="shared" si="409"/>
        <x:v>61.99756</x:v>
      </x:c>
      <x:c r="AF413" s="21"/>
      <x:c r="AG413" s="19" t="s">
        <x:v>78</x:v>
      </x:c>
      <x:c r="AH413" t="s">
        <x:v>78</x:v>
      </x:c>
      <x:c r="AI413" t="s">
        <x:v>78</x:v>
      </x:c>
      <x:c r="AJ413" s="19"/>
      <x:c r="AK413" s="19" t="s">
        <x:v>78</x:v>
      </x:c>
      <x:c r="AL413" t="s">
        <x:v>78</x:v>
      </x:c>
      <x:c r="AM413" s="19" t="s">
        <x:v>78</x:v>
      </x:c>
      <x:c r="AN413" s="21"/>
      <x:c r="AO413" s="21"/>
      <x:c r="AP413" s="21"/>
      <x:c r="AQ413" s="21"/>
      <x:c r="AR413" s="21"/>
      <x:c r="AS413" s="21"/>
      <x:c r="AT413" s="21"/>
      <x:c r="AU413" s="21"/>
      <x:c r="AV413" s="21"/>
      <x:c r="AW413" t="s">
        <x:v>78</x:v>
      </x:c>
      <x:c r="AX413" s="19"/>
      <x:c r="AY413" s="21"/>
      <x:c r="AZ413" s="21"/>
      <x:c r="BA413" s="21"/>
      <x:c r="BB413" s="21"/>
      <x:c r="BC413" s="21"/>
      <x:c r="BD413" s="21"/>
      <x:c r="BE413" s="21"/>
      <x:c r="BF413" s="21"/>
      <x:c r="BG413" s="21"/>
      <x:c r="BH413" t="s">
        <x:v>81</x:v>
      </x:c>
      <x:c r="BI413" s="18">
        <x:v>116</x:v>
      </x:c>
      <x:c r="BJ413" s="18">
        <x:v>32</x:v>
      </x:c>
      <x:c r="BK413" s="18">
        <x:v>47.13</x:v>
      </x:c>
      <x:c r="BL413" s="18">
        <x:v>23</x:v>
      </x:c>
      <x:c r="BM413" s="18">
        <x:v>0</x:v>
      </x:c>
      <x:c r="BN413" s="18">
        <x:v>15.01</x:v>
      </x:c>
      <x:c r="BO413" s="22">
        <x:v>116.546425</x:v>
      </x:c>
      <x:c r="BP413" s="22">
        <x:v>23.0041694444444</x:v>
      </x:c>
      <x:c r="BQ413" s="18">
        <x:v>210</x:v>
      </x:c>
      <x:c r="BR413" s="18">
        <x:v>1422691.79</x:v>
      </x:c>
      <x:c r="BS413" s="18">
        <x:v>23505.755000000001</x:v>
      </x:c>
      <x:c r="BT413" s="18">
        <x:v>193.21700000000001</x:v>
      </x:c>
      <x:c r="BU413" s="18">
        <x:v>3729.08</x:v>
      </x:c>
      <x:c r="BV413" s="18">
        <x:v>422.86099999999999</x:v>
      </x:c>
      <x:c r="BW413" s="18">
        <x:v>254875.06899999999</x:v>
      </x:c>
      <x:c r="BX413" s="18">
        <x:v>47.301000000000002</x:v>
      </x:c>
      <x:c r="BY413" s="18">
        <x:v>18289.28</x:v>
      </x:c>
      <x:c r="BZ413" s="18">
        <x:v>18289.28</x:v>
      </x:c>
      <x:c r="CA413" s="23">
        <x:f t="shared" si="380"/>
        <x:v>23187.087440000003</x:v>
      </x:c>
      <x:c r="CB413" s="23">
        <x:f t="shared" si="381"/>
        <x:v>11175.06019</x:v>
      </x:c>
      <x:c r="CC413" s="23">
        <x:f t="shared" si="382"/>
        <x:v>3099.8780000000002</x:v>
      </x:c>
      <x:c r="CD413" s="23">
        <x:f t="shared" si="383"/>
        <x:v>45077.650906499999</x:v>
      </x:c>
      <x:c r="CE413" s="23">
        <x:f t="shared" si="384"/>
        <x:v>11759.387193</x:v>
      </x:c>
      <x:c r="CF413" s="23">
        <x:f t="shared" si="385"/>
        <x:v>23.518774386</x:v>
      </x:c>
      <x:c r="CG413" s="23">
        <x:f t="shared" si="386"/>
        <x:v>0</x:v>
      </x:c>
      <x:c r="CH413" s="23">
        <x:f t="shared" si="387"/>
        <x:v>61.99756</x:v>
      </x:c>
      <x:c r="CI413" s="23">
        <x:f t="shared" si="388"/>
        <x:v>0</x:v>
      </x:c>
      <x:c r="CJ413" s="24" t="s">
        <x:v>114</x:v>
      </x:c>
      <x:c r="CK413" s="29">
        <x:v>99.16</x:v>
      </x:c>
      <x:c r="CL413" s="26" t="s">
        <x:v>104</x:v>
      </x:c>
      <x:c r="CM413" s="28">
        <x:v>83</x:v>
      </x:c>
      <x:c r="CN413" s="30" t="s">
        <x:v>208</x:v>
      </x:c>
      <x:c r="CO413" s="27">
        <x:v>98.7</x:v>
      </x:c>
      <x:c r="CP413" s="27">
        <x:v>97</x:v>
      </x:c>
      <x:c r="CQ413" s="26">
        <x:f t="shared" si="389"/>
        <x:v>194.77153449600175</x:v>
      </x:c>
      <x:c r="CR413" s="26">
        <x:f t="shared" si="390"/>
        <x:v>1899.7602323000006</x:v>
      </x:c>
      <x:c r="CS413" s="26">
        <x:f t="shared" si="391"/>
        <x:v>3099.8780000000002</x:v>
      </x:c>
      <x:c r="CT413" s="26">
        <x:f t="shared" si="350"/>
        <x:v>586.00946178450056</x:v>
      </x:c>
      <x:c r="CU413" s="26">
        <x:f t="shared" si="351"/>
        <x:v>352.78161579000033</x:v>
      </x:c>
      <x:c r="CV413" s="26">
        <x:f t="shared" si="352"/>
        <x:v>0.70556323158000067</x:v>
      </x:c>
      <x:c r="CW413" s="26">
        <x:f t="shared" si="353"/>
        <x:v>0</x:v>
      </x:c>
      <x:c r="CX413" s="26">
        <x:f t="shared" si="392"/>
        <x:v>61.99756</x:v>
      </x:c>
      <x:c r="CY413" s="26">
        <x:f t="shared" si="393"/>
        <x:v>0</x:v>
      </x:c>
    </x:row>
    <x:row r="414">
      <x:c r="A414" s="18">
        <x:v>2022</x:v>
      </x:c>
      <x:c r="B414" t="s">
        <x:v>847</x:v>
      </x:c>
      <x:c r="C414" t="s">
        <x:v>78</x:v>
      </x:c>
      <x:c r="D414" t="s">
        <x:v>848</x:v>
      </x:c>
      <x:c r="E414" s="18">
        <x:v>445224</x:v>
      </x:c>
      <x:c r="F414" t="s">
        <x:v>849</x:v>
      </x:c>
      <x:c r="G414" t="s">
        <x:v>850</x:v>
      </x:c>
      <x:c r="H414" s="18">
        <x:v>4411</x:v>
      </x:c>
      <x:c r="I414" t="s">
        <x:v>102</x:v>
      </x:c>
      <x:c r="J414" t="s">
        <x:v>78</x:v>
      </x:c>
      <x:c r="K414" t="s">
        <x:v>109</x:v>
      </x:c>
      <x:c r="L414" s="20">
        <x:v>60</x:v>
      </x:c>
      <x:c r="M414" t="s">
        <x:v>110</x:v>
      </x:c>
      <x:c r="N414" s="18">
        <x:v>1950</x:v>
      </x:c>
      <x:c r="O414" t="s">
        <x:v>88</x:v>
      </x:c>
      <x:c r="P414" s="18">
        <x:v>4</x:v>
      </x:c>
      <x:c r="Q414" s="19" t="s">
        <x:v>111</x:v>
      </x:c>
      <x:c r="R414" s="18">
        <x:v>1246144</x:v>
      </x:c>
      <x:c r="S414" t="s">
        <x:v>112</x:v>
      </x:c>
      <x:c r="T414" s="19">
        <x:f t="shared" si="402"/>
        <x:v>1246144</x:v>
      </x:c>
      <x:c r="U414" s="20">
        <x:v>0.88</x:v>
      </x:c>
      <x:c r="V414" t="s">
        <x:v>113</x:v>
      </x:c>
      <x:c r="W414" s="20">
        <x:v>16.23</x:v>
      </x:c>
      <x:c r="X414" s="21">
        <x:f t="shared" si="403"/>
        <x:v>18642.31424</x:v>
      </x:c>
      <x:c r="Y414" s="21">
        <x:f t="shared" si="404"/>
        <x:v>8984.6982399999997</x:v>
      </x:c>
      <x:c r="Z414" s="21">
        <x:f t="shared" si="405"/>
        <x:v>2492.288</x:v>
      </x:c>
      <x:c r="AA414" s="21">
        <x:f t="shared" si="406"/>
        <x:v>34887.982032</x:v>
      </x:c>
      <x:c r="AB414" s="21">
        <x:f t="shared" si="407"/>
        <x:v>9101.2127039999996</x:v>
      </x:c>
      <x:c r="AC414" s="21">
        <x:f t="shared" si="408"/>
        <x:v>18.202425408</x:v>
      </x:c>
      <x:c r="AD414" s="21"/>
      <x:c r="AE414" s="21">
        <x:f t="shared" si="409"/>
        <x:v>49.845759999999999</x:v>
      </x:c>
      <x:c r="AF414" s="21"/>
      <x:c r="AG414" s="19" t="s">
        <x:v>78</x:v>
      </x:c>
      <x:c r="AH414" t="s">
        <x:v>78</x:v>
      </x:c>
      <x:c r="AI414" t="s">
        <x:v>78</x:v>
      </x:c>
      <x:c r="AJ414" s="19"/>
      <x:c r="AK414" s="19" t="s">
        <x:v>78</x:v>
      </x:c>
      <x:c r="AL414" t="s">
        <x:v>78</x:v>
      </x:c>
      <x:c r="AM414" s="19" t="s">
        <x:v>78</x:v>
      </x:c>
      <x:c r="AN414" s="21"/>
      <x:c r="AO414" s="21"/>
      <x:c r="AP414" s="21"/>
      <x:c r="AQ414" s="21"/>
      <x:c r="AR414" s="21"/>
      <x:c r="AS414" s="21"/>
      <x:c r="AT414" s="21"/>
      <x:c r="AU414" s="21"/>
      <x:c r="AV414" s="21"/>
      <x:c r="AW414" t="s">
        <x:v>78</x:v>
      </x:c>
      <x:c r="AX414" s="19"/>
      <x:c r="AY414" s="21"/>
      <x:c r="AZ414" s="21"/>
      <x:c r="BA414" s="21"/>
      <x:c r="BB414" s="21"/>
      <x:c r="BC414" s="21"/>
      <x:c r="BD414" s="21"/>
      <x:c r="BE414" s="21"/>
      <x:c r="BF414" s="21"/>
      <x:c r="BG414" s="21"/>
      <x:c r="BH414" t="s">
        <x:v>79</x:v>
      </x:c>
      <x:c r="BI414" s="18">
        <x:v>116</x:v>
      </x:c>
      <x:c r="BJ414" s="18">
        <x:v>32</x:v>
      </x:c>
      <x:c r="BK414" s="18">
        <x:v>47.13</x:v>
      </x:c>
      <x:c r="BL414" s="18">
        <x:v>23</x:v>
      </x:c>
      <x:c r="BM414" s="18">
        <x:v>0</x:v>
      </x:c>
      <x:c r="BN414" s="18">
        <x:v>15.01</x:v>
      </x:c>
      <x:c r="BO414" s="22">
        <x:v>116.546425</x:v>
      </x:c>
      <x:c r="BP414" s="22">
        <x:v>23.0041694444444</x:v>
      </x:c>
      <x:c r="BQ414" s="18">
        <x:v>210</x:v>
      </x:c>
      <x:c r="BR414" s="18">
        <x:v>1182487.3600000001</x:v>
      </x:c>
      <x:c r="BS414" s="18">
        <x:v>18473.835999999999</x:v>
      </x:c>
      <x:c r="BT414" s="18">
        <x:v>152.59399999999999</x:v>
      </x:c>
      <x:c r="BU414" s="18">
        <x:v>3535.203</x:v>
      </x:c>
      <x:c r="BV414" s="18">
        <x:v>404.822</x:v>
      </x:c>
      <x:c r="BW414" s="18">
        <x:v>197695.761</x:v>
      </x:c>
      <x:c r="BX414" s="18">
        <x:v>37.387</x:v>
      </x:c>
      <x:c r="BY414" s="18">
        <x:v>14704.499</x:v>
      </x:c>
      <x:c r="BZ414" s="18">
        <x:v>14704.499</x:v>
      </x:c>
      <x:c r="CA414" s="23">
        <x:f t="shared" si="380"/>
        <x:v>18642.31424</x:v>
      </x:c>
      <x:c r="CB414" s="23">
        <x:f t="shared" si="381"/>
        <x:v>8984.6982399999997</x:v>
      </x:c>
      <x:c r="CC414" s="23">
        <x:f t="shared" si="382"/>
        <x:v>2492.288</x:v>
      </x:c>
      <x:c r="CD414" s="23">
        <x:f t="shared" si="383"/>
        <x:v>34887.982032</x:v>
      </x:c>
      <x:c r="CE414" s="23">
        <x:f t="shared" si="384"/>
        <x:v>9101.2127039999996</x:v>
      </x:c>
      <x:c r="CF414" s="23">
        <x:f t="shared" si="385"/>
        <x:v>18.202425408</x:v>
      </x:c>
      <x:c r="CG414" s="23">
        <x:f t="shared" si="386"/>
        <x:v>0</x:v>
      </x:c>
      <x:c r="CH414" s="23">
        <x:f t="shared" si="387"/>
        <x:v>49.845759999999999</x:v>
      </x:c>
      <x:c r="CI414" s="23">
        <x:f t="shared" si="388"/>
        <x:v>0</x:v>
      </x:c>
      <x:c r="CJ414" s="24" t="s">
        <x:v>114</x:v>
      </x:c>
      <x:c r="CK414" s="29">
        <x:v>99.16</x:v>
      </x:c>
      <x:c r="CL414" s="26" t="s">
        <x:v>104</x:v>
      </x:c>
      <x:c r="CM414" s="28">
        <x:v>83</x:v>
      </x:c>
      <x:c r="CN414" s="30" t="s">
        <x:v>208</x:v>
      </x:c>
      <x:c r="CO414" s="27">
        <x:v>98.7</x:v>
      </x:c>
      <x:c r="CP414" s="27">
        <x:v>97</x:v>
      </x:c>
      <x:c r="CQ414" s="26">
        <x:f t="shared" si="389"/>
        <x:v>156.59543961600139</x:v>
      </x:c>
      <x:c r="CR414" s="26">
        <x:f t="shared" si="390"/>
        <x:v>1527.3987008000004</x:v>
      </x:c>
      <x:c r="CS414" s="26">
        <x:f t="shared" si="391"/>
        <x:v>2492.288</x:v>
      </x:c>
      <x:c r="CT414" s="26" t="n">
        <x:f t="shared" ref="CT414:CT427" si="410">CD414*(1-CO414/100)</x:f>
        <x:v>453.5437664160004</x:v>
      </x:c>
      <x:c r="CU414" s="26" t="n">
        <x:f t="shared" ref="CU414:CU427" si="411">CE414*(1-CP414/100)</x:f>
        <x:v>273.0363811200002</x:v>
      </x:c>
      <x:c r="CV414" s="26" t="n">
        <x:f t="shared" ref="CV414:CV427" si="412">CF414*(1-CP414/100)</x:f>
        <x:v>0.5460727622400005</x:v>
      </x:c>
      <x:c r="CW414" s="26" t="n">
        <x:f t="shared" ref="CW414:CW427" si="413">CG414*(1-CP414/100)</x:f>
        <x:v>0</x:v>
      </x:c>
      <x:c r="CX414" s="26">
        <x:f t="shared" si="392"/>
        <x:v>49.845759999999999</x:v>
      </x:c>
      <x:c r="CY414" s="26">
        <x:f t="shared" si="393"/>
        <x:v>0</x:v>
      </x:c>
    </x:row>
    <x:row r="415">
      <x:c r="A415" s="18">
        <x:v>2022</x:v>
      </x:c>
      <x:c r="B415" t="s">
        <x:v>847</x:v>
      </x:c>
      <x:c r="C415" t="s">
        <x:v>78</x:v>
      </x:c>
      <x:c r="D415" t="s">
        <x:v>848</x:v>
      </x:c>
      <x:c r="E415" s="18">
        <x:v>445224</x:v>
      </x:c>
      <x:c r="F415" t="s">
        <x:v>849</x:v>
      </x:c>
      <x:c r="G415" t="s">
        <x:v>850</x:v>
      </x:c>
      <x:c r="H415" s="18">
        <x:v>4411</x:v>
      </x:c>
      <x:c r="I415" t="s">
        <x:v>102</x:v>
      </x:c>
      <x:c r="J415" t="s">
        <x:v>78</x:v>
      </x:c>
      <x:c r="K415" t="s">
        <x:v>109</x:v>
      </x:c>
      <x:c r="L415" s="20">
        <x:v>100</x:v>
      </x:c>
      <x:c r="M415" t="s">
        <x:v>110</x:v>
      </x:c>
      <x:c r="N415" s="18">
        <x:v>3033</x:v>
      </x:c>
      <x:c r="O415" t="s">
        <x:v>88</x:v>
      </x:c>
      <x:c r="P415" s="18">
        <x:v>4</x:v>
      </x:c>
      <x:c r="Q415" s="19" t="s">
        <x:v>111</x:v>
      </x:c>
      <x:c r="R415" s="18">
        <x:v>2160155</x:v>
      </x:c>
      <x:c r="S415" t="s">
        <x:v>112</x:v>
      </x:c>
      <x:c r="T415" s="19">
        <x:f t="shared" si="402"/>
        <x:v>2160155</x:v>
      </x:c>
      <x:c r="U415" s="20">
        <x:v>0.85</x:v>
      </x:c>
      <x:c r="V415" t="s">
        <x:v>113</x:v>
      </x:c>
      <x:c r="W415" s="20">
        <x:v>16.850000000000001</x:v>
      </x:c>
      <x:c r="X415" s="21">
        <x:f t="shared" si="403"/>
        <x:v>31214.239750000001</x:v>
      </x:c>
      <x:c r="Y415" s="21">
        <x:f t="shared" si="404"/>
        <x:v>15574.717550000001</x:v>
      </x:c>
      <x:c r="Z415" s="21">
        <x:f t="shared" si="405"/>
        <x:v>4320.3100000000004</x:v>
      </x:c>
      <x:c r="AA415" s="21">
        <x:f t="shared" si="406"/>
        <x:v>62787.605268750012</x:v>
      </x:c>
      <x:c r="AB415" s="21">
        <x:f t="shared" si="407"/>
        <x:v>16379.375287500001</x:v>
      </x:c>
      <x:c r="AC415" s="21">
        <x:f t="shared" si="408"/>
        <x:v>32.758750575000001</x:v>
      </x:c>
      <x:c r="AD415" s="21"/>
      <x:c r="AE415" s="21">
        <x:f t="shared" si="409"/>
        <x:v>86.406199999999998</x:v>
      </x:c>
      <x:c r="AF415" s="21"/>
      <x:c r="AG415" s="19" t="s">
        <x:v>78</x:v>
      </x:c>
      <x:c r="AH415" t="s">
        <x:v>78</x:v>
      </x:c>
      <x:c r="AI415" t="s">
        <x:v>78</x:v>
      </x:c>
      <x:c r="AJ415" s="19"/>
      <x:c r="AK415" s="19" t="s">
        <x:v>78</x:v>
      </x:c>
      <x:c r="AL415" t="s">
        <x:v>78</x:v>
      </x:c>
      <x:c r="AM415" s="19" t="s">
        <x:v>78</x:v>
      </x:c>
      <x:c r="AN415" s="21"/>
      <x:c r="AO415" s="21"/>
      <x:c r="AP415" s="21"/>
      <x:c r="AQ415" s="21"/>
      <x:c r="AR415" s="21"/>
      <x:c r="AS415" s="21"/>
      <x:c r="AT415" s="21"/>
      <x:c r="AU415" s="21"/>
      <x:c r="AV415" s="21"/>
      <x:c r="AW415" t="s">
        <x:v>78</x:v>
      </x:c>
      <x:c r="AX415" s="19"/>
      <x:c r="AY415" s="21"/>
      <x:c r="AZ415" s="21"/>
      <x:c r="BA415" s="21"/>
      <x:c r="BB415" s="21"/>
      <x:c r="BC415" s="21"/>
      <x:c r="BD415" s="21"/>
      <x:c r="BE415" s="21"/>
      <x:c r="BF415" s="21"/>
      <x:c r="BG415" s="21"/>
      <x:c r="BH415" t="s">
        <x:v>82</x:v>
      </x:c>
      <x:c r="BI415" s="18">
        <x:v>116</x:v>
      </x:c>
      <x:c r="BJ415" s="18">
        <x:v>32</x:v>
      </x:c>
      <x:c r="BK415" s="18">
        <x:v>54.71</x:v>
      </x:c>
      <x:c r="BL415" s="18">
        <x:v>23</x:v>
      </x:c>
      <x:c r="BM415" s="18">
        <x:v>0</x:v>
      </x:c>
      <x:c r="BN415" s="18">
        <x:v>17.66</x:v>
      </x:c>
      <x:c r="BO415" s="22">
        <x:v>116.548530555556</x:v>
      </x:c>
      <x:c r="BP415" s="22">
        <x:v>23.004905555555599</x:v>
      </x:c>
      <x:c r="BQ415" s="18">
        <x:v>240</x:v>
      </x:c>
      <x:c r="BR415" s="18">
        <x:v>1847485.64</x:v>
      </x:c>
      <x:c r="BS415" s="18">
        <x:v>31667.871999999999</x:v>
      </x:c>
      <x:c r="BT415" s="18">
        <x:v>262.84300000000002</x:v>
      </x:c>
      <x:c r="BU415" s="18">
        <x:v>5107.018</x:v>
      </x:c>
      <x:c r="BV415" s="18">
        <x:v>640.08199999999999</x:v>
      </x:c>
      <x:c r="BW415" s="18">
        <x:v>354882.14399999997</x:v>
      </x:c>
      <x:c r="BX415" s="18">
        <x:v>13.176</x:v>
      </x:c>
      <x:c r="BY415" s="18">
        <x:v>25489.829000000002</x:v>
      </x:c>
      <x:c r="BZ415" s="18">
        <x:v>25489.829000000002</x:v>
      </x:c>
      <x:c r="CA415" s="23">
        <x:f t="shared" si="380"/>
        <x:v>31214.239750000001</x:v>
      </x:c>
      <x:c r="CB415" s="23">
        <x:f t="shared" si="381"/>
        <x:v>15574.717550000001</x:v>
      </x:c>
      <x:c r="CC415" s="23">
        <x:f t="shared" si="382"/>
        <x:v>4320.3100000000004</x:v>
      </x:c>
      <x:c r="CD415" s="23">
        <x:f t="shared" si="383"/>
        <x:v>62787.605268750012</x:v>
      </x:c>
      <x:c r="CE415" s="23">
        <x:f t="shared" si="384"/>
        <x:v>16379.375287500001</x:v>
      </x:c>
      <x:c r="CF415" s="23">
        <x:f t="shared" si="385"/>
        <x:v>32.758750575000001</x:v>
      </x:c>
      <x:c r="CG415" s="23">
        <x:f t="shared" si="386"/>
        <x:v>0</x:v>
      </x:c>
      <x:c r="CH415" s="23">
        <x:f t="shared" si="387"/>
        <x:v>86.406199999999998</x:v>
      </x:c>
      <x:c r="CI415" s="23">
        <x:f t="shared" si="388"/>
        <x:v>0</x:v>
      </x:c>
      <x:c r="CJ415" s="24" t="s">
        <x:v>114</x:v>
      </x:c>
      <x:c r="CK415" s="29">
        <x:v>99.16</x:v>
      </x:c>
      <x:c r="CL415" s="26" t="s">
        <x:v>104</x:v>
      </x:c>
      <x:c r="CM415" s="28">
        <x:v>83</x:v>
      </x:c>
      <x:c r="CN415" s="30" t="s">
        <x:v>208</x:v>
      </x:c>
      <x:c r="CO415" s="27">
        <x:v>98.7</x:v>
      </x:c>
      <x:c r="CP415" s="27">
        <x:v>97</x:v>
      </x:c>
      <x:c r="CQ415" s="26">
        <x:f t="shared" si="389"/>
        <x:v>262.1996139000023</x:v>
      </x:c>
      <x:c r="CR415" s="26">
        <x:f t="shared" si="390"/>
        <x:v>2647.701983500001</x:v>
      </x:c>
      <x:c r="CS415" s="26">
        <x:f t="shared" si="391"/>
        <x:v>4320.3100000000004</x:v>
      </x:c>
      <x:c r="CT415" s="26">
        <x:f t="shared" si="410"/>
        <x:v>816.23886849375083</x:v>
      </x:c>
      <x:c r="CU415" s="26">
        <x:f t="shared" si="411"/>
        <x:v>491.38125862500044</x:v>
      </x:c>
      <x:c r="CV415" s="26">
        <x:f t="shared" si="412"/>
        <x:v>0.98276251725000086</x:v>
      </x:c>
      <x:c r="CW415" s="26">
        <x:f t="shared" si="413"/>
        <x:v>0</x:v>
      </x:c>
      <x:c r="CX415" s="26">
        <x:f t="shared" si="392"/>
        <x:v>86.406199999999998</x:v>
      </x:c>
      <x:c r="CY415" s="26">
        <x:f t="shared" si="393"/>
        <x:v>0</x:v>
      </x:c>
    </x:row>
    <x:row r="416">
      <x:c r="A416" s="18">
        <x:v>2022</x:v>
      </x:c>
      <x:c r="B416" t="s">
        <x:v>847</x:v>
      </x:c>
      <x:c r="C416" t="s">
        <x:v>78</x:v>
      </x:c>
      <x:c r="D416" t="s">
        <x:v>848</x:v>
      </x:c>
      <x:c r="E416" s="18">
        <x:v>445224</x:v>
      </x:c>
      <x:c r="F416" t="s">
        <x:v>849</x:v>
      </x:c>
      <x:c r="G416" t="s">
        <x:v>850</x:v>
      </x:c>
      <x:c r="H416" s="18">
        <x:v>4411</x:v>
      </x:c>
      <x:c r="I416" t="s">
        <x:v>102</x:v>
      </x:c>
      <x:c r="J416" t="s">
        <x:v>78</x:v>
      </x:c>
      <x:c r="K416" t="s">
        <x:v>109</x:v>
      </x:c>
      <x:c r="L416" s="20">
        <x:v>100</x:v>
      </x:c>
      <x:c r="M416" t="s">
        <x:v>110</x:v>
      </x:c>
      <x:c r="N416" s="18">
        <x:v>3033</x:v>
      </x:c>
      <x:c r="O416" t="s">
        <x:v>88</x:v>
      </x:c>
      <x:c r="P416" s="18">
        <x:v>4</x:v>
      </x:c>
      <x:c r="Q416" s="19" t="s">
        <x:v>111</x:v>
      </x:c>
      <x:c r="R416" s="18">
        <x:v>2301000</x:v>
      </x:c>
      <x:c r="S416" t="s">
        <x:v>112</x:v>
      </x:c>
      <x:c r="T416" s="19">
        <x:f t="shared" si="402"/>
        <x:v>2301000</x:v>
      </x:c>
      <x:c r="U416" s="20">
        <x:v>0.9</x:v>
      </x:c>
      <x:c r="V416" t="s">
        <x:v>113</x:v>
      </x:c>
      <x:c r="W416" s="20">
        <x:v>17.53</x:v>
      </x:c>
      <x:c r="X416" s="21">
        <x:f t="shared" si="403"/>
        <x:v>35205.300000000003</x:v>
      </x:c>
      <x:c r="Y416" s="21">
        <x:f t="shared" si="404"/>
        <x:v>16590.21</x:v>
      </x:c>
      <x:c r="Z416" s="21">
        <x:f t="shared" si="405"/>
        <x:v>4602</x:v>
      </x:c>
      <x:c r="AA416" s="21">
        <x:f t="shared" si="406"/>
        <x:v>69580.514250000007</x:v>
      </x:c>
      <x:c r="AB416" s="21">
        <x:f t="shared" si="407"/>
        <x:v>18151.4385</x:v>
      </x:c>
      <x:c r="AC416" s="21">
        <x:f t="shared" si="408"/>
        <x:v>36.302877000000002</x:v>
      </x:c>
      <x:c r="AD416" s="21"/>
      <x:c r="AE416" s="21">
        <x:f t="shared" si="409"/>
        <x:v>92.04</x:v>
      </x:c>
      <x:c r="AF416" s="21"/>
      <x:c r="AG416" s="19" t="s">
        <x:v>78</x:v>
      </x:c>
      <x:c r="AH416" t="s">
        <x:v>78</x:v>
      </x:c>
      <x:c r="AI416" t="s">
        <x:v>78</x:v>
      </x:c>
      <x:c r="AJ416" s="19"/>
      <x:c r="AK416" s="19" t="s">
        <x:v>78</x:v>
      </x:c>
      <x:c r="AL416" t="s">
        <x:v>78</x:v>
      </x:c>
      <x:c r="AM416" s="19" t="s">
        <x:v>78</x:v>
      </x:c>
      <x:c r="AN416" s="21"/>
      <x:c r="AO416" s="21"/>
      <x:c r="AP416" s="21"/>
      <x:c r="AQ416" s="21"/>
      <x:c r="AR416" s="21"/>
      <x:c r="AS416" s="21"/>
      <x:c r="AT416" s="21"/>
      <x:c r="AU416" s="21"/>
      <x:c r="AV416" s="21"/>
      <x:c r="AW416" t="s">
        <x:v>78</x:v>
      </x:c>
      <x:c r="AX416" s="19"/>
      <x:c r="AY416" s="21"/>
      <x:c r="AZ416" s="21"/>
      <x:c r="BA416" s="21"/>
      <x:c r="BB416" s="21"/>
      <x:c r="BC416" s="21"/>
      <x:c r="BD416" s="21"/>
      <x:c r="BE416" s="21"/>
      <x:c r="BF416" s="21"/>
      <x:c r="BG416" s="21"/>
      <x:c r="BH416" t="s">
        <x:v>83</x:v>
      </x:c>
      <x:c r="BI416" s="18">
        <x:v>116</x:v>
      </x:c>
      <x:c r="BJ416" s="18">
        <x:v>32</x:v>
      </x:c>
      <x:c r="BK416" s="18">
        <x:v>54.71</x:v>
      </x:c>
      <x:c r="BL416" s="18">
        <x:v>23</x:v>
      </x:c>
      <x:c r="BM416" s="18">
        <x:v>0</x:v>
      </x:c>
      <x:c r="BN416" s="18">
        <x:v>17.66</x:v>
      </x:c>
      <x:c r="BO416" s="22">
        <x:v>116.548530555556</x:v>
      </x:c>
      <x:c r="BP416" s="22">
        <x:v>23.004905555555599</x:v>
      </x:c>
      <x:c r="BQ416" s="18">
        <x:v>240</x:v>
      </x:c>
      <x:c r="BR416" s="18">
        <x:v>2080759.23</x:v>
      </x:c>
      <x:c r="BS416" s="18">
        <x:v>34524.203999999998</x:v>
      </x:c>
      <x:c r="BT416" s="18">
        <x:v>285.17</x:v>
      </x:c>
      <x:c r="BU416" s="18">
        <x:v>5710.0649999999996</x:v>
      </x:c>
      <x:c r="BV416" s="18">
        <x:v>670.42100000000005</x:v>
      </x:c>
      <x:c r="BW416" s="18">
        <x:v>392462.93199999997</x:v>
      </x:c>
      <x:c r="BX416" s="18">
        <x:v>14.272</x:v>
      </x:c>
      <x:c r="BY416" s="18">
        <x:v>27151.8</x:v>
      </x:c>
      <x:c r="BZ416" s="18">
        <x:v>27151.8</x:v>
      </x:c>
      <x:c r="CA416" s="23">
        <x:f t="shared" si="380"/>
        <x:v>35205.300000000003</x:v>
      </x:c>
      <x:c r="CB416" s="23">
        <x:f t="shared" si="381"/>
        <x:v>16590.21</x:v>
      </x:c>
      <x:c r="CC416" s="23">
        <x:f t="shared" si="382"/>
        <x:v>4602</x:v>
      </x:c>
      <x:c r="CD416" s="23">
        <x:f t="shared" si="383"/>
        <x:v>69580.514250000007</x:v>
      </x:c>
      <x:c r="CE416" s="23">
        <x:f t="shared" si="384"/>
        <x:v>18151.4385</x:v>
      </x:c>
      <x:c r="CF416" s="23">
        <x:f t="shared" si="385"/>
        <x:v>36.302877000000002</x:v>
      </x:c>
      <x:c r="CG416" s="23">
        <x:f t="shared" si="386"/>
        <x:v>0</x:v>
      </x:c>
      <x:c r="CH416" s="23">
        <x:f t="shared" si="387"/>
        <x:v>92.04</x:v>
      </x:c>
      <x:c r="CI416" s="23">
        <x:f t="shared" si="388"/>
        <x:v>0</x:v>
      </x:c>
      <x:c r="CJ416" s="24" t="s">
        <x:v>114</x:v>
      </x:c>
      <x:c r="CK416" s="29">
        <x:v>99.16</x:v>
      </x:c>
      <x:c r="CL416" s="26" t="s">
        <x:v>104</x:v>
      </x:c>
      <x:c r="CM416" s="28">
        <x:v>83</x:v>
      </x:c>
      <x:c r="CN416" s="30" t="s">
        <x:v>208</x:v>
      </x:c>
      <x:c r="CO416" s="27">
        <x:v>98.7</x:v>
      </x:c>
      <x:c r="CP416" s="27">
        <x:v>97</x:v>
      </x:c>
      <x:c r="CQ416" s="26">
        <x:f t="shared" si="389"/>
        <x:v>295.72452000000266</x:v>
      </x:c>
      <x:c r="CR416" s="26">
        <x:f t="shared" si="390"/>
        <x:v>2820.3357000000005</x:v>
      </x:c>
      <x:c r="CS416" s="26">
        <x:f t="shared" si="391"/>
        <x:v>4602</x:v>
      </x:c>
      <x:c r="CT416" s="26">
        <x:f t="shared" si="410"/>
        <x:v>904.54668525000091</x:v>
      </x:c>
      <x:c r="CU416" s="26">
        <x:f t="shared" si="411"/>
        <x:v>544.54315500000052</x:v>
      </x:c>
      <x:c r="CV416" s="26">
        <x:f t="shared" si="412"/>
        <x:v>1.089086310000001</x:v>
      </x:c>
      <x:c r="CW416" s="26">
        <x:f t="shared" si="413"/>
        <x:v>0</x:v>
      </x:c>
      <x:c r="CX416" s="26">
        <x:f t="shared" si="392"/>
        <x:v>92.04</x:v>
      </x:c>
      <x:c r="CY416" s="26">
        <x:f t="shared" si="393"/>
        <x:v>0</x:v>
      </x:c>
    </x:row>
    <x:row r="417">
      <x:c r="A417" s="18">
        <x:v>2022</x:v>
      </x:c>
      <x:c r="B417" t="s">
        <x:v>851</x:v>
      </x:c>
      <x:c r="C417" t="s">
        <x:v>852</x:v>
      </x:c>
      <x:c r="D417" t="s">
        <x:v>853</x:v>
      </x:c>
      <x:c r="E417" s="18">
        <x:v>445292</x:v>
      </x:c>
      <x:c r="F417" t="s">
        <x:v>854</x:v>
      </x:c>
      <x:c r="G417" t="s">
        <x:v>850</x:v>
      </x:c>
      <x:c r="H417" s="18">
        <x:v>3110</x:v>
      </x:c>
      <x:c r="I417" t="s">
        <x:v>505</x:v>
      </x:c>
      <x:c r="J417" t="s">
        <x:v>855</x:v>
      </x:c>
      <x:c r="K417" t="s">
        <x:v>72</x:v>
      </x:c>
      <x:c r="L417" s="18">
        <x:v>1.2</x:v>
      </x:c>
      <x:c r="M417" t="s">
        <x:v>73</x:v>
      </x:c>
      <x:c r="N417" s="18">
        <x:v>65</x:v>
      </x:c>
      <x:c r="O417" t="s">
        <x:v>88</x:v>
      </x:c>
      <x:c r="P417" s="18">
        <x:v>13</x:v>
      </x:c>
      <x:c r="Q417" s="19" t="s">
        <x:v>506</x:v>
      </x:c>
      <x:c r="R417" s="18">
        <x:v>7174.31</x:v>
      </x:c>
      <x:c r="S417" t="s">
        <x:v>76</x:v>
      </x:c>
      <x:c r="T417" s="19">
        <x:f t="shared" si="402"/>
        <x:v>7174.31</x:v>
      </x:c>
      <x:c r="U417" s="20">
        <x:v>0.24</x:v>
      </x:c>
      <x:c r="V417" t="s">
        <x:v>77</x:v>
      </x:c>
      <x:c r="W417" s="20">
        <x:v>0</x:v>
      </x:c>
      <x:c r="X417" s="21" t="n">
        <x:f>2*U417*T417*10000/1000000000</x:f>
        <x:v>0.034436688</x:v>
      </x:c>
      <x:c r="Y417" s="21" t="n">
        <x:f>1.35*T417*10000/1000000</x:f>
        <x:v>96.85318500000001</x:v>
      </x:c>
      <x:c r="Z417" s="21" t="n">
        <x:f>1.3*T417*10000/1000000</x:f>
        <x:v>93.26603000000001</x:v>
      </x:c>
      <x:c r="AA417" s="21" t="n">
        <x:f>0.03*T417*10000/1000000</x:f>
        <x:v>2.152293</x:v>
      </x:c>
      <x:c r="AB417" s="21" t="n">
        <x:f>0.03*T417*10000/1000000</x:f>
        <x:v>2.152293</x:v>
      </x:c>
      <x:c r="AC417" s="21"/>
      <x:c r="AD417" s="21"/>
      <x:c r="AE417" s="21" t="n">
        <x:f>0.05*T417*10000/1000000</x:f>
        <x:v>3.587155</x:v>
      </x:c>
      <x:c r="AF417" s="21"/>
      <x:c r="AG417" s="19" t="s">
        <x:v>215</x:v>
      </x:c>
      <x:c r="AH417" s="18">
        <x:v>8171.05</x:v>
      </x:c>
      <x:c r="AI417" t="s">
        <x:v>76</x:v>
      </x:c>
      <x:c r="AJ417" s="19" t="n">
        <x:f>AH417</x:f>
        <x:v>8171.05</x:v>
      </x:c>
      <x:c r="AK417" s="20">
        <x:v>10.483000000000001</x:v>
      </x:c>
      <x:c r="AL417" t="s">
        <x:v>77</x:v>
      </x:c>
      <x:c r="AM417" s="20">
        <x:v>0</x:v>
      </x:c>
      <x:c r="AN417" s="21" t="n">
        <x:f>2*AK417*AJ417*10000/1000000000</x:f>
        <x:v>1.713142343</x:v>
      </x:c>
      <x:c r="AO417" s="21" t="n">
        <x:f>1.35*AJ417*10000/1000000</x:f>
        <x:v>110.30917500000001</x:v>
      </x:c>
      <x:c r="AP417" s="21" t="n">
        <x:f>1.3*AJ417*10000/1000000</x:f>
        <x:v>106.22365</x:v>
      </x:c>
      <x:c r="AQ417" s="21" t="n">
        <x:f>0.03*AJ417*10000/1000000</x:f>
        <x:v>2.451315</x:v>
      </x:c>
      <x:c r="AR417" s="21" t="n">
        <x:f>0.03*AJ417*10000/1000000</x:f>
        <x:v>2.451315</x:v>
      </x:c>
      <x:c r="AS417" s="21"/>
      <x:c r="AT417" s="21"/>
      <x:c r="AU417" s="21" t="n">
        <x:f>0.05*AJ417*10000/1000000</x:f>
        <x:v>4.085525</x:v>
      </x:c>
      <x:c r="AV417" s="21"/>
      <x:c r="AW417" s="18">
        <x:v>0</x:v>
      </x:c>
      <x:c r="AX417" s="19"/>
      <x:c r="AY417" s="21"/>
      <x:c r="AZ417" s="21"/>
      <x:c r="BA417" s="21"/>
      <x:c r="BB417" s="21"/>
      <x:c r="BC417" s="21"/>
      <x:c r="BD417" s="21"/>
      <x:c r="BE417" s="21"/>
      <x:c r="BF417" s="21"/>
      <x:c r="BG417" s="21"/>
      <x:c r="BH417" t="s">
        <x:v>81</x:v>
      </x:c>
      <x:c r="BI417" s="18">
        <x:v>116</x:v>
      </x:c>
      <x:c r="BJ417" s="18">
        <x:v>29</x:v>
      </x:c>
      <x:c r="BK417" s="18">
        <x:v>53.38</x:v>
      </x:c>
      <x:c r="BL417" s="18">
        <x:v>23</x:v>
      </x:c>
      <x:c r="BM417" s="18">
        <x:v>27</x:v>
      </x:c>
      <x:c r="BN417" s="18">
        <x:v>10.55</x:v>
      </x:c>
      <x:c r="BO417" s="22">
        <x:v>116.498161111111</x:v>
      </x:c>
      <x:c r="BP417" s="22">
        <x:v>23.4529305555556</x:v>
      </x:c>
      <x:c r="BQ417" s="18">
        <x:v>45</x:v>
      </x:c>
      <x:c r="BR417" s="18">
        <x:v>45124.243999999999</x:v>
      </x:c>
      <x:c r="BS417" s="18">
        <x:v>3.2679999999999998</x:v>
      </x:c>
      <x:c r="BT417" s="18">
        <x:v>3.2679999999999998</x:v>
      </x:c>
      <x:c r="BU417" s="18">
        <x:v>70.271000000000001</x:v>
      </x:c>
      <x:c r="BV417" s="18">
        <x:v>70.271000000000001</x:v>
      </x:c>
      <x:c r="BW417" s="18">
        <x:v>8.49</x:v>
      </x:c>
      <x:c r="BX417" s="18">
        <x:v>8.49</x:v>
      </x:c>
      <x:c r="BY417" s="18">
        <x:v>2347.84</x:v>
      </x:c>
      <x:c r="BZ417" s="18">
        <x:v>2347.84</x:v>
      </x:c>
      <x:c r="CA417" s="23">
        <x:f t="shared" si="380"/>
        <x:v>1.7475790309999999</x:v>
      </x:c>
      <x:c r="CB417" s="23">
        <x:f t="shared" si="381"/>
        <x:v>207.16236000000004</x:v>
      </x:c>
      <x:c r="CC417" s="23">
        <x:f t="shared" si="382"/>
        <x:v>199.48968000000002</x:v>
      </x:c>
      <x:c r="CD417" s="23">
        <x:f t="shared" si="383"/>
        <x:v>4.6036079999999995</x:v>
      </x:c>
      <x:c r="CE417" s="23">
        <x:f t="shared" si="384"/>
        <x:v>4.6036079999999995</x:v>
      </x:c>
      <x:c r="CF417" s="23">
        <x:f t="shared" si="385"/>
        <x:v>0</x:v>
      </x:c>
      <x:c r="CG417" s="23">
        <x:f t="shared" si="386"/>
        <x:v>0</x:v>
      </x:c>
      <x:c r="CH417" s="23">
        <x:f t="shared" si="387"/>
        <x:v>7.6726799999999997</x:v>
      </x:c>
      <x:c r="CI417" s="23">
        <x:f t="shared" si="388"/>
        <x:v>0</x:v>
      </x:c>
      <x:c r="CJ417" s="24" t="s">
        <x:v>78</x:v>
      </x:c>
      <x:c r="CK417" s="25">
        <x:v>0</x:v>
      </x:c>
      <x:c r="CL417" s="26" t="s">
        <x:v>78</x:v>
      </x:c>
      <x:c r="CM417" s="26">
        <x:v>42</x:v>
      </x:c>
      <x:c r="CN417" s="27" t="s">
        <x:v>78</x:v>
      </x:c>
      <x:c r="CO417" s="27">
        <x:v>0</x:v>
      </x:c>
      <x:c r="CP417" s="27">
        <x:v>0</x:v>
      </x:c>
      <x:c r="CQ417" s="26">
        <x:f t="shared" si="389"/>
        <x:v>1.7475790309999999</x:v>
      </x:c>
      <x:c r="CR417" s="26">
        <x:f t="shared" si="390"/>
        <x:v>120.15416880000004</x:v>
      </x:c>
      <x:c r="CS417" s="26">
        <x:f t="shared" si="391"/>
        <x:v>199.48968000000002</x:v>
      </x:c>
      <x:c r="CT417" s="26">
        <x:f t="shared" si="410"/>
        <x:v>4.6036079999999995</x:v>
      </x:c>
      <x:c r="CU417" s="26">
        <x:f t="shared" si="411"/>
        <x:v>4.6036079999999995</x:v>
      </x:c>
      <x:c r="CV417" s="26">
        <x:f t="shared" si="412"/>
        <x:v>0</x:v>
      </x:c>
      <x:c r="CW417" s="26">
        <x:f t="shared" si="413"/>
        <x:v>0</x:v>
      </x:c>
      <x:c r="CX417" s="26">
        <x:f t="shared" si="392"/>
        <x:v>7.6726799999999997</x:v>
      </x:c>
      <x:c r="CY417" s="26">
        <x:f t="shared" si="393"/>
        <x:v>0</x:v>
      </x:c>
    </x:row>
    <x:row r="418">
      <x:c r="A418" s="18">
        <x:v>2022</x:v>
      </x:c>
      <x:c r="B418" t="s">
        <x:v>856</x:v>
      </x:c>
      <x:c r="C418" t="s">
        <x:v>857</x:v>
      </x:c>
      <x:c r="D418" t="s">
        <x:v>858</x:v>
      </x:c>
      <x:c r="E418" s="18">
        <x:v>445294</x:v>
      </x:c>
      <x:c r="F418" t="s">
        <x:v>859</x:v>
      </x:c>
      <x:c r="G418" t="s">
        <x:v>850</x:v>
      </x:c>
      <x:c r="H418" s="18">
        <x:v>2511</x:v>
      </x:c>
      <x:c r="I418" t="s">
        <x:v>119</x:v>
      </x:c>
      <x:c r="J418" t="s">
        <x:v>435</x:v>
      </x:c>
      <x:c r="K418" t="s">
        <x:v>72</x:v>
      </x:c>
      <x:c r="L418" s="18">
        <x:v>3</x:v>
      </x:c>
      <x:c r="M418" t="s">
        <x:v>73</x:v>
      </x:c>
      <x:c r="N418" s="18">
        <x:v>450</x:v>
      </x:c>
      <x:c r="O418" t="s">
        <x:v>88</x:v>
      </x:c>
      <x:c r="P418" s="18">
        <x:v>15</x:v>
      </x:c>
      <x:c r="Q418" s="19" t="s">
        <x:v>96</x:v>
      </x:c>
      <x:c r="R418" s="18">
        <x:v>3581.1840000000002</x:v>
      </x:c>
      <x:c r="S418" t="s">
        <x:v>76</x:v>
      </x:c>
      <x:c r="T418" s="19" t="n">
        <x:f t="shared" ref="T418:T421" si="414">R418</x:f>
        <x:v>3581.184</x:v>
      </x:c>
      <x:c r="U418" s="19">
        <x:v>12.72</x:v>
      </x:c>
      <x:c r="V418" t="s">
        <x:v>77</x:v>
      </x:c>
      <x:c r="W418" s="20">
        <x:v>0</x:v>
      </x:c>
      <x:c r="X418" s="21" t="n">
        <x:f>2*U418*T418*10000/1000000000</x:f>
        <x:v>0.9110532096000001</x:v>
      </x:c>
      <x:c r="Y418" s="21" t="n">
        <x:f>4.1*T418*10000/1000000</x:f>
        <x:v>146.828544</x:v>
      </x:c>
      <x:c r="Z418" s="21" t="n">
        <x:f>1.3*T418*10000/1000000</x:f>
        <x:v>46.555392</x:v>
      </x:c>
      <x:c r="AA418" s="21" t="n">
        <x:f>0.03*T418*10000/1000000</x:f>
        <x:v>1.0743551999999998</x:v>
      </x:c>
      <x:c r="AB418" s="21" t="n">
        <x:f>0.03*T418*10000/1000000</x:f>
        <x:v>1.0743551999999998</x:v>
      </x:c>
      <x:c r="AC418" s="21"/>
      <x:c r="AD418" s="21"/>
      <x:c r="AE418" s="21" t="n">
        <x:f>0.02*T418*10000/1000000</x:f>
        <x:v>0.7162368</x:v>
      </x:c>
      <x:c r="AF418" s="21"/>
      <x:c r="AG418" s="19" t="s">
        <x:v>860</x:v>
      </x:c>
      <x:c r="AH418" s="18">
        <x:v>1941.5319999999999</x:v>
      </x:c>
      <x:c r="AI418" t="s">
        <x:v>575</x:v>
      </x:c>
      <x:c r="AJ418" s="19" t="n">
        <x:f>AH418/12.143</x:f>
        <x:v>159.8889895412995</x:v>
      </x:c>
      <x:c r="AK418" s="20">
        <x:v>0</x:v>
      </x:c>
      <x:c r="AL418" t="s">
        <x:v>113</x:v>
      </x:c>
      <x:c r="AM418" s="20">
        <x:v>0</x:v>
      </x:c>
      <x:c r="AN418" s="21" t="n">
        <x:f>2*AK418*AJ418*10000/1000000000</x:f>
        <x:v>0</x:v>
      </x:c>
      <x:c r="AO418" s="21" t="n">
        <x:f>1.35*AJ418*10000/1000000</x:f>
        <x:v>2.1585013588075435</x:v>
      </x:c>
      <x:c r="AP418" s="21" t="n">
        <x:f>1.3*AJ418*10000/1000000</x:f>
        <x:v>2.078556864036894</x:v>
      </x:c>
      <x:c r="AQ418" s="21" t="n">
        <x:f>0.03*AJ418*10000/1000000</x:f>
        <x:v>0.04796669686238985</x:v>
      </x:c>
      <x:c r="AR418" s="21" t="n">
        <x:f>0.03*AJ418*10000/1000000</x:f>
        <x:v>0.04796669686238985</x:v>
      </x:c>
      <x:c r="AS418" s="21"/>
      <x:c r="AT418" s="21"/>
      <x:c r="AU418" s="21" t="n">
        <x:f>0.05*AJ418*10000/1000000</x:f>
        <x:v>0.07994449477064974</x:v>
      </x:c>
      <x:c r="AV418" s="21"/>
      <x:c r="AW418" t="s">
        <x:v>78</x:v>
      </x:c>
      <x:c r="AX418" s="19"/>
      <x:c r="AY418" s="21"/>
      <x:c r="AZ418" s="21"/>
      <x:c r="BA418" s="21"/>
      <x:c r="BB418" s="21"/>
      <x:c r="BC418" s="21"/>
      <x:c r="BD418" s="21"/>
      <x:c r="BE418" s="21"/>
      <x:c r="BF418" s="21"/>
      <x:c r="BG418" s="21"/>
      <x:c r="BH418" t="s">
        <x:v>81</x:v>
      </x:c>
      <x:c r="BI418" s="18">
        <x:v>116</x:v>
      </x:c>
      <x:c r="BJ418" s="18">
        <x:v>13</x:v>
      </x:c>
      <x:c r="BK418" s="18">
        <x:v>1.06</x:v>
      </x:c>
      <x:c r="BL418" s="18">
        <x:v>22</x:v>
      </x:c>
      <x:c r="BM418" s="18">
        <x:v>56</x:v>
      </x:c>
      <x:c r="BN418" s="18">
        <x:v>38.08</x:v>
      </x:c>
      <x:c r="BO418" s="22">
        <x:v>116.216961111111</x:v>
      </x:c>
      <x:c r="BP418" s="22">
        <x:v>22.943911111111099</x:v>
      </x:c>
      <x:c r="BQ418" s="18">
        <x:v>150</x:v>
      </x:c>
      <x:c r="BR418" s="18">
        <x:v>87918.077000000005</x:v>
      </x:c>
      <x:c r="BS418" s="18">
        <x:v>0</x:v>
      </x:c>
      <x:c r="BT418" s="18">
        <x:v>0</x:v>
      </x:c>
      <x:c r="BU418" s="18">
        <x:v>45.481000000000002</x:v>
      </x:c>
      <x:c r="BV418" s="18">
        <x:v>15.917999999999999</x:v>
      </x:c>
      <x:c r="BW418" s="18">
        <x:v>3.6989999999999998</x:v>
      </x:c>
      <x:c r="BX418" s="18">
        <x:v>3.6989999999999998</x:v>
      </x:c>
      <x:c r="BY418" s="18">
        <x:v>6893.9620000000004</x:v>
      </x:c>
      <x:c r="BZ418" s="18">
        <x:v>6893.9620000000004</x:v>
      </x:c>
      <x:c r="CA418" s="23">
        <x:f t="shared" si="380"/>
        <x:v>0.91105320960000014</x:v>
      </x:c>
      <x:c r="CB418" s="23">
        <x:f t="shared" si="381"/>
        <x:v>148.98704535880753</x:v>
      </x:c>
      <x:c r="CC418" s="23">
        <x:f t="shared" si="382"/>
        <x:v>48.633948864036888</x:v>
      </x:c>
      <x:c r="CD418" s="23">
        <x:f t="shared" si="383"/>
        <x:v>1.1223218968623896</x:v>
      </x:c>
      <x:c r="CE418" s="23">
        <x:f t="shared" si="384"/>
        <x:v>1.1223218968623896</x:v>
      </x:c>
      <x:c r="CF418" s="23">
        <x:f t="shared" si="385"/>
        <x:v>0</x:v>
      </x:c>
      <x:c r="CG418" s="23">
        <x:f t="shared" si="386"/>
        <x:v>0</x:v>
      </x:c>
      <x:c r="CH418" s="23">
        <x:f t="shared" si="387"/>
        <x:v>0.79618129477064969</x:v>
      </x:c>
      <x:c r="CI418" s="23">
        <x:f t="shared" si="388"/>
        <x:v>0</x:v>
      </x:c>
      <x:c r="CJ418" s="24" t="s">
        <x:v>78</x:v>
      </x:c>
      <x:c r="CK418" s="25">
        <x:v>0</x:v>
      </x:c>
      <x:c r="CL418" s="26" t="s">
        <x:v>104</x:v>
      </x:c>
      <x:c r="CM418" s="28">
        <x:v>65</x:v>
      </x:c>
      <x:c r="CN418" s="27" t="s">
        <x:v>78</x:v>
      </x:c>
      <x:c r="CO418" s="27">
        <x:v>0</x:v>
      </x:c>
      <x:c r="CP418" s="27">
        <x:v>0</x:v>
      </x:c>
      <x:c r="CQ418" s="26">
        <x:f t="shared" si="389"/>
        <x:v>0.91105320960000014</x:v>
      </x:c>
      <x:c r="CR418" s="26">
        <x:f t="shared" si="390"/>
        <x:v>52.145465875582637</x:v>
      </x:c>
      <x:c r="CS418" s="26">
        <x:f t="shared" si="391"/>
        <x:v>48.633948864036888</x:v>
      </x:c>
      <x:c r="CT418" s="26">
        <x:f t="shared" si="410"/>
        <x:v>1.1223218968623896</x:v>
      </x:c>
      <x:c r="CU418" s="26">
        <x:f t="shared" si="411"/>
        <x:v>1.1223218968623896</x:v>
      </x:c>
      <x:c r="CV418" s="26">
        <x:f t="shared" si="412"/>
        <x:v>0</x:v>
      </x:c>
      <x:c r="CW418" s="26">
        <x:f t="shared" si="413"/>
        <x:v>0</x:v>
      </x:c>
      <x:c r="CX418" s="26">
        <x:f t="shared" si="392"/>
        <x:v>0.79618129477064969</x:v>
      </x:c>
      <x:c r="CY418" s="26">
        <x:f t="shared" si="393"/>
        <x:v>0</x:v>
      </x:c>
    </x:row>
    <x:row r="419">
      <x:c r="A419" s="18">
        <x:v>2022</x:v>
      </x:c>
      <x:c r="B419" t="s">
        <x:v>856</x:v>
      </x:c>
      <x:c r="C419" t="s">
        <x:v>857</x:v>
      </x:c>
      <x:c r="D419" t="s">
        <x:v>858</x:v>
      </x:c>
      <x:c r="E419" s="18">
        <x:v>445294</x:v>
      </x:c>
      <x:c r="F419" t="s">
        <x:v>859</x:v>
      </x:c>
      <x:c r="G419" t="s">
        <x:v>850</x:v>
      </x:c>
      <x:c r="H419" s="18">
        <x:v>2511</x:v>
      </x:c>
      <x:c r="I419" t="s">
        <x:v>119</x:v>
      </x:c>
      <x:c r="J419" t="s">
        <x:v>435</x:v>
      </x:c>
      <x:c r="K419" t="s">
        <x:v>72</x:v>
      </x:c>
      <x:c r="L419" s="18">
        <x:v>3</x:v>
      </x:c>
      <x:c r="M419" t="s">
        <x:v>73</x:v>
      </x:c>
      <x:c r="N419" s="18">
        <x:v>450</x:v>
      </x:c>
      <x:c r="O419" t="s">
        <x:v>88</x:v>
      </x:c>
      <x:c r="P419" s="18">
        <x:v>15</x:v>
      </x:c>
      <x:c r="Q419" s="19" t="s">
        <x:v>96</x:v>
      </x:c>
      <x:c r="R419" s="18">
        <x:v>4392.3069999999998</x:v>
      </x:c>
      <x:c r="S419" t="s">
        <x:v>76</x:v>
      </x:c>
      <x:c r="T419" s="19">
        <x:f t="shared" si="414"/>
        <x:v>4392.3069999999998</x:v>
      </x:c>
      <x:c r="U419" s="19">
        <x:v>12.72</x:v>
      </x:c>
      <x:c r="V419" t="s">
        <x:v>77</x:v>
      </x:c>
      <x:c r="W419" s="20">
        <x:v>0</x:v>
      </x:c>
      <x:c r="X419" s="21" t="n">
        <x:f>2*U419*T419*10000/1000000000</x:f>
        <x:v>1.1174029008</x:v>
      </x:c>
      <x:c r="Y419" s="21" t="n">
        <x:f>4.1*T419*10000/1000000</x:f>
        <x:v>180.084587</x:v>
      </x:c>
      <x:c r="Z419" s="21" t="n">
        <x:f>1.3*T419*10000/1000000</x:f>
        <x:v>57.099991</x:v>
      </x:c>
      <x:c r="AA419" s="21" t="n">
        <x:f>0.03*T419*10000/1000000</x:f>
        <x:v>1.3176921</x:v>
      </x:c>
      <x:c r="AB419" s="21" t="n">
        <x:f>0.03*T419*10000/1000000</x:f>
        <x:v>1.3176921</x:v>
      </x:c>
      <x:c r="AC419" s="21"/>
      <x:c r="AD419" s="21"/>
      <x:c r="AE419" s="21" t="n">
        <x:f>0.02*T419*10000/1000000</x:f>
        <x:v>0.8784614</x:v>
      </x:c>
      <x:c r="AF419" s="21"/>
      <x:c r="AG419" s="19" t="s">
        <x:v>860</x:v>
      </x:c>
      <x:c r="AH419" s="18">
        <x:v>7188.6120000000001</x:v>
      </x:c>
      <x:c r="AI419" t="s">
        <x:v>575</x:v>
      </x:c>
      <x:c r="AJ419" s="19" t="n">
        <x:f t="shared" ref="AJ419:AJ421" si="415">AH419/12.143</x:f>
        <x:v>591.9963765132175</x:v>
      </x:c>
      <x:c r="AK419" s="20">
        <x:v>0</x:v>
      </x:c>
      <x:c r="AL419" t="s">
        <x:v>113</x:v>
      </x:c>
      <x:c r="AM419" s="20">
        <x:v>0</x:v>
      </x:c>
      <x:c r="AN419" s="21" t="n">
        <x:f>2*AK419*AJ419*10000/1000000000</x:f>
        <x:v>0</x:v>
      </x:c>
      <x:c r="AO419" s="21" t="n">
        <x:f t="shared" ref="AO419:AO421" si="416">1.35*AJ419*10000/1000000</x:f>
        <x:v>7.991951082928437</x:v>
      </x:c>
      <x:c r="AP419" s="21" t="n">
        <x:f t="shared" ref="AP419:AP421" si="417">1.3*AJ419*10000/1000000</x:f>
        <x:v>7.695952894671827</x:v>
      </x:c>
      <x:c r="AQ419" s="21" t="n">
        <x:f>0.03*AJ419*10000/1000000</x:f>
        <x:v>0.17759891295396524</x:v>
      </x:c>
      <x:c r="AR419" s="21" t="n">
        <x:f t="shared" ref="AR419:AR421" si="418">0.03*AJ419*10000/1000000</x:f>
        <x:v>0.17759891295396524</x:v>
      </x:c>
      <x:c r="AS419" s="21"/>
      <x:c r="AT419" s="21"/>
      <x:c r="AU419" s="21" t="n">
        <x:f t="shared" ref="AU419:AU421" si="419">0.05*AJ419*10000/1000000</x:f>
        <x:v>0.29599818825660873</x:v>
      </x:c>
      <x:c r="AV419" s="21"/>
      <x:c r="AW419" t="s">
        <x:v>78</x:v>
      </x:c>
      <x:c r="AX419" s="19"/>
      <x:c r="AY419" s="21"/>
      <x:c r="AZ419" s="21"/>
      <x:c r="BA419" s="21"/>
      <x:c r="BB419" s="21"/>
      <x:c r="BC419" s="21"/>
      <x:c r="BD419" s="21"/>
      <x:c r="BE419" s="21"/>
      <x:c r="BF419" s="21"/>
      <x:c r="BG419" s="21"/>
      <x:c r="BH419" t="s">
        <x:v>81</x:v>
      </x:c>
      <x:c r="BI419" s="18">
        <x:v>116</x:v>
      </x:c>
      <x:c r="BJ419" s="18">
        <x:v>13</x:v>
      </x:c>
      <x:c r="BK419" s="18">
        <x:v>1.06</x:v>
      </x:c>
      <x:c r="BL419" s="18">
        <x:v>22</x:v>
      </x:c>
      <x:c r="BM419" s="18">
        <x:v>56</x:v>
      </x:c>
      <x:c r="BN419" s="18">
        <x:v>38.08</x:v>
      </x:c>
      <x:c r="BO419" s="22">
        <x:v>116.216961111111</x:v>
      </x:c>
      <x:c r="BP419" s="22">
        <x:v>22.943911111111099</x:v>
      </x:c>
      <x:c r="BQ419" s="18">
        <x:v>150</x:v>
      </x:c>
      <x:c r="BR419" s="18">
        <x:v>107831.136</x:v>
      </x:c>
      <x:c r="BS419" s="18">
        <x:v>0</x:v>
      </x:c>
      <x:c r="BT419" s="18">
        <x:v>0</x:v>
      </x:c>
      <x:c r="BU419" s="18">
        <x:v>55.781999999999996</x:v>
      </x:c>
      <x:c r="BV419" s="18">
        <x:v>19.524000000000001</x:v>
      </x:c>
      <x:c r="BW419" s="18">
        <x:v>4.5369999999999999</x:v>
      </x:c>
      <x:c r="BX419" s="18">
        <x:v>4.5369999999999999</x:v>
      </x:c>
      <x:c r="BY419" s="18">
        <x:v>10628.328</x:v>
      </x:c>
      <x:c r="BZ419" s="18">
        <x:v>10628.328</x:v>
      </x:c>
      <x:c r="CA419" s="23">
        <x:f t="shared" si="380"/>
        <x:v>1.1174029007999999</x:v>
      </x:c>
      <x:c r="CB419" s="23">
        <x:f t="shared" si="381"/>
        <x:v>188.07653808292844</x:v>
      </x:c>
      <x:c r="CC419" s="23">
        <x:f t="shared" si="382"/>
        <x:v>64.795943894671836</x:v>
      </x:c>
      <x:c r="CD419" s="23">
        <x:f t="shared" si="383"/>
        <x:v>1.4952910129539652</x:v>
      </x:c>
      <x:c r="CE419" s="23">
        <x:f t="shared" si="384"/>
        <x:v>1.4952910129539652</x:v>
      </x:c>
      <x:c r="CF419" s="23">
        <x:f t="shared" si="385"/>
        <x:v>0</x:v>
      </x:c>
      <x:c r="CG419" s="23">
        <x:f t="shared" si="386"/>
        <x:v>0</x:v>
      </x:c>
      <x:c r="CH419" s="23">
        <x:f t="shared" si="387"/>
        <x:v>1.1744595882566087</x:v>
      </x:c>
      <x:c r="CI419" s="23">
        <x:f t="shared" si="388"/>
        <x:v>0</x:v>
      </x:c>
      <x:c r="CJ419" s="24" t="s">
        <x:v>78</x:v>
      </x:c>
      <x:c r="CK419" s="25">
        <x:v>0</x:v>
      </x:c>
      <x:c r="CL419" s="26" t="s">
        <x:v>104</x:v>
      </x:c>
      <x:c r="CM419" s="28">
        <x:v>65</x:v>
      </x:c>
      <x:c r="CN419" s="27" t="s">
        <x:v>78</x:v>
      </x:c>
      <x:c r="CO419" s="27">
        <x:v>0</x:v>
      </x:c>
      <x:c r="CP419" s="27">
        <x:v>0</x:v>
      </x:c>
      <x:c r="CQ419" s="26">
        <x:f t="shared" si="389"/>
        <x:v>1.1174029007999999</x:v>
      </x:c>
      <x:c r="CR419" s="26">
        <x:f t="shared" si="390"/>
        <x:v>65.82678832902495</x:v>
      </x:c>
      <x:c r="CS419" s="26">
        <x:f t="shared" si="391"/>
        <x:v>64.795943894671836</x:v>
      </x:c>
      <x:c r="CT419" s="26">
        <x:f t="shared" si="410"/>
        <x:v>1.4952910129539652</x:v>
      </x:c>
      <x:c r="CU419" s="26">
        <x:f t="shared" si="411"/>
        <x:v>1.4952910129539652</x:v>
      </x:c>
      <x:c r="CV419" s="26">
        <x:f t="shared" si="412"/>
        <x:v>0</x:v>
      </x:c>
      <x:c r="CW419" s="26">
        <x:f t="shared" si="413"/>
        <x:v>0</x:v>
      </x:c>
      <x:c r="CX419" s="26">
        <x:f t="shared" si="392"/>
        <x:v>1.1744595882566087</x:v>
      </x:c>
      <x:c r="CY419" s="26">
        <x:f t="shared" si="393"/>
        <x:v>0</x:v>
      </x:c>
    </x:row>
    <x:row r="420">
      <x:c r="A420" s="18">
        <x:v>2022</x:v>
      </x:c>
      <x:c r="B420" t="s">
        <x:v>856</x:v>
      </x:c>
      <x:c r="C420" t="s">
        <x:v>857</x:v>
      </x:c>
      <x:c r="D420" t="s">
        <x:v>858</x:v>
      </x:c>
      <x:c r="E420" s="18">
        <x:v>445294</x:v>
      </x:c>
      <x:c r="F420" t="s">
        <x:v>859</x:v>
      </x:c>
      <x:c r="G420" t="s">
        <x:v>850</x:v>
      </x:c>
      <x:c r="H420" s="18">
        <x:v>2511</x:v>
      </x:c>
      <x:c r="I420" t="s">
        <x:v>119</x:v>
      </x:c>
      <x:c r="J420" t="s">
        <x:v>435</x:v>
      </x:c>
      <x:c r="K420" t="s">
        <x:v>72</x:v>
      </x:c>
      <x:c r="L420" s="18">
        <x:v>3</x:v>
      </x:c>
      <x:c r="M420" t="s">
        <x:v>73</x:v>
      </x:c>
      <x:c r="N420" s="18">
        <x:v>450</x:v>
      </x:c>
      <x:c r="O420" t="s">
        <x:v>88</x:v>
      </x:c>
      <x:c r="P420" s="18">
        <x:v>15</x:v>
      </x:c>
      <x:c r="Q420" s="19" t="s">
        <x:v>96</x:v>
      </x:c>
      <x:c r="R420" s="18">
        <x:v>5743.8609999999999</x:v>
      </x:c>
      <x:c r="S420" t="s">
        <x:v>76</x:v>
      </x:c>
      <x:c r="T420" s="19">
        <x:f t="shared" si="414"/>
        <x:v>5743.8609999999999</x:v>
      </x:c>
      <x:c r="U420" s="19">
        <x:v>12.72</x:v>
      </x:c>
      <x:c r="V420" t="s">
        <x:v>77</x:v>
      </x:c>
      <x:c r="W420" s="20">
        <x:v>0</x:v>
      </x:c>
      <x:c r="X420" s="21" t="n">
        <x:f>2*U420*T420*10000/1000000000</x:f>
        <x:v>1.4612382383999998</x:v>
      </x:c>
      <x:c r="Y420" s="21" t="n">
        <x:f>4.1*T420*10000/1000000</x:f>
        <x:v>235.498301</x:v>
      </x:c>
      <x:c r="Z420" s="21" t="n">
        <x:f>1.3*T420*10000/1000000</x:f>
        <x:v>74.670193</x:v>
      </x:c>
      <x:c r="AA420" s="21" t="n">
        <x:f>0.03*T420*10000/1000000</x:f>
        <x:v>1.7231583</x:v>
      </x:c>
      <x:c r="AB420" s="21" t="n">
        <x:f>0.03*T420*10000/1000000</x:f>
        <x:v>1.7231583</x:v>
      </x:c>
      <x:c r="AC420" s="21"/>
      <x:c r="AD420" s="21"/>
      <x:c r="AE420" s="21" t="n">
        <x:f>0.02*T420*10000/1000000</x:f>
        <x:v>1.1487722</x:v>
      </x:c>
      <x:c r="AF420" s="21"/>
      <x:c r="AG420" s="19" t="s">
        <x:v>860</x:v>
      </x:c>
      <x:c r="AH420" s="18">
        <x:v>4696.5770000000002</x:v>
      </x:c>
      <x:c r="AI420" t="s">
        <x:v>575</x:v>
      </x:c>
      <x:c r="AJ420" s="19">
        <x:f t="shared" si="415"/>
        <x:v>386.77237914848058</x:v>
      </x:c>
      <x:c r="AK420" s="20">
        <x:v>0</x:v>
      </x:c>
      <x:c r="AL420" t="s">
        <x:v>113</x:v>
      </x:c>
      <x:c r="AM420" s="20">
        <x:v>0</x:v>
      </x:c>
      <x:c r="AN420" s="21" t="n">
        <x:f>2*AK420*AJ420*10000/1000000000</x:f>
        <x:v>0</x:v>
      </x:c>
      <x:c r="AO420" s="21">
        <x:f t="shared" si="416"/>
        <x:v>5.2214271185044883</x:v>
      </x:c>
      <x:c r="AP420" s="21">
        <x:f t="shared" si="417"/>
        <x:v>5.0280409289302481</x:v>
      </x:c>
      <x:c r="AQ420" s="21" t="n">
        <x:f>0.03*AJ420*10000/1000000</x:f>
        <x:v>0.11603171374454417</x:v>
      </x:c>
      <x:c r="AR420" s="21">
        <x:f t="shared" si="418"/>
        <x:v>0.11603171374454417</x:v>
      </x:c>
      <x:c r="AS420" s="21"/>
      <x:c r="AT420" s="21"/>
      <x:c r="AU420" s="21">
        <x:f t="shared" si="419"/>
        <x:v>0.19338618957424034</x:v>
      </x:c>
      <x:c r="AV420" s="21"/>
      <x:c r="AW420" t="s">
        <x:v>78</x:v>
      </x:c>
      <x:c r="AX420" s="19"/>
      <x:c r="AY420" s="21"/>
      <x:c r="AZ420" s="21"/>
      <x:c r="BA420" s="21"/>
      <x:c r="BB420" s="21"/>
      <x:c r="BC420" s="21"/>
      <x:c r="BD420" s="21"/>
      <x:c r="BE420" s="21"/>
      <x:c r="BF420" s="21"/>
      <x:c r="BG420" s="21"/>
      <x:c r="BH420" t="s">
        <x:v>81</x:v>
      </x:c>
      <x:c r="BI420" s="18">
        <x:v>116</x:v>
      </x:c>
      <x:c r="BJ420" s="18">
        <x:v>13</x:v>
      </x:c>
      <x:c r="BK420" s="18">
        <x:v>1.06</x:v>
      </x:c>
      <x:c r="BL420" s="18">
        <x:v>22</x:v>
      </x:c>
      <x:c r="BM420" s="18">
        <x:v>56</x:v>
      </x:c>
      <x:c r="BN420" s="18">
        <x:v>38.08</x:v>
      </x:c>
      <x:c r="BO420" s="22">
        <x:v>116.216961111111</x:v>
      </x:c>
      <x:c r="BP420" s="22">
        <x:v>22.943911111111099</x:v>
      </x:c>
      <x:c r="BQ420" s="18">
        <x:v>150</x:v>
      </x:c>
      <x:c r="BR420" s="18">
        <x:v>141011.78700000001</x:v>
      </x:c>
      <x:c r="BS420" s="18">
        <x:v>0</x:v>
      </x:c>
      <x:c r="BT420" s="18">
        <x:v>0</x:v>
      </x:c>
      <x:c r="BU420" s="18">
        <x:v>72.947000000000003</x:v>
      </x:c>
      <x:c r="BV420" s="18">
        <x:v>25.530999999999999</x:v>
      </x:c>
      <x:c r="BW420" s="18">
        <x:v>5.9290000000000003</x:v>
      </x:c>
      <x:c r="BX420" s="18">
        <x:v>5.9290000000000003</x:v>
      </x:c>
      <x:c r="BY420" s="18">
        <x:v>11772.539000000001</x:v>
      </x:c>
      <x:c r="BZ420" s="18">
        <x:v>11772.539000000001</x:v>
      </x:c>
      <x:c r="CA420" s="23">
        <x:f t="shared" si="380"/>
        <x:v>1.4612382383999998</x:v>
      </x:c>
      <x:c r="CB420" s="23">
        <x:f t="shared" si="381"/>
        <x:v>240.71972811850449</x:v>
      </x:c>
      <x:c r="CC420" s="23">
        <x:f t="shared" si="382"/>
        <x:v>79.69823392893025</x:v>
      </x:c>
      <x:c r="CD420" s="23">
        <x:f t="shared" si="383"/>
        <x:v>1.839190013744544</x:v>
      </x:c>
      <x:c r="CE420" s="23">
        <x:f t="shared" si="384"/>
        <x:v>1.839190013744544</x:v>
      </x:c>
      <x:c r="CF420" s="23">
        <x:f t="shared" si="385"/>
        <x:v>0</x:v>
      </x:c>
      <x:c r="CG420" s="23">
        <x:f t="shared" si="386"/>
        <x:v>0</x:v>
      </x:c>
      <x:c r="CH420" s="23">
        <x:f t="shared" si="387"/>
        <x:v>1.3421583895742404</x:v>
      </x:c>
      <x:c r="CI420" s="23">
        <x:f t="shared" si="388"/>
        <x:v>0</x:v>
      </x:c>
      <x:c r="CJ420" s="24" t="s">
        <x:v>78</x:v>
      </x:c>
      <x:c r="CK420" s="25">
        <x:v>0</x:v>
      </x:c>
      <x:c r="CL420" s="26" t="s">
        <x:v>104</x:v>
      </x:c>
      <x:c r="CM420" s="28">
        <x:v>65</x:v>
      </x:c>
      <x:c r="CN420" s="27" t="s">
        <x:v>78</x:v>
      </x:c>
      <x:c r="CO420" s="27">
        <x:v>0</x:v>
      </x:c>
      <x:c r="CP420" s="27">
        <x:v>0</x:v>
      </x:c>
      <x:c r="CQ420" s="26">
        <x:f t="shared" si="389"/>
        <x:v>1.4612382383999998</x:v>
      </x:c>
      <x:c r="CR420" s="26">
        <x:f t="shared" si="390"/>
        <x:v>84.251904841476573</x:v>
      </x:c>
      <x:c r="CS420" s="26">
        <x:f t="shared" si="391"/>
        <x:v>79.69823392893025</x:v>
      </x:c>
      <x:c r="CT420" s="26">
        <x:f t="shared" si="410"/>
        <x:v>1.839190013744544</x:v>
      </x:c>
      <x:c r="CU420" s="26">
        <x:f t="shared" si="411"/>
        <x:v>1.839190013744544</x:v>
      </x:c>
      <x:c r="CV420" s="26">
        <x:f t="shared" si="412"/>
        <x:v>0</x:v>
      </x:c>
      <x:c r="CW420" s="26">
        <x:f t="shared" si="413"/>
        <x:v>0</x:v>
      </x:c>
      <x:c r="CX420" s="26">
        <x:f t="shared" si="392"/>
        <x:v>1.3421583895742404</x:v>
      </x:c>
      <x:c r="CY420" s="26">
        <x:f t="shared" si="393"/>
        <x:v>0</x:v>
      </x:c>
    </x:row>
    <x:row r="421">
      <x:c r="A421" s="18">
        <x:v>2022</x:v>
      </x:c>
      <x:c r="B421" t="s">
        <x:v>856</x:v>
      </x:c>
      <x:c r="C421" t="s">
        <x:v>857</x:v>
      </x:c>
      <x:c r="D421" t="s">
        <x:v>858</x:v>
      </x:c>
      <x:c r="E421" s="18">
        <x:v>445294</x:v>
      </x:c>
      <x:c r="F421" t="s">
        <x:v>859</x:v>
      </x:c>
      <x:c r="G421" t="s">
        <x:v>850</x:v>
      </x:c>
      <x:c r="H421" s="18">
        <x:v>2511</x:v>
      </x:c>
      <x:c r="I421" t="s">
        <x:v>119</x:v>
      </x:c>
      <x:c r="J421" t="s">
        <x:v>435</x:v>
      </x:c>
      <x:c r="K421" t="s">
        <x:v>72</x:v>
      </x:c>
      <x:c r="L421" s="18">
        <x:v>3</x:v>
      </x:c>
      <x:c r="M421" t="s">
        <x:v>73</x:v>
      </x:c>
      <x:c r="N421" s="18">
        <x:v>450</x:v>
      </x:c>
      <x:c r="O421" t="s">
        <x:v>88</x:v>
      </x:c>
      <x:c r="P421" s="18">
        <x:v>15</x:v>
      </x:c>
      <x:c r="Q421" s="19" t="s">
        <x:v>96</x:v>
      </x:c>
      <x:c r="R421" s="18">
        <x:v>4838.6490000000003</x:v>
      </x:c>
      <x:c r="S421" t="s">
        <x:v>76</x:v>
      </x:c>
      <x:c r="T421" s="19">
        <x:f t="shared" si="414"/>
        <x:v>4838.6490000000003</x:v>
      </x:c>
      <x:c r="U421" s="19">
        <x:v>12.72</x:v>
      </x:c>
      <x:c r="V421" t="s">
        <x:v>77</x:v>
      </x:c>
      <x:c r="W421" s="20">
        <x:v>0</x:v>
      </x:c>
      <x:c r="X421" s="21" t="n">
        <x:f>2*U421*T421*10000/1000000000</x:f>
        <x:v>1.2309523056000002</x:v>
      </x:c>
      <x:c r="Y421" s="21" t="n">
        <x:f>4.1*T421*10000/1000000</x:f>
        <x:v>198.38460899999998</x:v>
      </x:c>
      <x:c r="Z421" s="21" t="n">
        <x:f>1.3*T421*10000/1000000</x:f>
        <x:v>62.902437000000006</x:v>
      </x:c>
      <x:c r="AA421" s="21" t="n">
        <x:f>0.03*T421*10000/1000000</x:f>
        <x:v>1.4515947</x:v>
      </x:c>
      <x:c r="AB421" s="21" t="n">
        <x:f>0.03*T421*10000/1000000</x:f>
        <x:v>1.4515947</x:v>
      </x:c>
      <x:c r="AC421" s="21"/>
      <x:c r="AD421" s="21"/>
      <x:c r="AE421" s="21" t="n">
        <x:f>0.02*T421*10000/1000000</x:f>
        <x:v>0.9677298000000001</x:v>
      </x:c>
      <x:c r="AF421" s="21"/>
      <x:c r="AG421" s="19" t="s">
        <x:v>860</x:v>
      </x:c>
      <x:c r="AH421" s="18">
        <x:v>11720.474</x:v>
      </x:c>
      <x:c r="AI421" t="s">
        <x:v>575</x:v>
      </x:c>
      <x:c r="AJ421" s="19">
        <x:f t="shared" si="415"/>
        <x:v>965.20415053940542</x:v>
      </x:c>
      <x:c r="AK421" s="20">
        <x:v>0</x:v>
      </x:c>
      <x:c r="AL421" t="s">
        <x:v>113</x:v>
      </x:c>
      <x:c r="AM421" s="20">
        <x:v>0</x:v>
      </x:c>
      <x:c r="AN421" s="21" t="n">
        <x:f>2*AK421*AJ421*10000/1000000000</x:f>
        <x:v>0</x:v>
      </x:c>
      <x:c r="AO421" s="21">
        <x:f t="shared" si="416"/>
        <x:v>13.030256032281974</x:v>
      </x:c>
      <x:c r="AP421" s="21">
        <x:f t="shared" si="417"/>
        <x:v>12.547653957012271</x:v>
      </x:c>
      <x:c r="AQ421" s="21" t="n">
        <x:f>0.03*AJ421*10000/1000000</x:f>
        <x:v>0.2895612451618216</x:v>
      </x:c>
      <x:c r="AR421" s="21">
        <x:f t="shared" si="418"/>
        <x:v>0.28956124516182158</x:v>
      </x:c>
      <x:c r="AS421" s="21"/>
      <x:c r="AT421" s="21"/>
      <x:c r="AU421" s="21">
        <x:f t="shared" si="419"/>
        <x:v>0.48260207526970278</x:v>
      </x:c>
      <x:c r="AV421" s="21"/>
      <x:c r="AW421" t="s">
        <x:v>78</x:v>
      </x:c>
      <x:c r="AX421" s="19"/>
      <x:c r="AY421" s="21"/>
      <x:c r="AZ421" s="21"/>
      <x:c r="BA421" s="21"/>
      <x:c r="BB421" s="21"/>
      <x:c r="BC421" s="21"/>
      <x:c r="BD421" s="21"/>
      <x:c r="BE421" s="21"/>
      <x:c r="BF421" s="21"/>
      <x:c r="BG421" s="21"/>
      <x:c r="BH421" t="s">
        <x:v>81</x:v>
      </x:c>
      <x:c r="BI421" s="18">
        <x:v>116</x:v>
      </x:c>
      <x:c r="BJ421" s="18">
        <x:v>13</x:v>
      </x:c>
      <x:c r="BK421" s="18">
        <x:v>1.06</x:v>
      </x:c>
      <x:c r="BL421" s="18">
        <x:v>22</x:v>
      </x:c>
      <x:c r="BM421" s="18">
        <x:v>56</x:v>
      </x:c>
      <x:c r="BN421" s="18">
        <x:v>38.08</x:v>
      </x:c>
      <x:c r="BO421" s="22">
        <x:v>116.216961111111</x:v>
      </x:c>
      <x:c r="BP421" s="22">
        <x:v>22.943911111111099</x:v>
      </x:c>
      <x:c r="BQ421" s="18">
        <x:v>150</x:v>
      </x:c>
      <x:c r="BR421" s="18">
        <x:v>118788.837</x:v>
      </x:c>
      <x:c r="BS421" s="18">
        <x:v>0</x:v>
      </x:c>
      <x:c r="BT421" s="18">
        <x:v>0</x:v>
      </x:c>
      <x:c r="BU421" s="18">
        <x:v>61.451000000000001</x:v>
      </x:c>
      <x:c r="BV421" s="18">
        <x:v>21.507999999999999</x:v>
      </x:c>
      <x:c r="BW421" s="18">
        <x:v>4.9930000000000003</x:v>
      </x:c>
      <x:c r="BX421" s="18">
        <x:v>4.9930000000000003</x:v>
      </x:c>
      <x:c r="BY421" s="18">
        <x:v>13426.584999999999</x:v>
      </x:c>
      <x:c r="BZ421" s="18">
        <x:v>13426.584999999999</x:v>
      </x:c>
      <x:c r="CA421" s="23">
        <x:f t="shared" si="380"/>
        <x:v>1.2309523056000002</x:v>
      </x:c>
      <x:c r="CB421" s="23">
        <x:f t="shared" si="381"/>
        <x:v>211.41486503228197</x:v>
      </x:c>
      <x:c r="CC421" s="23">
        <x:f t="shared" si="382"/>
        <x:v>75.450090957012279</x:v>
      </x:c>
      <x:c r="CD421" s="23">
        <x:f t="shared" si="383"/>
        <x:v>1.7411559451618217</x:v>
      </x:c>
      <x:c r="CE421" s="23">
        <x:f t="shared" si="384"/>
        <x:v>1.7411559451618217</x:v>
      </x:c>
      <x:c r="CF421" s="23">
        <x:f t="shared" si="385"/>
        <x:v>0</x:v>
      </x:c>
      <x:c r="CG421" s="23">
        <x:f t="shared" si="386"/>
        <x:v>0</x:v>
      </x:c>
      <x:c r="CH421" s="23">
        <x:f t="shared" si="387"/>
        <x:v>1.4503318752697028</x:v>
      </x:c>
      <x:c r="CI421" s="23">
        <x:f t="shared" si="388"/>
        <x:v>0</x:v>
      </x:c>
      <x:c r="CJ421" s="24" t="s">
        <x:v>78</x:v>
      </x:c>
      <x:c r="CK421" s="25">
        <x:v>0</x:v>
      </x:c>
      <x:c r="CL421" s="26" t="s">
        <x:v>104</x:v>
      </x:c>
      <x:c r="CM421" s="28">
        <x:v>65</x:v>
      </x:c>
      <x:c r="CN421" s="27" t="s">
        <x:v>78</x:v>
      </x:c>
      <x:c r="CO421" s="27">
        <x:v>0</x:v>
      </x:c>
      <x:c r="CP421" s="27">
        <x:v>0</x:v>
      </x:c>
      <x:c r="CQ421" s="26">
        <x:f t="shared" si="389"/>
        <x:v>1.2309523056000002</x:v>
      </x:c>
      <x:c r="CR421" s="26">
        <x:f t="shared" si="390"/>
        <x:v>73.995202761298685</x:v>
      </x:c>
      <x:c r="CS421" s="26">
        <x:f t="shared" si="391"/>
        <x:v>75.450090957012279</x:v>
      </x:c>
      <x:c r="CT421" s="26">
        <x:f t="shared" si="410"/>
        <x:v>1.7411559451618217</x:v>
      </x:c>
      <x:c r="CU421" s="26">
        <x:f t="shared" si="411"/>
        <x:v>1.7411559451618217</x:v>
      </x:c>
      <x:c r="CV421" s="26">
        <x:f t="shared" si="412"/>
        <x:v>0</x:v>
      </x:c>
      <x:c r="CW421" s="26">
        <x:f t="shared" si="413"/>
        <x:v>0</x:v>
      </x:c>
      <x:c r="CX421" s="26">
        <x:f t="shared" si="392"/>
        <x:v>1.4503318752697028</x:v>
      </x:c>
      <x:c r="CY421" s="26">
        <x:f t="shared" si="393"/>
        <x:v>0</x:v>
      </x:c>
    </x:row>
    <x:row r="422">
      <x:c r="A422" s="18">
        <x:v>2022</x:v>
      </x:c>
      <x:c r="B422" t="s">
        <x:v>861</x:v>
      </x:c>
      <x:c r="C422" t="s">
        <x:v>78</x:v>
      </x:c>
      <x:c r="D422" t="s">
        <x:v>862</x:v>
      </x:c>
      <x:c r="E422" s="18">
        <x:v>445302</x:v>
      </x:c>
      <x:c r="F422" t="s">
        <x:v>863</x:v>
      </x:c>
      <x:c r="G422" t="s">
        <x:v>864</x:v>
      </x:c>
      <x:c r="H422" s="18">
        <x:v>4411</x:v>
      </x:c>
      <x:c r="I422" t="s">
        <x:v>102</x:v>
      </x:c>
      <x:c r="J422" t="s">
        <x:v>78</x:v>
      </x:c>
      <x:c r="K422" t="s">
        <x:v>109</x:v>
      </x:c>
      <x:c r="L422" s="20">
        <x:v>30</x:v>
      </x:c>
      <x:c r="M422" t="s">
        <x:v>125</x:v>
      </x:c>
      <x:c r="N422" s="18">
        <x:v>1036</x:v>
      </x:c>
      <x:c r="O422" t="s">
        <x:v>88</x:v>
      </x:c>
      <x:c r="P422" s="18">
        <x:v>1</x:v>
      </x:c>
      <x:c r="Q422" s="19" t="s">
        <x:v>121</x:v>
      </x:c>
      <x:c r="R422" s="18">
        <x:v>833020</x:v>
      </x:c>
      <x:c r="S422" t="s">
        <x:v>112</x:v>
      </x:c>
      <x:c r="T422" s="19" t="n">
        <x:f t="shared" ref="T422:T427" si="420">R422</x:f>
        <x:v>833020</x:v>
      </x:c>
      <x:c r="U422" s="20">
        <x:v>0.4</x:v>
      </x:c>
      <x:c r="V422" t="s">
        <x:v>113</x:v>
      </x:c>
      <x:c r="W422" s="20">
        <x:v>8.3800000000000008</x:v>
      </x:c>
      <x:c r="X422" s="21" t="n">
        <x:f t="shared" ref="X422:X427" si="421">2*U422/100*(1-0.15)*T422</x:f>
        <x:v>5664.536</x:v>
      </x:c>
      <x:c r="Y422" s="21" t="n">
        <x:f>7.21*T422/1000</x:f>
        <x:v>6006.0742</x:v>
      </x:c>
      <x:c r="Z422" s="21" t="n">
        <x:f t="shared" ref="Z422:Z427" si="422">2*T422/1000</x:f>
        <x:v>1666.04</x:v>
      </x:c>
      <x:c r="AA422" s="21" t="n">
        <x:f>W422/100*(1-0.44)*0.29*T422</x:f>
        <x:v>11336.669142400002</x:v>
      </x:c>
      <x:c r="AB422" s="21" t="n">
        <x:f>W422/100*(1-0.44)*0.07*T422</x:f>
        <x:v>2736.437379200001</x:v>
      </x:c>
      <x:c r="AC422" s="21" t="n">
        <x:f t="shared" ref="AC422:AC423" si="423">0.002*AB422</x:f>
        <x:v>5.472874758400002</x:v>
      </x:c>
      <x:c r="AD422" s="21"/>
      <x:c r="AE422" s="21" t="n">
        <x:f t="shared" ref="AE422:AE427" si="424">0.04*T422/1000</x:f>
        <x:v>33.320800000000006</x:v>
      </x:c>
      <x:c r="AF422" s="21"/>
      <x:c r="AG422" s="19" t="s">
        <x:v>78</x:v>
      </x:c>
      <x:c r="AH422" t="s">
        <x:v>78</x:v>
      </x:c>
      <x:c r="AI422" t="s">
        <x:v>78</x:v>
      </x:c>
      <x:c r="AJ422" s="19"/>
      <x:c r="AK422" s="19" t="s">
        <x:v>78</x:v>
      </x:c>
      <x:c r="AL422" t="s">
        <x:v>78</x:v>
      </x:c>
      <x:c r="AM422" s="19" t="s">
        <x:v>78</x:v>
      </x:c>
      <x:c r="AN422" s="21"/>
      <x:c r="AO422" s="21"/>
      <x:c r="AP422" s="21"/>
      <x:c r="AQ422" s="21"/>
      <x:c r="AR422" s="21"/>
      <x:c r="AS422" s="21"/>
      <x:c r="AT422" s="21"/>
      <x:c r="AU422" s="21"/>
      <x:c r="AV422" s="21"/>
      <x:c r="AW422" t="s">
        <x:v>78</x:v>
      </x:c>
      <x:c r="AX422" s="19"/>
      <x:c r="AY422" s="21"/>
      <x:c r="AZ422" s="21"/>
      <x:c r="BA422" s="21"/>
      <x:c r="BB422" s="21"/>
      <x:c r="BC422" s="21"/>
      <x:c r="BD422" s="21"/>
      <x:c r="BE422" s="21"/>
      <x:c r="BF422" s="21"/>
      <x:c r="BG422" s="21"/>
      <x:c r="BH422" t="s">
        <x:v>81</x:v>
      </x:c>
      <x:c r="BI422" s="18">
        <x:v>112</x:v>
      </x:c>
      <x:c r="BJ422" s="18">
        <x:v>6</x:v>
      </x:c>
      <x:c r="BK422" s="18">
        <x:v>14</x:v>
      </x:c>
      <x:c r="BL422" s="18">
        <x:v>22</x:v>
      </x:c>
      <x:c r="BM422" s="18">
        <x:v>59</x:v>
      </x:c>
      <x:c r="BN422" s="18">
        <x:v>20</x:v>
      </x:c>
      <x:c r="BO422" s="22">
        <x:v>112.103888888889</x:v>
      </x:c>
      <x:c r="BP422" s="22">
        <x:v>22.988888888888901</x:v>
      </x:c>
      <x:c r="BQ422" s="18">
        <x:v>210</x:v>
      </x:c>
      <x:c r="BR422" t="s">
        <x:v>78</x:v>
      </x:c>
      <x:c r="BS422" s="18">
        <x:v>849.68</x:v>
      </x:c>
      <x:c r="BT422" s="18">
        <x:v>39.744</x:v>
      </x:c>
      <x:c r="BU422" s="18">
        <x:v>2024.239</x:v>
      </x:c>
      <x:c r="BV422" s="18">
        <x:v>159.76300000000001</x:v>
      </x:c>
      <x:c r="BW422" s="18">
        <x:v>79483.436000000002</x:v>
      </x:c>
      <x:c r="BX422" s="18">
        <x:v>8.798</x:v>
      </x:c>
      <x:c r="BY422" s="18">
        <x:v>11329.072</x:v>
      </x:c>
      <x:c r="BZ422" s="18">
        <x:v>11329.072</x:v>
      </x:c>
      <x:c r="CA422" s="23">
        <x:f t="shared" si="380"/>
        <x:v>5664.5360000000001</x:v>
      </x:c>
      <x:c r="CB422" s="23">
        <x:f t="shared" si="381"/>
        <x:v>6006.0742</x:v>
      </x:c>
      <x:c r="CC422" s="23">
        <x:f t="shared" si="382"/>
        <x:v>1666.04</x:v>
      </x:c>
      <x:c r="CD422" s="23">
        <x:f t="shared" si="383"/>
        <x:v>11336.669142400002</x:v>
      </x:c>
      <x:c r="CE422" s="23">
        <x:f t="shared" si="384"/>
        <x:v>2736.437379200001</x:v>
      </x:c>
      <x:c r="CF422" s="23">
        <x:f t="shared" si="385"/>
        <x:v>5.4728747584000024</x:v>
      </x:c>
      <x:c r="CG422" s="23">
        <x:f t="shared" si="386"/>
        <x:v>0</x:v>
      </x:c>
      <x:c r="CH422" s="23">
        <x:f t="shared" si="387"/>
        <x:v>33.320800000000006</x:v>
      </x:c>
      <x:c r="CI422" s="23">
        <x:f t="shared" si="388"/>
        <x:v>0</x:v>
      </x:c>
      <x:c r="CJ422" s="24" t="s">
        <x:v>202</x:v>
      </x:c>
      <x:c r="CK422" s="25">
        <x:v>97.9</x:v>
      </x:c>
      <x:c r="CL422" s="26" t="s">
        <x:v>123</x:v>
      </x:c>
      <x:c r="CM422" s="26">
        <x:v>92.107503115985807</x:v>
      </x:c>
      <x:c r="CN422" s="30" t="s">
        <x:v>208</x:v>
      </x:c>
      <x:c r="CO422" s="27">
        <x:v>98.7</x:v>
      </x:c>
      <x:c r="CP422" s="27">
        <x:v>97</x:v>
      </x:c>
      <x:c r="CQ422" s="26">
        <x:f t="shared" si="389"/>
        <x:v>118.95525599999948</x:v>
      </x:c>
      <x:c r="CR422" s="26">
        <x:f t="shared" si="390"/>
        <x:v>474.0292190865801</x:v>
      </x:c>
      <x:c r="CS422" s="26">
        <x:f t="shared" si="391"/>
        <x:v>1666.04</x:v>
      </x:c>
      <x:c r="CT422" s="26">
        <x:f t="shared" si="410"/>
        <x:v>147.37669885120016</x:v>
      </x:c>
      <x:c r="CU422" s="26">
        <x:f t="shared" si="411"/>
        <x:v>82.093121376000099</x:v>
      </x:c>
      <x:c r="CV422" s="26">
        <x:f t="shared" si="412"/>
        <x:v>0.16418624275200022</x:v>
      </x:c>
      <x:c r="CW422" s="26">
        <x:f t="shared" si="413"/>
        <x:v>0</x:v>
      </x:c>
      <x:c r="CX422" s="26">
        <x:f t="shared" si="392"/>
        <x:v>33.320800000000006</x:v>
      </x:c>
      <x:c r="CY422" s="26">
        <x:f t="shared" si="393"/>
        <x:v>0</x:v>
      </x:c>
    </x:row>
    <x:row r="423">
      <x:c r="A423" s="18">
        <x:v>2022</x:v>
      </x:c>
      <x:c r="B423" t="s">
        <x:v>861</x:v>
      </x:c>
      <x:c r="C423" t="s">
        <x:v>78</x:v>
      </x:c>
      <x:c r="D423" t="s">
        <x:v>862</x:v>
      </x:c>
      <x:c r="E423" s="18">
        <x:v>445302</x:v>
      </x:c>
      <x:c r="F423" t="s">
        <x:v>863</x:v>
      </x:c>
      <x:c r="G423" t="s">
        <x:v>864</x:v>
      </x:c>
      <x:c r="H423" s="18">
        <x:v>4411</x:v>
      </x:c>
      <x:c r="I423" t="s">
        <x:v>102</x:v>
      </x:c>
      <x:c r="J423" t="s">
        <x:v>78</x:v>
      </x:c>
      <x:c r="K423" t="s">
        <x:v>109</x:v>
      </x:c>
      <x:c r="L423" s="20">
        <x:v>30</x:v>
      </x:c>
      <x:c r="M423" t="s">
        <x:v>125</x:v>
      </x:c>
      <x:c r="N423" s="18">
        <x:v>1036</x:v>
      </x:c>
      <x:c r="O423" t="s">
        <x:v>88</x:v>
      </x:c>
      <x:c r="P423" s="18">
        <x:v>1</x:v>
      </x:c>
      <x:c r="Q423" s="19" t="s">
        <x:v>121</x:v>
      </x:c>
      <x:c r="R423" s="18">
        <x:v>730939</x:v>
      </x:c>
      <x:c r="S423" t="s">
        <x:v>112</x:v>
      </x:c>
      <x:c r="T423" s="19">
        <x:f t="shared" si="420"/>
        <x:v>730939</x:v>
      </x:c>
      <x:c r="U423" s="20">
        <x:v>0.39</x:v>
      </x:c>
      <x:c r="V423" t="s">
        <x:v>113</x:v>
      </x:c>
      <x:c r="W423" s="20">
        <x:v>8.8000000000000007</x:v>
      </x:c>
      <x:c r="X423" s="21">
        <x:f t="shared" si="421"/>
        <x:v>4846.1255700000002</x:v>
      </x:c>
      <x:c r="Y423" s="21" t="n">
        <x:f>7.21*T423/1000</x:f>
        <x:v>5270.07019</x:v>
      </x:c>
      <x:c r="Z423" s="21">
        <x:f t="shared" si="422"/>
        <x:v>1461.8779999999999</x:v>
      </x:c>
      <x:c r="AA423" s="21" t="n">
        <x:f>W423/100*(1-0.44)*0.29*T423</x:f>
        <x:v>10445.995436800002</x:v>
      </x:c>
      <x:c r="AB423" s="21" t="n">
        <x:f>W423/100*(1-0.44)*0.07*T423</x:f>
        <x:v>2521.4471744000007</x:v>
      </x:c>
      <x:c r="AC423" s="21">
        <x:f t="shared" si="423"/>
        <x:v>5.0428943488000018</x:v>
      </x:c>
      <x:c r="AD423" s="21"/>
      <x:c r="AE423" s="21">
        <x:f t="shared" si="424"/>
        <x:v>29.237560000000002</x:v>
      </x:c>
      <x:c r="AF423" s="21"/>
      <x:c r="AG423" s="19" t="s">
        <x:v>78</x:v>
      </x:c>
      <x:c r="AH423" t="s">
        <x:v>78</x:v>
      </x:c>
      <x:c r="AI423" t="s">
        <x:v>78</x:v>
      </x:c>
      <x:c r="AJ423" s="19"/>
      <x:c r="AK423" s="19" t="s">
        <x:v>78</x:v>
      </x:c>
      <x:c r="AL423" t="s">
        <x:v>78</x:v>
      </x:c>
      <x:c r="AM423" s="19" t="s">
        <x:v>78</x:v>
      </x:c>
      <x:c r="AN423" s="21"/>
      <x:c r="AO423" s="21"/>
      <x:c r="AP423" s="21"/>
      <x:c r="AQ423" s="21"/>
      <x:c r="AR423" s="21"/>
      <x:c r="AS423" s="21"/>
      <x:c r="AT423" s="21"/>
      <x:c r="AU423" s="21"/>
      <x:c r="AV423" s="21"/>
      <x:c r="AW423" t="s">
        <x:v>78</x:v>
      </x:c>
      <x:c r="AX423" s="19"/>
      <x:c r="AY423" s="21"/>
      <x:c r="AZ423" s="21"/>
      <x:c r="BA423" s="21"/>
      <x:c r="BB423" s="21"/>
      <x:c r="BC423" s="21"/>
      <x:c r="BD423" s="21"/>
      <x:c r="BE423" s="21"/>
      <x:c r="BF423" s="21"/>
      <x:c r="BG423" s="21"/>
      <x:c r="BH423" t="s">
        <x:v>81</x:v>
      </x:c>
      <x:c r="BI423" s="18">
        <x:v>112</x:v>
      </x:c>
      <x:c r="BJ423" s="18">
        <x:v>6</x:v>
      </x:c>
      <x:c r="BK423" s="18">
        <x:v>14</x:v>
      </x:c>
      <x:c r="BL423" s="18">
        <x:v>22</x:v>
      </x:c>
      <x:c r="BM423" s="18">
        <x:v>59</x:v>
      </x:c>
      <x:c r="BN423" s="18">
        <x:v>20</x:v>
      </x:c>
      <x:c r="BO423" s="22">
        <x:v>112.103888888889</x:v>
      </x:c>
      <x:c r="BP423" s="22">
        <x:v>22.988888888888901</x:v>
      </x:c>
      <x:c r="BQ423" s="18">
        <x:v>210</x:v>
      </x:c>
      <x:c r="BR423" t="s">
        <x:v>78</x:v>
      </x:c>
      <x:c r="BS423" s="18">
        <x:v>726.91899999999998</x:v>
      </x:c>
      <x:c r="BT423" s="18">
        <x:v>29.358000000000001</x:v>
      </x:c>
      <x:c r="BU423" s="18">
        <x:v>1776.182</x:v>
      </x:c>
      <x:c r="BV423" s="18">
        <x:v>115.643</x:v>
      </x:c>
      <x:c r="BW423" s="18">
        <x:v>69290.532000000007</x:v>
      </x:c>
      <x:c r="BX423" s="18">
        <x:v>5.6230000000000002</x:v>
      </x:c>
      <x:c r="BY423" s="18">
        <x:v>9940.77</x:v>
      </x:c>
      <x:c r="BZ423" s="18">
        <x:v>9940.77</x:v>
      </x:c>
      <x:c r="CA423" s="23">
        <x:f t="shared" si="380"/>
        <x:v>4846.1255700000002</x:v>
      </x:c>
      <x:c r="CB423" s="23">
        <x:f t="shared" si="381"/>
        <x:v>5270.0701900000004</x:v>
      </x:c>
      <x:c r="CC423" s="23">
        <x:f t="shared" si="382"/>
        <x:v>1461.8779999999999</x:v>
      </x:c>
      <x:c r="CD423" s="23">
        <x:f t="shared" si="383"/>
        <x:v>10445.995436800002</x:v>
      </x:c>
      <x:c r="CE423" s="23">
        <x:f t="shared" si="384"/>
        <x:v>2521.4471744000007</x:v>
      </x:c>
      <x:c r="CF423" s="23">
        <x:f t="shared" si="385"/>
        <x:v>5.0428943488000018</x:v>
      </x:c>
      <x:c r="CG423" s="23">
        <x:f t="shared" si="386"/>
        <x:v>0</x:v>
      </x:c>
      <x:c r="CH423" s="23">
        <x:f t="shared" si="387"/>
        <x:v>29.237560000000002</x:v>
      </x:c>
      <x:c r="CI423" s="23">
        <x:f t="shared" si="388"/>
        <x:v>0</x:v>
      </x:c>
      <x:c r="CJ423" s="24" t="s">
        <x:v>202</x:v>
      </x:c>
      <x:c r="CK423" s="25">
        <x:v>97.9</x:v>
      </x:c>
      <x:c r="CL423" s="26" t="s">
        <x:v>127</x:v>
      </x:c>
      <x:c r="CM423" s="26">
        <x:v>72.900000000000006</x:v>
      </x:c>
      <x:c r="CN423" s="30" t="s">
        <x:v>208</x:v>
      </x:c>
      <x:c r="CO423" s="27">
        <x:v>98.7</x:v>
      </x:c>
      <x:c r="CP423" s="27">
        <x:v>97</x:v>
      </x:c>
      <x:c r="CQ423" s="26">
        <x:f t="shared" si="389"/>
        <x:v>101.76863696999956</x:v>
      </x:c>
      <x:c r="CR423" s="26">
        <x:f t="shared" si="390"/>
        <x:v>1428.1890214899995</x:v>
      </x:c>
      <x:c r="CS423" s="26">
        <x:f t="shared" si="391"/>
        <x:v>1461.8779999999999</x:v>
      </x:c>
      <x:c r="CT423" s="26">
        <x:f t="shared" si="410"/>
        <x:v>135.79794067840015</x:v>
      </x:c>
      <x:c r="CU423" s="26">
        <x:f t="shared" si="411"/>
        <x:v>75.643415232000081</x:v>
      </x:c>
      <x:c r="CV423" s="26">
        <x:f t="shared" si="412"/>
        <x:v>0.15128683046400018</x:v>
      </x:c>
      <x:c r="CW423" s="26">
        <x:f t="shared" si="413"/>
        <x:v>0</x:v>
      </x:c>
      <x:c r="CX423" s="26">
        <x:f t="shared" si="392"/>
        <x:v>29.237560000000002</x:v>
      </x:c>
      <x:c r="CY423" s="26">
        <x:f t="shared" si="393"/>
        <x:v>0</x:v>
      </x:c>
    </x:row>
    <x:row r="424">
      <x:c r="A424" s="18">
        <x:v>2022</x:v>
      </x:c>
      <x:c r="B424" t="s">
        <x:v>865</x:v>
      </x:c>
      <x:c r="C424" t="s">
        <x:v>78</x:v>
      </x:c>
      <x:c r="D424" t="s">
        <x:v>866</x:v>
      </x:c>
      <x:c r="E424" s="18">
        <x:v>445302</x:v>
      </x:c>
      <x:c r="F424" t="s">
        <x:v>863</x:v>
      </x:c>
      <x:c r="G424" t="s">
        <x:v>864</x:v>
      </x:c>
      <x:c r="H424" s="18">
        <x:v>4411</x:v>
      </x:c>
      <x:c r="I424" t="s">
        <x:v>102</x:v>
      </x:c>
      <x:c r="J424" t="s">
        <x:v>78</x:v>
      </x:c>
      <x:c r="K424" t="s">
        <x:v>109</x:v>
      </x:c>
      <x:c r="L424" s="20">
        <x:v>13.5</x:v>
      </x:c>
      <x:c r="M424" t="s">
        <x:v>110</x:v>
      </x:c>
      <x:c r="N424" s="18">
        <x:v>420</x:v>
      </x:c>
      <x:c r="O424" t="s">
        <x:v>88</x:v>
      </x:c>
      <x:c r="P424" s="18">
        <x:v>4</x:v>
      </x:c>
      <x:c r="Q424" s="19" t="s">
        <x:v>111</x:v>
      </x:c>
      <x:c r="R424" s="18">
        <x:v>171845</x:v>
      </x:c>
      <x:c r="S424" t="s">
        <x:v>112</x:v>
      </x:c>
      <x:c r="T424" s="19">
        <x:f t="shared" si="420"/>
        <x:v>171845</x:v>
      </x:c>
      <x:c r="U424" s="20">
        <x:v>0.89</x:v>
      </x:c>
      <x:c r="V424" t="s">
        <x:v>113</x:v>
      </x:c>
      <x:c r="W424" s="20">
        <x:v>24</x:v>
      </x:c>
      <x:c r="X424" s="21">
        <x:f t="shared" si="421"/>
        <x:v>2600.01485</x:v>
      </x:c>
      <x:c r="Y424" s="21" t="n">
        <x:f>8.19*T424/1000</x:f>
        <x:v>1407.4105499999998</x:v>
      </x:c>
      <x:c r="Z424" s="21">
        <x:f t="shared" si="422"/>
        <x:v>343.69</x:v>
      </x:c>
      <x:c r="AA424" s="21" t="n">
        <x:f>W424/100*(1-0.25)*0.23*T424</x:f>
        <x:v>7114.383</x:v>
      </x:c>
      <x:c r="AB424" s="21" t="n">
        <x:f>W424/100*(1-0.25)*0.06*T424</x:f>
        <x:v>1855.9259999999997</x:v>
      </x:c>
      <x:c r="AC424" s="21" t="n">
        <x:f t="shared" ref="AC424:AC427" si="425">0.002*AB424</x:f>
        <x:v>3.7118519999999995</x:v>
      </x:c>
      <x:c r="AD424" s="21"/>
      <x:c r="AE424" s="21">
        <x:f t="shared" si="424"/>
        <x:v>6.8738000000000001</x:v>
      </x:c>
      <x:c r="AF424" s="21"/>
      <x:c r="AG424" s="19" t="s">
        <x:v>78</x:v>
      </x:c>
      <x:c r="AH424" t="s">
        <x:v>78</x:v>
      </x:c>
      <x:c r="AI424" t="s">
        <x:v>78</x:v>
      </x:c>
      <x:c r="AJ424" s="19"/>
      <x:c r="AK424" s="19" t="s">
        <x:v>78</x:v>
      </x:c>
      <x:c r="AL424" t="s">
        <x:v>78</x:v>
      </x:c>
      <x:c r="AM424" s="19" t="s">
        <x:v>78</x:v>
      </x:c>
      <x:c r="AN424" s="21"/>
      <x:c r="AO424" s="21"/>
      <x:c r="AP424" s="21"/>
      <x:c r="AQ424" s="21"/>
      <x:c r="AR424" s="21"/>
      <x:c r="AS424" s="21"/>
      <x:c r="AT424" s="21"/>
      <x:c r="AU424" s="21"/>
      <x:c r="AV424" s="21"/>
      <x:c r="AW424" t="s">
        <x:v>78</x:v>
      </x:c>
      <x:c r="AX424" s="19"/>
      <x:c r="AY424" s="21"/>
      <x:c r="AZ424" s="21"/>
      <x:c r="BA424" s="21"/>
      <x:c r="BB424" s="21"/>
      <x:c r="BC424" s="21"/>
      <x:c r="BD424" s="21"/>
      <x:c r="BE424" s="21"/>
      <x:c r="BF424" s="21"/>
      <x:c r="BG424" s="21"/>
      <x:c r="BH424" t="s">
        <x:v>79</x:v>
      </x:c>
      <x:c r="BI424" s="18">
        <x:v>112</x:v>
      </x:c>
      <x:c r="BJ424" s="18">
        <x:v>6</x:v>
      </x:c>
      <x:c r="BK424" s="18">
        <x:v>29.4</x:v>
      </x:c>
      <x:c r="BL424" s="18">
        <x:v>22</x:v>
      </x:c>
      <x:c r="BM424" s="18">
        <x:v>57</x:v>
      </x:c>
      <x:c r="BN424" s="18">
        <x:v>58.1</x:v>
      </x:c>
      <x:c r="BO424" s="22">
        <x:v>112.108166666667</x:v>
      </x:c>
      <x:c r="BP424" s="22">
        <x:v>22.966138888888899</x:v>
      </x:c>
      <x:c r="BQ424" s="18">
        <x:v>180</x:v>
      </x:c>
      <x:c r="BR424" t="s">
        <x:v>78</x:v>
      </x:c>
      <x:c r="BS424" s="18">
        <x:v>2590.8380000000002</x:v>
      </x:c>
      <x:c r="BT424" s="18">
        <x:v>22.509</x:v>
      </x:c>
      <x:c r="BU424" s="18">
        <x:v>410.71</x:v>
      </x:c>
      <x:c r="BV424" s="18">
        <x:v>46.146999999999998</x:v>
      </x:c>
      <x:c r="BW424" s="18">
        <x:v>39974.584000000003</x:v>
      </x:c>
      <x:c r="BX424" s="18">
        <x:v>4.1289999999999996</x:v>
      </x:c>
      <x:c r="BY424" s="18">
        <x:v>2027.771</x:v>
      </x:c>
      <x:c r="BZ424" s="18">
        <x:v>2027.771</x:v>
      </x:c>
      <x:c r="CA424" s="23">
        <x:f t="shared" si="380"/>
        <x:v>2600.01485</x:v>
      </x:c>
      <x:c r="CB424" s="23">
        <x:f t="shared" si="381"/>
        <x:v>1407.4105499999998</x:v>
      </x:c>
      <x:c r="CC424" s="23">
        <x:f t="shared" si="382"/>
        <x:v>343.69</x:v>
      </x:c>
      <x:c r="CD424" s="23">
        <x:f t="shared" si="383"/>
        <x:v>7114.3829999999998</x:v>
      </x:c>
      <x:c r="CE424" s="23">
        <x:f t="shared" si="384"/>
        <x:v>1855.9259999999997</x:v>
      </x:c>
      <x:c r="CF424" s="23">
        <x:f t="shared" si="385"/>
        <x:v>3.7118519999999995</x:v>
      </x:c>
      <x:c r="CG424" s="23">
        <x:f t="shared" si="386"/>
        <x:v>0</x:v>
      </x:c>
      <x:c r="CH424" s="23">
        <x:f t="shared" si="387"/>
        <x:v>6.8738000000000001</x:v>
      </x:c>
      <x:c r="CI424" s="23">
        <x:f t="shared" si="388"/>
        <x:v>0</x:v>
      </x:c>
      <x:c r="CJ424" s="24" t="s">
        <x:v>202</x:v>
      </x:c>
      <x:c r="CK424" s="25">
        <x:v>95.31</x:v>
      </x:c>
      <x:c r="CL424" s="26" t="s">
        <x:v>123</x:v>
      </x:c>
      <x:c r="CM424" s="26">
        <x:v>67.88</x:v>
      </x:c>
      <x:c r="CN424" s="30" t="s">
        <x:v>208</x:v>
      </x:c>
      <x:c r="CO424" s="27">
        <x:v>98.7</x:v>
      </x:c>
      <x:c r="CP424" s="27">
        <x:v>97</x:v>
      </x:c>
      <x:c r="CQ424" s="26">
        <x:f t="shared" si="389"/>
        <x:v>121.94069646499985</x:v>
      </x:c>
      <x:c r="CR424" s="26">
        <x:f t="shared" si="390"/>
        <x:v>452.06026866000002</x:v>
      </x:c>
      <x:c r="CS424" s="26">
        <x:f t="shared" si="391"/>
        <x:v>343.69</x:v>
      </x:c>
      <x:c r="CT424" s="26">
        <x:f t="shared" si="410"/>
        <x:v>92.486979000000076</x:v>
      </x:c>
      <x:c r="CU424" s="26">
        <x:f t="shared" si="411"/>
        <x:v>55.677780000000041</x:v>
      </x:c>
      <x:c r="CV424" s="26">
        <x:f t="shared" si="412"/>
        <x:v>0.11135556000000009</x:v>
      </x:c>
      <x:c r="CW424" s="26">
        <x:f t="shared" si="413"/>
        <x:v>0</x:v>
      </x:c>
      <x:c r="CX424" s="26">
        <x:f t="shared" si="392"/>
        <x:v>6.8738000000000001</x:v>
      </x:c>
      <x:c r="CY424" s="26">
        <x:f t="shared" si="393"/>
        <x:v>0</x:v>
      </x:c>
    </x:row>
    <x:row r="425">
      <x:c r="A425" s="18">
        <x:v>2022</x:v>
      </x:c>
      <x:c r="B425" t="s">
        <x:v>865</x:v>
      </x:c>
      <x:c r="C425" t="s">
        <x:v>78</x:v>
      </x:c>
      <x:c r="D425" t="s">
        <x:v>866</x:v>
      </x:c>
      <x:c r="E425" s="18">
        <x:v>445302</x:v>
      </x:c>
      <x:c r="F425" t="s">
        <x:v>863</x:v>
      </x:c>
      <x:c r="G425" t="s">
        <x:v>864</x:v>
      </x:c>
      <x:c r="H425" s="18">
        <x:v>4411</x:v>
      </x:c>
      <x:c r="I425" t="s">
        <x:v>102</x:v>
      </x:c>
      <x:c r="J425" t="s">
        <x:v>78</x:v>
      </x:c>
      <x:c r="K425" t="s">
        <x:v>109</x:v>
      </x:c>
      <x:c r="L425" s="20">
        <x:v>13.5</x:v>
      </x:c>
      <x:c r="M425" t="s">
        <x:v>110</x:v>
      </x:c>
      <x:c r="N425" s="18">
        <x:v>420</x:v>
      </x:c>
      <x:c r="O425" t="s">
        <x:v>88</x:v>
      </x:c>
      <x:c r="P425" s="18">
        <x:v>4</x:v>
      </x:c>
      <x:c r="Q425" s="19" t="s">
        <x:v>111</x:v>
      </x:c>
      <x:c r="R425" s="18">
        <x:v>195445</x:v>
      </x:c>
      <x:c r="S425" t="s">
        <x:v>112</x:v>
      </x:c>
      <x:c r="T425" s="19">
        <x:f t="shared" si="420"/>
        <x:v>195445</x:v>
      </x:c>
      <x:c r="U425" s="20">
        <x:v>0.91</x:v>
      </x:c>
      <x:c r="V425" t="s">
        <x:v>113</x:v>
      </x:c>
      <x:c r="W425" s="20">
        <x:v>23.37</x:v>
      </x:c>
      <x:c r="X425" s="21">
        <x:f t="shared" si="421"/>
        <x:v>3023.5341500000004</x:v>
      </x:c>
      <x:c r="Y425" s="21" t="n">
        <x:f>8.19*T425/1000</x:f>
        <x:v>1600.6945499999997</x:v>
      </x:c>
      <x:c r="Z425" s="21">
        <x:f t="shared" si="422"/>
        <x:v>390.89</x:v>
      </x:c>
      <x:c r="AA425" s="21" t="n">
        <x:f>W425/100*(1-0.25)*0.23*T425</x:f>
        <x:v>7879.0231462500005</x:v>
      </x:c>
      <x:c r="AB425" s="21" t="n">
        <x:f>W425/100*(1-0.25)*0.06*T425</x:f>
        <x:v>2055.3973425</x:v>
      </x:c>
      <x:c r="AC425" s="21">
        <x:f t="shared" si="425"/>
        <x:v>4.1107946850000001</x:v>
      </x:c>
      <x:c r="AD425" s="21"/>
      <x:c r="AE425" s="21">
        <x:f t="shared" si="424"/>
        <x:v>7.8178000000000001</x:v>
      </x:c>
      <x:c r="AF425" s="21"/>
      <x:c r="AG425" s="19" t="s">
        <x:v>78</x:v>
      </x:c>
      <x:c r="AH425" t="s">
        <x:v>78</x:v>
      </x:c>
      <x:c r="AI425" t="s">
        <x:v>78</x:v>
      </x:c>
      <x:c r="AJ425" s="19"/>
      <x:c r="AK425" s="19" t="s">
        <x:v>78</x:v>
      </x:c>
      <x:c r="AL425" t="s">
        <x:v>78</x:v>
      </x:c>
      <x:c r="AM425" s="19" t="s">
        <x:v>78</x:v>
      </x:c>
      <x:c r="AN425" s="21"/>
      <x:c r="AO425" s="21"/>
      <x:c r="AP425" s="21"/>
      <x:c r="AQ425" s="21"/>
      <x:c r="AR425" s="21"/>
      <x:c r="AS425" s="21"/>
      <x:c r="AT425" s="21"/>
      <x:c r="AU425" s="21"/>
      <x:c r="AV425" s="21"/>
      <x:c r="AW425" t="s">
        <x:v>78</x:v>
      </x:c>
      <x:c r="AX425" s="19"/>
      <x:c r="AY425" s="21"/>
      <x:c r="AZ425" s="21"/>
      <x:c r="BA425" s="21"/>
      <x:c r="BB425" s="21"/>
      <x:c r="BC425" s="21"/>
      <x:c r="BD425" s="21"/>
      <x:c r="BE425" s="21"/>
      <x:c r="BF425" s="21"/>
      <x:c r="BG425" s="21"/>
      <x:c r="BH425" t="s">
        <x:v>79</x:v>
      </x:c>
      <x:c r="BI425" s="18">
        <x:v>112</x:v>
      </x:c>
      <x:c r="BJ425" s="18">
        <x:v>6</x:v>
      </x:c>
      <x:c r="BK425" s="18">
        <x:v>29.4</x:v>
      </x:c>
      <x:c r="BL425" s="18">
        <x:v>22</x:v>
      </x:c>
      <x:c r="BM425" s="18">
        <x:v>57</x:v>
      </x:c>
      <x:c r="BN425" s="18">
        <x:v>58.1</x:v>
      </x:c>
      <x:c r="BO425" s="22">
        <x:v>112.108166666667</x:v>
      </x:c>
      <x:c r="BP425" s="22">
        <x:v>22.966138888888899</x:v>
      </x:c>
      <x:c r="BQ425" s="18">
        <x:v>180</x:v>
      </x:c>
      <x:c r="BR425" t="s">
        <x:v>78</x:v>
      </x:c>
      <x:c r="BS425" s="18">
        <x:v>3012.8629999999998</x:v>
      </x:c>
      <x:c r="BT425" s="18">
        <x:v>28.771000000000001</x:v>
      </x:c>
      <x:c r="BU425" s="18">
        <x:v>467.11399999999998</x:v>
      </x:c>
      <x:c r="BV425" s="18">
        <x:v>65.834999999999994</x:v>
      </x:c>
      <x:c r="BW425" s="18">
        <x:v>44318.072</x:v>
      </x:c>
      <x:c r="BX425" s="18">
        <x:v>4.3090000000000002</x:v>
      </x:c>
      <x:c r="BY425" s="18">
        <x:v>2306.2510000000002</x:v>
      </x:c>
      <x:c r="BZ425" s="18">
        <x:v>2306.2510000000002</x:v>
      </x:c>
      <x:c r="CA425" s="23">
        <x:f t="shared" si="380"/>
        <x:v>3023.5341500000004</x:v>
      </x:c>
      <x:c r="CB425" s="23">
        <x:f t="shared" si="381"/>
        <x:v>1600.6945499999997</x:v>
      </x:c>
      <x:c r="CC425" s="23">
        <x:f t="shared" si="382"/>
        <x:v>390.89</x:v>
      </x:c>
      <x:c r="CD425" s="23">
        <x:f t="shared" si="383"/>
        <x:v>7879.0231462500005</x:v>
      </x:c>
      <x:c r="CE425" s="23">
        <x:f t="shared" si="384"/>
        <x:v>2055.3973424999999</x:v>
      </x:c>
      <x:c r="CF425" s="23">
        <x:f t="shared" si="385"/>
        <x:v>4.1107946850000001</x:v>
      </x:c>
      <x:c r="CG425" s="23">
        <x:f t="shared" si="386"/>
        <x:v>0</x:v>
      </x:c>
      <x:c r="CH425" s="23">
        <x:f t="shared" si="387"/>
        <x:v>7.8178000000000001</x:v>
      </x:c>
      <x:c r="CI425" s="23">
        <x:f t="shared" si="388"/>
        <x:v>0</x:v>
      </x:c>
      <x:c r="CJ425" s="24" t="s">
        <x:v>202</x:v>
      </x:c>
      <x:c r="CK425" s="25">
        <x:v>95.24</x:v>
      </x:c>
      <x:c r="CL425" s="26" t="s">
        <x:v>123</x:v>
      </x:c>
      <x:c r="CM425" s="26">
        <x:v>70.319999999999993</x:v>
      </x:c>
      <x:c r="CN425" s="30" t="s">
        <x:v>208</x:v>
      </x:c>
      <x:c r="CO425" s="27">
        <x:v>98.7</x:v>
      </x:c>
      <x:c r="CP425" s="27">
        <x:v>97</x:v>
      </x:c>
      <x:c r="CQ425" s="26">
        <x:f t="shared" si="389"/>
        <x:v>143.92022554000027</x:v>
      </x:c>
      <x:c r="CR425" s="26">
        <x:f t="shared" si="390"/>
        <x:v>475.08614244</x:v>
      </x:c>
      <x:c r="CS425" s="26">
        <x:f t="shared" si="391"/>
        <x:v>390.89</x:v>
      </x:c>
      <x:c r="CT425" s="26">
        <x:f t="shared" si="410"/>
        <x:v>102.42730090125009</x:v>
      </x:c>
      <x:c r="CU425" s="26">
        <x:f t="shared" si="411"/>
        <x:v>61.66192027500005</x:v>
      </x:c>
      <x:c r="CV425" s="26">
        <x:f t="shared" si="412"/>
        <x:v>0.12332384055000012</x:v>
      </x:c>
      <x:c r="CW425" s="26">
        <x:f t="shared" si="413"/>
        <x:v>0</x:v>
      </x:c>
      <x:c r="CX425" s="26">
        <x:f t="shared" si="392"/>
        <x:v>7.8178000000000001</x:v>
      </x:c>
      <x:c r="CY425" s="26">
        <x:f t="shared" si="393"/>
        <x:v>0</x:v>
      </x:c>
    </x:row>
    <x:row r="426">
      <x:c r="A426" s="18">
        <x:v>2022</x:v>
      </x:c>
      <x:c r="B426" t="s">
        <x:v>867</x:v>
      </x:c>
      <x:c r="C426" t="s">
        <x:v>868</x:v>
      </x:c>
      <x:c r="D426" t="s">
        <x:v>869</x:v>
      </x:c>
      <x:c r="E426" s="18">
        <x:v>445381</x:v>
      </x:c>
      <x:c r="F426" t="s">
        <x:v>870</x:v>
      </x:c>
      <x:c r="G426" t="s">
        <x:v>864</x:v>
      </x:c>
      <x:c r="H426" s="18">
        <x:v>4411</x:v>
      </x:c>
      <x:c r="I426" t="s">
        <x:v>102</x:v>
      </x:c>
      <x:c r="J426" t="s">
        <x:v>78</x:v>
      </x:c>
      <x:c r="K426" t="s">
        <x:v>109</x:v>
      </x:c>
      <x:c r="L426" s="20">
        <x:v>13.5</x:v>
      </x:c>
      <x:c r="M426" t="s">
        <x:v>110</x:v>
      </x:c>
      <x:c r="N426" s="18">
        <x:v>420</x:v>
      </x:c>
      <x:c r="O426" t="s">
        <x:v>88</x:v>
      </x:c>
      <x:c r="P426" s="18">
        <x:v>4</x:v>
      </x:c>
      <x:c r="Q426" s="19" t="s">
        <x:v>111</x:v>
      </x:c>
      <x:c r="R426" s="18">
        <x:v>373557</x:v>
      </x:c>
      <x:c r="S426" t="s">
        <x:v>112</x:v>
      </x:c>
      <x:c r="T426" s="19">
        <x:f t="shared" si="420"/>
        <x:v>373557</x:v>
      </x:c>
      <x:c r="U426" s="20">
        <x:v>1.02</x:v>
      </x:c>
      <x:c r="V426" t="s">
        <x:v>113</x:v>
      </x:c>
      <x:c r="W426" s="20">
        <x:v>30</x:v>
      </x:c>
      <x:c r="X426" s="21">
        <x:f t="shared" si="421"/>
        <x:v>6477.4783800000005</x:v>
      </x:c>
      <x:c r="Y426" s="21" t="n">
        <x:f>8.19*T426/1000</x:f>
        <x:v>3059.4318299999995</x:v>
      </x:c>
      <x:c r="Z426" s="21">
        <x:f t="shared" si="422"/>
        <x:v>747.11400000000003</x:v>
      </x:c>
      <x:c r="AA426" s="21" t="n">
        <x:f>W426/100*(1-0.25)*0.23*T426</x:f>
        <x:v>19331.57475</x:v>
      </x:c>
      <x:c r="AB426" s="21" t="n">
        <x:f>W426/100*(1-0.25)*0.06*T426</x:f>
        <x:v>5043.019499999999</x:v>
      </x:c>
      <x:c r="AC426" s="21">
        <x:f t="shared" si="425"/>
        <x:v>10.086039</x:v>
      </x:c>
      <x:c r="AD426" s="21"/>
      <x:c r="AE426" s="21">
        <x:f t="shared" si="424"/>
        <x:v>14.94228</x:v>
      </x:c>
      <x:c r="AF426" s="21"/>
      <x:c r="AG426" s="19" t="s">
        <x:v>78</x:v>
      </x:c>
      <x:c r="AH426" t="s">
        <x:v>78</x:v>
      </x:c>
      <x:c r="AI426" t="s">
        <x:v>78</x:v>
      </x:c>
      <x:c r="AJ426" s="19"/>
      <x:c r="AK426" s="19" t="s">
        <x:v>78</x:v>
      </x:c>
      <x:c r="AL426" t="s">
        <x:v>78</x:v>
      </x:c>
      <x:c r="AM426" s="19" t="s">
        <x:v>78</x:v>
      </x:c>
      <x:c r="AN426" s="21"/>
      <x:c r="AO426" s="21"/>
      <x:c r="AP426" s="21"/>
      <x:c r="AQ426" s="21"/>
      <x:c r="AR426" s="21"/>
      <x:c r="AS426" s="21"/>
      <x:c r="AT426" s="21"/>
      <x:c r="AU426" s="21"/>
      <x:c r="AV426" s="21"/>
      <x:c r="AW426" t="s">
        <x:v>78</x:v>
      </x:c>
      <x:c r="AX426" s="19"/>
      <x:c r="AY426" s="21"/>
      <x:c r="AZ426" s="21"/>
      <x:c r="BA426" s="21"/>
      <x:c r="BB426" s="21"/>
      <x:c r="BC426" s="21"/>
      <x:c r="BD426" s="21"/>
      <x:c r="BE426" s="21"/>
      <x:c r="BF426" s="21"/>
      <x:c r="BG426" s="21"/>
      <x:c r="BH426" t="s">
        <x:v>81</x:v>
      </x:c>
      <x:c r="BI426" s="18">
        <x:v>111</x:v>
      </x:c>
      <x:c r="BJ426" s="18">
        <x:v>37</x:v>
      </x:c>
      <x:c r="BK426" s="18">
        <x:v>5</x:v>
      </x:c>
      <x:c r="BL426" s="18">
        <x:v>22</x:v>
      </x:c>
      <x:c r="BM426" s="18">
        <x:v>47</x:v>
      </x:c>
      <x:c r="BN426" s="18">
        <x:v>53</x:v>
      </x:c>
      <x:c r="BO426" s="22">
        <x:v>111.618055555556</x:v>
      </x:c>
      <x:c r="BP426" s="22">
        <x:v>22.798055555555599</x:v>
      </x:c>
      <x:c r="BQ426" s="18">
        <x:v>180</x:v>
      </x:c>
      <x:c r="BR426" s="18">
        <x:v>315260</x:v>
      </x:c>
      <x:c r="BS426" s="18">
        <x:v>6454.6170000000002</x:v>
      </x:c>
      <x:c r="BT426" s="18">
        <x:v>71.031000000000006</x:v>
      </x:c>
      <x:c r="BU426" s="18">
        <x:v>892.80100000000004</x:v>
      </x:c>
      <x:c r="BV426" s="18">
        <x:v>98.891999999999996</x:v>
      </x:c>
      <x:c r="BW426" s="18">
        <x:v>107763.723</x:v>
      </x:c>
      <x:c r="BX426" s="18">
        <x:v>6.1219999999999999</x:v>
      </x:c>
      <x:c r="BY426" s="18">
        <x:v>4407.973</x:v>
      </x:c>
      <x:c r="BZ426" s="18">
        <x:v>4407.973</x:v>
      </x:c>
      <x:c r="CA426" s="23">
        <x:f t="shared" si="380"/>
        <x:v>6477.4783800000005</x:v>
      </x:c>
      <x:c r="CB426" s="23">
        <x:f t="shared" si="381"/>
        <x:v>3059.4318299999995</x:v>
      </x:c>
      <x:c r="CC426" s="23">
        <x:f t="shared" si="382"/>
        <x:v>747.11400000000003</x:v>
      </x:c>
      <x:c r="CD426" s="23">
        <x:f t="shared" si="383"/>
        <x:v>19331.57475</x:v>
      </x:c>
      <x:c r="CE426" s="23">
        <x:f t="shared" si="384"/>
        <x:v>5043.0194999999994</x:v>
      </x:c>
      <x:c r="CF426" s="23">
        <x:f t="shared" si="385"/>
        <x:v>10.086039</x:v>
      </x:c>
      <x:c r="CG426" s="23">
        <x:f t="shared" si="386"/>
        <x:v>0</x:v>
      </x:c>
      <x:c r="CH426" s="23">
        <x:f t="shared" si="387"/>
        <x:v>14.94228</x:v>
      </x:c>
      <x:c r="CI426" s="23">
        <x:f t="shared" si="388"/>
        <x:v>0</x:v>
      </x:c>
      <x:c r="CJ426" s="24" t="s">
        <x:v>114</x:v>
      </x:c>
      <x:c r="CK426" s="29">
        <x:v>99</x:v>
      </x:c>
      <x:c r="CL426" s="26" t="s">
        <x:v>104</x:v>
      </x:c>
      <x:c r="CM426" s="28">
        <x:v>87.5</x:v>
      </x:c>
      <x:c r="CN426" s="30" t="s">
        <x:v>871</x:v>
      </x:c>
      <x:c r="CO426" s="27">
        <x:v>99.4</x:v>
      </x:c>
      <x:c r="CP426" s="27">
        <x:v>98.3</x:v>
      </x:c>
      <x:c r="CQ426" s="26">
        <x:f t="shared" si="389"/>
        <x:v>64.774783800000066</x:v>
      </x:c>
      <x:c r="CR426" s="26">
        <x:f t="shared" si="390"/>
        <x:v>382.42897874999994</x:v>
      </x:c>
      <x:c r="CS426" s="26">
        <x:f t="shared" si="391"/>
        <x:v>747.11400000000003</x:v>
      </x:c>
      <x:c r="CT426" s="26">
        <x:f t="shared" si="410"/>
        <x:v>115.98944849999796</x:v>
      </x:c>
      <x:c r="CU426" s="26">
        <x:f t="shared" si="411"/>
        <x:v>85.731331500000067</x:v>
      </x:c>
      <x:c r="CV426" s="26">
        <x:f t="shared" si="412"/>
        <x:v>0.17146266300000015</x:v>
      </x:c>
      <x:c r="CW426" s="26">
        <x:f t="shared" si="413"/>
        <x:v>0</x:v>
      </x:c>
      <x:c r="CX426" s="26">
        <x:f t="shared" si="392"/>
        <x:v>14.94228</x:v>
      </x:c>
      <x:c r="CY426" s="26">
        <x:f t="shared" si="393"/>
        <x:v>0</x:v>
      </x:c>
    </x:row>
    <x:row r="427">
      <x:c r="A427" s="18">
        <x:v>2022</x:v>
      </x:c>
      <x:c r="B427" t="s">
        <x:v>867</x:v>
      </x:c>
      <x:c r="C427" t="s">
        <x:v>868</x:v>
      </x:c>
      <x:c r="D427" t="s">
        <x:v>869</x:v>
      </x:c>
      <x:c r="E427" s="18">
        <x:v>445381</x:v>
      </x:c>
      <x:c r="F427" t="s">
        <x:v>870</x:v>
      </x:c>
      <x:c r="G427" t="s">
        <x:v>864</x:v>
      </x:c>
      <x:c r="H427" s="18">
        <x:v>4411</x:v>
      </x:c>
      <x:c r="I427" t="s">
        <x:v>102</x:v>
      </x:c>
      <x:c r="J427" t="s">
        <x:v>78</x:v>
      </x:c>
      <x:c r="K427" t="s">
        <x:v>109</x:v>
      </x:c>
      <x:c r="L427" s="20">
        <x:v>13.5</x:v>
      </x:c>
      <x:c r="M427" t="s">
        <x:v>110</x:v>
      </x:c>
      <x:c r="N427" s="18">
        <x:v>420</x:v>
      </x:c>
      <x:c r="O427" t="s">
        <x:v>88</x:v>
      </x:c>
      <x:c r="P427" s="18">
        <x:v>4</x:v>
      </x:c>
      <x:c r="Q427" s="19" t="s">
        <x:v>111</x:v>
      </x:c>
      <x:c r="R427" s="18">
        <x:v>305196</x:v>
      </x:c>
      <x:c r="S427" t="s">
        <x:v>112</x:v>
      </x:c>
      <x:c r="T427" s="19">
        <x:f t="shared" si="420"/>
        <x:v>305196</x:v>
      </x:c>
      <x:c r="U427" s="20">
        <x:v>1.02</x:v>
      </x:c>
      <x:c r="V427" t="s">
        <x:v>113</x:v>
      </x:c>
      <x:c r="W427" s="20">
        <x:v>30</x:v>
      </x:c>
      <x:c r="X427" s="21">
        <x:f t="shared" si="421"/>
        <x:v>5292.0986400000002</x:v>
      </x:c>
      <x:c r="Y427" s="21" t="n">
        <x:f>8.19*T427/1000</x:f>
        <x:v>2499.5552399999997</x:v>
      </x:c>
      <x:c r="Z427" s="21">
        <x:f t="shared" si="422"/>
        <x:v>610.39200000000005</x:v>
      </x:c>
      <x:c r="AA427" s="21" t="n">
        <x:f>W427/100*(1-0.25)*0.23*T427</x:f>
        <x:v>15793.893</x:v>
      </x:c>
      <x:c r="AB427" s="21" t="n">
        <x:f>W427/100*(1-0.25)*0.06*T427</x:f>
        <x:v>4120.146</x:v>
      </x:c>
      <x:c r="AC427" s="21">
        <x:f t="shared" si="425"/>
        <x:v>8.2402920000000002</x:v>
      </x:c>
      <x:c r="AD427" s="21"/>
      <x:c r="AE427" s="21">
        <x:f t="shared" si="424"/>
        <x:v>12.207840000000001</x:v>
      </x:c>
      <x:c r="AF427" s="21"/>
      <x:c r="AG427" s="19" t="s">
        <x:v>78</x:v>
      </x:c>
      <x:c r="AH427" t="s">
        <x:v>78</x:v>
      </x:c>
      <x:c r="AI427" t="s">
        <x:v>78</x:v>
      </x:c>
      <x:c r="AJ427" s="19"/>
      <x:c r="AK427" s="19" t="s">
        <x:v>78</x:v>
      </x:c>
      <x:c r="AL427" t="s">
        <x:v>78</x:v>
      </x:c>
      <x:c r="AM427" s="19" t="s">
        <x:v>78</x:v>
      </x:c>
      <x:c r="AN427" s="21"/>
      <x:c r="AO427" s="21"/>
      <x:c r="AP427" s="21"/>
      <x:c r="AQ427" s="21"/>
      <x:c r="AR427" s="21"/>
      <x:c r="AS427" s="21"/>
      <x:c r="AT427" s="21"/>
      <x:c r="AU427" s="21"/>
      <x:c r="AV427" s="21"/>
      <x:c r="AW427" t="s">
        <x:v>78</x:v>
      </x:c>
      <x:c r="AX427" s="19"/>
      <x:c r="AY427" s="21"/>
      <x:c r="AZ427" s="21"/>
      <x:c r="BA427" s="21"/>
      <x:c r="BB427" s="21"/>
      <x:c r="BC427" s="21"/>
      <x:c r="BD427" s="21"/>
      <x:c r="BE427" s="21"/>
      <x:c r="BF427" s="21"/>
      <x:c r="BG427" s="21"/>
      <x:c r="BH427" t="s">
        <x:v>81</x:v>
      </x:c>
      <x:c r="BI427" s="18">
        <x:v>111</x:v>
      </x:c>
      <x:c r="BJ427" s="18">
        <x:v>37</x:v>
      </x:c>
      <x:c r="BK427" s="18">
        <x:v>5</x:v>
      </x:c>
      <x:c r="BL427" s="18">
        <x:v>22</x:v>
      </x:c>
      <x:c r="BM427" s="18">
        <x:v>47</x:v>
      </x:c>
      <x:c r="BN427" s="18">
        <x:v>53</x:v>
      </x:c>
      <x:c r="BO427" s="22">
        <x:v>111.618055555556</x:v>
      </x:c>
      <x:c r="BP427" s="22">
        <x:v>22.798055555555599</x:v>
      </x:c>
      <x:c r="BQ427" s="18">
        <x:v>180</x:v>
      </x:c>
      <x:c r="BR427" s="18">
        <x:v>210173</x:v>
      </x:c>
      <x:c r="BS427" s="18">
        <x:v>5273.4210000000003</x:v>
      </x:c>
      <x:c r="BT427" s="18">
        <x:v>56.34</x:v>
      </x:c>
      <x:c r="BU427" s="18">
        <x:v>729.41800000000001</x:v>
      </x:c>
      <x:c r="BV427" s="18">
        <x:v>87.022000000000006</x:v>
      </x:c>
      <x:c r="BW427" s="18">
        <x:v>88042.941999999995</x:v>
      </x:c>
      <x:c r="BX427" s="18">
        <x:v>3.8620000000000001</x:v>
      </x:c>
      <x:c r="BY427" s="18">
        <x:v>3601.3130000000001</x:v>
      </x:c>
      <x:c r="BZ427" s="18">
        <x:v>3601.3130000000001</x:v>
      </x:c>
      <x:c r="CA427" s="23">
        <x:f t="shared" si="380"/>
        <x:v>5292.0986400000002</x:v>
      </x:c>
      <x:c r="CB427" s="23">
        <x:f t="shared" si="381"/>
        <x:v>2499.5552399999997</x:v>
      </x:c>
      <x:c r="CC427" s="23">
        <x:f t="shared" si="382"/>
        <x:v>610.39200000000005</x:v>
      </x:c>
      <x:c r="CD427" s="23">
        <x:f t="shared" si="383"/>
        <x:v>15793.893</x:v>
      </x:c>
      <x:c r="CE427" s="23">
        <x:f t="shared" si="384"/>
        <x:v>4120.1459999999997</x:v>
      </x:c>
      <x:c r="CF427" s="23">
        <x:f t="shared" si="385"/>
        <x:v>8.2402920000000002</x:v>
      </x:c>
      <x:c r="CG427" s="23">
        <x:f t="shared" si="386"/>
        <x:v>0</x:v>
      </x:c>
      <x:c r="CH427" s="23">
        <x:f t="shared" si="387"/>
        <x:v>12.207840000000001</x:v>
      </x:c>
      <x:c r="CI427" s="23">
        <x:f t="shared" si="388"/>
        <x:v>0</x:v>
      </x:c>
      <x:c r="CJ427" s="24" t="s">
        <x:v>114</x:v>
      </x:c>
      <x:c r="CK427" s="29">
        <x:v>99</x:v>
      </x:c>
      <x:c r="CL427" s="26" t="s">
        <x:v>104</x:v>
      </x:c>
      <x:c r="CM427" s="28">
        <x:v>87.5</x:v>
      </x:c>
      <x:c r="CN427" s="30" t="s">
        <x:v>871</x:v>
      </x:c>
      <x:c r="CO427" s="27">
        <x:v>99.4</x:v>
      </x:c>
      <x:c r="CP427" s="27">
        <x:v>98.3</x:v>
      </x:c>
      <x:c r="CQ427" s="26">
        <x:f t="shared" si="389"/>
        <x:v>52.920986400000047</x:v>
      </x:c>
      <x:c r="CR427" s="26">
        <x:f t="shared" si="390"/>
        <x:v>312.44440499999996</x:v>
      </x:c>
      <x:c r="CS427" s="26">
        <x:f t="shared" si="391"/>
        <x:v>610.39200000000005</x:v>
      </x:c>
      <x:c r="CT427" s="26">
        <x:f t="shared" si="410"/>
        <x:v>94.763357999998334</x:v>
      </x:c>
      <x:c r="CU427" s="26">
        <x:f t="shared" si="411"/>
        <x:v>70.042482000000064</x:v>
      </x:c>
      <x:c r="CV427" s="26">
        <x:f t="shared" si="412"/>
        <x:v>0.14008496400000012</x:v>
      </x:c>
      <x:c r="CW427" s="26">
        <x:f t="shared" si="413"/>
        <x:v>0</x:v>
      </x:c>
      <x:c r="CX427" s="26">
        <x:f t="shared" si="392"/>
        <x:v>12.207840000000001</x:v>
      </x:c>
      <x:c r="CY427" s="26">
        <x:f t="shared" si="393"/>
        <x:v>0</x:v>
      </x:c>
    </x:row>
    <x:row r="429">
      <x:c r="CJ429" t="s">
        <x:v>872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1" width="17.25" style="1" customWidth="1"/>
    <x:col min="2" max="2" width="11" style="1" customWidth="1"/>
    <x:col min="3" max="3" width="15.5" style="1" customWidth="1"/>
    <x:col min="4" max="4" width="13" style="1" customWidth="1"/>
    <x:col min="5" max="5" width="11" style="1" customWidth="1"/>
    <x:col min="6" max="7" width="9" style="1" customWidth="0"/>
  </x:cols>
  <x:sheetData>
    <x:row r="1">
      <x:c r="A1" s="37" t="s">
        <x:v>873</x:v>
      </x:c>
      <x:c r="B1" s="37" t="s">
        <x:v>874</x:v>
      </x:c>
      <x:c r="C1" s="37"/>
      <x:c r="D1" s="37" t="s">
        <x:v>875</x:v>
      </x:c>
      <x:c r="E1" s="37"/>
    </x:row>
    <x:row r="2">
      <x:c r="A2" s="37"/>
      <x:c r="B2" s="2" t="s">
        <x:v>876</x:v>
      </x:c>
      <x:c r="C2" s="2" t="s">
        <x:v>877</x:v>
      </x:c>
      <x:c r="D2" s="2" t="s">
        <x:v>876</x:v>
      </x:c>
      <x:c r="E2" s="2" t="s">
        <x:v>877</x:v>
      </x:c>
    </x:row>
    <x:row r="3">
      <x:c r="A3" s="3" t="s">
        <x:v>878</x:v>
      </x:c>
      <x:c r="B3" s="3">
        <x:v>20934</x:v>
      </x:c>
      <x:c r="C3" s="3" t="s">
        <x:v>879</x:v>
      </x:c>
      <x:c r="D3" s="4">
        <x:v>0.71430000000000005</x:v>
      </x:c>
      <x:c r="E3" s="4" t="s">
        <x:v>880</x:v>
      </x:c>
    </x:row>
    <x:row r="4">
      <x:c r="A4" s="3" t="s">
        <x:v>881</x:v>
      </x:c>
      <x:c r="B4" s="3">
        <x:v>26344</x:v>
      </x:c>
      <x:c r="C4" s="3" t="s">
        <x:v>879</x:v>
      </x:c>
      <x:c r="D4" s="4">
        <x:v>0.9</x:v>
      </x:c>
      <x:c r="E4" s="4" t="s">
        <x:v>880</x:v>
      </x:c>
    </x:row>
    <x:row r="5">
      <x:c r="A5" s="3" t="s">
        <x:v>882</x:v>
      </x:c>
      <x:c r="B5" s="3">
        <x:v>8363</x:v>
      </x:c>
      <x:c r="C5" s="3" t="s">
        <x:v>879</x:v>
      </x:c>
      <x:c r="D5" s="4">
        <x:v>0.28570000000000001</x:v>
      </x:c>
      <x:c r="E5" s="4" t="s">
        <x:v>880</x:v>
      </x:c>
    </x:row>
    <x:row r="6">
      <x:c r="A6" s="3" t="s">
        <x:v>883</x:v>
      </x:c>
      <x:c r="B6" s="3">
        <x:v>28470</x:v>
      </x:c>
      <x:c r="C6" s="3" t="s">
        <x:v>879</x:v>
      </x:c>
      <x:c r="D6" s="4">
        <x:v>0.97140000000000004</x:v>
      </x:c>
      <x:c r="E6" s="4" t="s">
        <x:v>880</x:v>
      </x:c>
    </x:row>
    <x:row r="7">
      <x:c r="A7" s="3" t="s">
        <x:v>884</x:v>
      </x:c>
      <x:c r="B7" s="3">
        <x:v>41868</x:v>
      </x:c>
      <x:c r="C7" s="3" t="s">
        <x:v>879</x:v>
      </x:c>
      <x:c r="D7" s="4">
        <x:v>1.4286000000000001</x:v>
      </x:c>
      <x:c r="E7" s="4" t="s">
        <x:v>880</x:v>
      </x:c>
    </x:row>
    <x:row r="8">
      <x:c r="A8" s="3" t="s">
        <x:v>885</x:v>
      </x:c>
      <x:c r="B8" s="3">
        <x:v>43124</x:v>
      </x:c>
      <x:c r="C8" s="3" t="s">
        <x:v>879</x:v>
      </x:c>
      <x:c r="D8" s="4">
        <x:v>1.4714</x:v>
      </x:c>
      <x:c r="E8" s="4" t="s">
        <x:v>880</x:v>
      </x:c>
    </x:row>
    <x:row r="9">
      <x:c r="A9" s="3" t="s">
        <x:v>886</x:v>
      </x:c>
      <x:c r="B9" s="3">
        <x:v>43124</x:v>
      </x:c>
      <x:c r="C9" s="3" t="s">
        <x:v>879</x:v>
      </x:c>
      <x:c r="D9" s="4">
        <x:v>1.4714</x:v>
      </x:c>
      <x:c r="E9" s="4" t="s">
        <x:v>880</x:v>
      </x:c>
    </x:row>
    <x:row r="10">
      <x:c r="A10" s="3" t="s">
        <x:v>887</x:v>
      </x:c>
      <x:c r="B10" s="3">
        <x:v>42705</x:v>
      </x:c>
      <x:c r="C10" s="3" t="s">
        <x:v>879</x:v>
      </x:c>
      <x:c r="D10" s="4">
        <x:v>1.4571000000000001</x:v>
      </x:c>
      <x:c r="E10" s="4" t="s">
        <x:v>880</x:v>
      </x:c>
    </x:row>
    <x:row r="11">
      <x:c r="A11" s="3" t="s">
        <x:v>888</x:v>
      </x:c>
      <x:c r="B11" s="3">
        <x:v>41868</x:v>
      </x:c>
      <x:c r="C11" s="3" t="s">
        <x:v>879</x:v>
      </x:c>
      <x:c r="D11" s="4">
        <x:v>1.4286000000000001</x:v>
      </x:c>
      <x:c r="E11" s="4" t="s">
        <x:v>880</x:v>
      </x:c>
    </x:row>
    <x:row r="12">
      <x:c r="A12" s="3" t="s">
        <x:v>889</x:v>
      </x:c>
      <x:c r="B12" s="3">
        <x:v>38979</x:v>
      </x:c>
      <x:c r="C12" s="3" t="s">
        <x:v>890</x:v>
      </x:c>
      <x:c r="D12" s="4">
        <x:v>1.33</x:v>
      </x:c>
      <x:c r="E12" s="4" t="s">
        <x:v>891</x:v>
      </x:c>
    </x:row>
    <x:row r="13">
      <x:c r="A13" s="3" t="s">
        <x:v>892</x:v>
      </x:c>
      <x:c r="B13" s="3">
        <x:v>17981</x:v>
      </x:c>
      <x:c r="C13" s="3" t="s">
        <x:v>890</x:v>
      </x:c>
      <x:c r="D13" s="4">
        <x:v>0.61429999999999996</x:v>
      </x:c>
      <x:c r="E13" s="4" t="s">
        <x:v>891</x:v>
      </x:c>
    </x:row>
    <x:row r="14">
      <x:c r="A14" s="3" t="s">
        <x:v>893</x:v>
      </x:c>
      <x:c r="B14" s="3">
        <x:v>46055</x:v>
      </x:c>
      <x:c r="C14" s="3" t="s">
        <x:v>890</x:v>
      </x:c>
      <x:c r="D14" s="4">
        <x:v>1.5713999999999999</x:v>
      </x:c>
      <x:c r="E14" s="4" t="s">
        <x:v>891</x:v>
      </x:c>
    </x:row>
    <x:row r="15">
      <x:c r="A15" s="3" t="s">
        <x:v>894</x:v>
      </x:c>
      <x:c r="B15" s="3">
        <x:v>50160</x:v>
      </x:c>
      <x:c r="C15" s="3" t="s">
        <x:v>890</x:v>
      </x:c>
      <x:c r="D15" s="4">
        <x:v>1.7142999999999999</x:v>
      </x:c>
      <x:c r="E15" s="4" t="s">
        <x:v>891</x:v>
      </x:c>
    </x:row>
    <x:row r="16">
      <x:c r="A16" s="37" t="s">
        <x:v>895</x:v>
      </x:c>
      <x:c r="B16" s="3">
        <x:v>3600</x:v>
      </x:c>
      <x:c r="C16" s="3" t="s">
        <x:v>896</x:v>
      </x:c>
      <x:c r="D16" s="4">
        <x:v>0.1229</x:v>
      </x:c>
      <x:c r="E16" s="4" t="s">
        <x:v>897</x:v>
      </x:c>
    </x:row>
    <x:row r="17">
      <x:c r="A17" s="37"/>
      <x:c r="B17" s="3">
        <x:v>11840</x:v>
      </x:c>
      <x:c r="C17" s="3" t="s">
        <x:v>898</x:v>
      </x:c>
      <x:c r="D17" s="4">
        <x:v>0.40400000000000003</x:v>
      </x:c>
      <x:c r="E17" s="4" t="s">
        <x:v>897</x:v>
      </x:c>
    </x:row>
    <x:row r="18">
      <x:c r="A18" s="3" t="s">
        <x:v>899</x:v>
      </x:c>
      <x:c r="B18" s="38" t="s">
        <x:v>900</x:v>
      </x:c>
      <x:c r="C18" s="38"/>
      <x:c r="D18" s="4">
        <x:v>3.4119999999999998E-2</x:v>
      </x:c>
      <x:c r="E18" s="4" t="s">
        <x:v>901</x:v>
      </x:c>
    </x:row>
    <x:row r="19">
      <x:c r="A19" s="3" t="s">
        <x:v>902</x:v>
      </x:c>
      <x:c r="B19" s="3" t="s">
        <x:v>903</x:v>
      </x:c>
      <x:c r="C19" s="3" t="s">
        <x:v>879</x:v>
      </x:c>
      <x:c r="D19" s="4" t="s">
        <x:v>904</x:v>
      </x:c>
      <x:c r="E19" s="4" t="s">
        <x:v>880</x:v>
      </x:c>
    </x:row>
    <x:row r="20">
      <x:c r="A20" s="3" t="s">
        <x:v>905</x:v>
      </x:c>
      <x:c r="B20" s="3" t="s">
        <x:v>906</x:v>
      </x:c>
      <x:c r="C20" s="3" t="s">
        <x:v>879</x:v>
      </x:c>
      <x:c r="D20" s="4" t="s">
        <x:v>907</x:v>
      </x:c>
      <x:c r="E20" s="4" t="s">
        <x:v>880</x:v>
      </x:c>
    </x:row>
    <x:row r="21">
      <x:c r="A21" s="3" t="s">
        <x:v>908</x:v>
      </x:c>
      <x:c r="B21" s="3">
        <x:v>33453</x:v>
      </x:c>
      <x:c r="C21" s="3" t="s">
        <x:v>879</x:v>
      </x:c>
      <x:c r="D21" s="4">
        <x:v>1.1429</x:v>
      </x:c>
      <x:c r="E21" s="4" t="s">
        <x:v>880</x:v>
      </x:c>
    </x:row>
    <x:row r="22">
      <x:c r="A22" s="3" t="s">
        <x:v>909</x:v>
      </x:c>
      <x:c r="B22" s="3">
        <x:v>41816</x:v>
      </x:c>
      <x:c r="C22" s="3" t="s">
        <x:v>879</x:v>
      </x:c>
      <x:c r="D22" s="4">
        <x:v>1.4286000000000001</x:v>
      </x:c>
      <x:c r="E22" s="4" t="s">
        <x:v>880</x:v>
      </x:c>
    </x:row>
    <x:row r="23">
      <x:c r="A23" s="3" t="s">
        <x:v>910</x:v>
      </x:c>
      <x:c r="B23" s="3">
        <x:v>8500</x:v>
      </x:c>
      <x:c r="C23" s="3" t="s">
        <x:v>911</x:v>
      </x:c>
      <x:c r="D23" s="4">
        <x:v>1.214</x:v>
      </x:c>
      <x:c r="E23" s="4" t="s">
        <x:v>891</x:v>
      </x:c>
    </x:row>
    <x:row r="24">
      <x:c r="A24" s="3" t="s">
        <x:v>912</x:v>
      </x:c>
      <x:c r="B24" s="3">
        <x:v>9300</x:v>
      </x:c>
      <x:c r="C24" s="3" t="s">
        <x:v>911</x:v>
      </x:c>
      <x:c r="D24" s="4">
        <x:v>1.329</x:v>
      </x:c>
      <x:c r="E24" s="4" t="s">
        <x:v>891</x:v>
      </x:c>
    </x:row>
    <x:row r="25">
      <x:c r="A25" s="3" t="s">
        <x:v>913</x:v>
      </x:c>
      <x:c r="B25" s="3" t="s">
        <x:v>914</x:v>
      </x:c>
      <x:c r="C25" s="3" t="s">
        <x:v>911</x:v>
      </x:c>
      <x:c r="D25" s="4" t="s">
        <x:v>915</x:v>
      </x:c>
      <x:c r="E25" s="4" t="s">
        <x:v>891</x:v>
      </x:c>
    </x:row>
    <x:row r="26">
      <x:c r="A26" s="3" t="s">
        <x:v>892</x:v>
      </x:c>
      <x:c r="B26" s="3">
        <x:v>4300</x:v>
      </x:c>
      <x:c r="C26" s="3" t="s">
        <x:v>911</x:v>
      </x:c>
      <x:c r="D26" s="4">
        <x:v>0.61399999999999999</x:v>
      </x:c>
      <x:c r="E26" s="4" t="s">
        <x:v>891</x:v>
      </x:c>
    </x:row>
    <x:row r="27">
      <x:c r="A27" s="3" t="s">
        <x:v>916</x:v>
      </x:c>
      <x:c r="B27" s="3">
        <x:v>3900</x:v>
      </x:c>
      <x:c r="C27" s="3" t="s">
        <x:v>911</x:v>
      </x:c>
      <x:c r="D27" s="4">
        <x:v>0.55700000000000005</x:v>
      </x:c>
      <x:c r="E27" s="4" t="s">
        <x:v>891</x:v>
      </x:c>
    </x:row>
    <x:row r="28">
      <x:c r="A28" s="3" t="s">
        <x:v>917</x:v>
      </x:c>
      <x:c r="B28" s="3">
        <x:v>1250</x:v>
      </x:c>
      <x:c r="C28" s="3" t="s">
        <x:v>911</x:v>
      </x:c>
      <x:c r="D28" s="4">
        <x:v>0.17899999999999999</x:v>
      </x:c>
      <x:c r="E28" s="4" t="s">
        <x:v>891</x:v>
      </x:c>
    </x:row>
    <x:row r="29">
      <x:c r="A29" s="3" t="s">
        <x:v>918</x:v>
      </x:c>
      <x:c r="B29" s="3">
        <x:v>3600</x:v>
      </x:c>
      <x:c r="C29" s="3" t="s">
        <x:v>911</x:v>
      </x:c>
      <x:c r="D29" s="4">
        <x:v>0.51400000000000001</x:v>
      </x:c>
      <x:c r="E29" s="4" t="s">
        <x:v>891</x:v>
      </x:c>
    </x:row>
    <x:row r="30">
      <x:c r="A30" s="3" t="s">
        <x:v>919</x:v>
      </x:c>
      <x:c r="B30" s="3">
        <x:v>4600</x:v>
      </x:c>
      <x:c r="C30" s="3" t="s">
        <x:v>911</x:v>
      </x:c>
      <x:c r="D30" s="4">
        <x:v>0.65700000000000003</x:v>
      </x:c>
      <x:c r="E30" s="4" t="s">
        <x:v>891</x:v>
      </x:c>
    </x:row>
    <x:row r="31">
      <x:c r="A31" s="5" t="s">
        <x:v>920</x:v>
      </x:c>
      <x:c r="B31" s="3">
        <x:v>8500</x:v>
      </x:c>
      <x:c r="C31" s="3" t="s">
        <x:v>911</x:v>
      </x:c>
      <x:c r="D31" s="4">
        <x:v>1.214</x:v>
      </x:c>
      <x:c r="E31" s="4" t="s">
        <x:v>891</x:v>
      </x:c>
      <x:c r="G31" s="1" t="s">
        <x:v>921</x:v>
      </x:c>
    </x:row>
    <x:row r="32">
      <x:c r="A32" s="3" t="s">
        <x:v>922</x:v>
      </x:c>
      <x:c r="B32" s="3">
        <x:v>2500</x:v>
      </x:c>
      <x:c r="C32" s="3" t="s">
        <x:v>911</x:v>
      </x:c>
      <x:c r="D32" s="4">
        <x:v>0.35699999999999998</x:v>
      </x:c>
      <x:c r="E32" s="4" t="s">
        <x:v>891</x:v>
      </x:c>
    </x:row>
    <x:row r="33">
      <x:c r="A33" s="3" t="s">
        <x:v>923</x:v>
      </x:c>
      <x:c r="B33" s="3">
        <x:v>4500</x:v>
      </x:c>
      <x:c r="C33" s="3" t="s">
        <x:v>924</x:v>
      </x:c>
      <x:c r="D33" s="4">
        <x:v>0.64300000000000002</x:v>
      </x:c>
      <x:c r="E33" s="4" t="s">
        <x:v>880</x:v>
      </x:c>
    </x:row>
    <x:row r="34">
      <x:c r="A34" s="5" t="s">
        <x:v>925</x:v>
      </x:c>
      <x:c r="B34" s="3">
        <x:v>3300</x:v>
      </x:c>
      <x:c r="C34" s="3" t="s">
        <x:v>924</x:v>
      </x:c>
      <x:c r="D34" s="4">
        <x:v>0.47099999999999997</x:v>
      </x:c>
      <x:c r="E34" s="4" t="s">
        <x:v>880</x:v>
      </x:c>
    </x:row>
    <x:row r="35">
      <x:c r="A35" s="2" t="s">
        <x:v>926</x:v>
      </x:c>
      <x:c r="B35" s="2">
        <x:v>3000</x:v>
      </x:c>
      <x:c r="C35" s="3" t="s">
        <x:v>924</x:v>
      </x:c>
      <x:c r="D35" s="6">
        <x:v>0.42899999999999999</x:v>
      </x:c>
      <x:c r="E35" s="4" t="s">
        <x:v>880</x:v>
      </x:c>
    </x:row>
    <x:row r="36">
      <x:c r="A36" s="2" t="s">
        <x:v>927</x:v>
      </x:c>
      <x:c r="B36" s="2">
        <x:v>3700</x:v>
      </x:c>
      <x:c r="C36" s="3" t="s">
        <x:v>924</x:v>
      </x:c>
      <x:c r="D36" s="6">
        <x:v>0.52900000000000003</x:v>
      </x:c>
      <x:c r="E36" s="4" t="s">
        <x:v>880</x:v>
      </x:c>
    </x:row>
    <x:row r="37">
      <x:c r="A37" s="2" t="s">
        <x:v>928</x:v>
      </x:c>
      <x:c r="B37" s="2">
        <x:v>4500</x:v>
      </x:c>
      <x:c r="C37" s="3" t="s">
        <x:v>924</x:v>
      </x:c>
      <x:c r="D37" s="6">
        <x:v>0.64300000000000002</x:v>
      </x:c>
      <x:c r="E37" s="4" t="s">
        <x:v>880</x:v>
      </x:c>
    </x:row>
    <x:row r="38">
      <x:c r="A38" s="2" t="s">
        <x:v>929</x:v>
      </x:c>
      <x:c r="B38" s="2">
        <x:v>3800</x:v>
      </x:c>
      <x:c r="C38" s="3" t="s">
        <x:v>924</x:v>
      </x:c>
      <x:c r="D38" s="6">
        <x:v>0.54300000000000004</x:v>
      </x:c>
      <x:c r="E38" s="4" t="s">
        <x:v>880</x:v>
      </x:c>
    </x:row>
    <x:row r="39">
      <x:c r="A39" s="2" t="s">
        <x:v>930</x:v>
      </x:c>
      <x:c r="B39" s="2">
        <x:v>3000</x:v>
      </x:c>
      <x:c r="C39" s="3" t="s">
        <x:v>924</x:v>
      </x:c>
      <x:c r="D39" s="6">
        <x:v>0.42899999999999999</x:v>
      </x:c>
      <x:c r="E39" s="4" t="s">
        <x:v>880</x:v>
      </x:c>
    </x:row>
    <x:row r="40">
      <x:c r="A40" s="2" t="s">
        <x:v>931</x:v>
      </x:c>
      <x:c r="B40" s="2">
        <x:v>3500</x:v>
      </x:c>
      <x:c r="C40" s="3" t="s">
        <x:v>924</x:v>
      </x:c>
      <x:c r="D40" s="6">
        <x:v>0.5</x:v>
      </x:c>
      <x:c r="E40" s="4" t="s">
        <x:v>880</x:v>
      </x:c>
    </x:row>
    <x:row r="41">
      <x:c r="A41" s="2" t="s">
        <x:v>932</x:v>
      </x:c>
      <x:c r="B41" s="2">
        <x:v>3700</x:v>
      </x:c>
      <x:c r="C41" s="3" t="s">
        <x:v>924</x:v>
      </x:c>
      <x:c r="D41" s="6">
        <x:v>0.52900000000000003</x:v>
      </x:c>
      <x:c r="E41" s="4" t="s">
        <x:v>880</x:v>
      </x:c>
    </x:row>
    <x:row r="42">
      <x:c r="A42" s="2" t="s">
        <x:v>933</x:v>
      </x:c>
      <x:c r="B42" s="2">
        <x:v>3300</x:v>
      </x:c>
      <x:c r="C42" s="3" t="s">
        <x:v>924</x:v>
      </x:c>
      <x:c r="D42" s="6">
        <x:v>0.47099999999999997</x:v>
      </x:c>
      <x:c r="E42" s="4" t="s">
        <x:v>880</x:v>
      </x:c>
    </x:row>
    <x:row r="43">
      <x:c r="A43" s="2" t="s">
        <x:v>934</x:v>
      </x:c>
      <x:c r="B43" s="2">
        <x:v>3500</x:v>
      </x:c>
      <x:c r="C43" s="3" t="s">
        <x:v>924</x:v>
      </x:c>
      <x:c r="D43" s="6">
        <x:v>0.5</x:v>
      </x:c>
      <x:c r="E43" s="4" t="s">
        <x:v>880</x:v>
      </x:c>
    </x:row>
    <x:row r="44">
      <x:c r="A44" s="2" t="s">
        <x:v>935</x:v>
      </x:c>
      <x:c r="B44" s="2">
        <x:v>4000</x:v>
      </x:c>
      <x:c r="C44" s="3" t="s">
        <x:v>924</x:v>
      </x:c>
      <x:c r="D44" s="6">
        <x:v>0.57099999999999995</x:v>
      </x:c>
      <x:c r="E44" s="4" t="s">
        <x:v>880</x:v>
      </x:c>
    </x:row>
    <x:row r="45">
      <x:c r="A45" s="2" t="s">
        <x:v>936</x:v>
      </x:c>
      <x:c r="B45" s="2">
        <x:v>5000</x:v>
      </x:c>
      <x:c r="C45" s="3" t="s">
        <x:v>911</x:v>
      </x:c>
      <x:c r="D45" s="6">
        <x:v>0.71399999999999997</x:v>
      </x:c>
      <x:c r="E45" s="4" t="s">
        <x:v>891</x:v>
      </x:c>
      <x:c r="G45" s="1" t="s">
        <x:v>937</x:v>
      </x:c>
    </x:row>
  </x:sheetData>
  <x:mergeCells>
    <x:mergeCell ref="B1:C1"/>
    <x:mergeCell ref="D1:E1"/>
    <x:mergeCell ref="B18:C18"/>
    <x:mergeCell ref="A1:A2"/>
    <x:mergeCell ref="A16:A17"/>
  </x:mergeCells>
  <x:pageMargins left="0.7" right="0.7" top="0.75" bottom="0.75" header="0.3" footer="0.3"/>
</x:worksheet>
</file>